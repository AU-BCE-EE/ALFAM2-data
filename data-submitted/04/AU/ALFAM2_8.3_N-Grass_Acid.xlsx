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mikae\Desktop\Github - speciale\Larsen-2025-Masterthesis-DFCs\"/>
    </mc:Choice>
  </mc:AlternateContent>
  <xr:revisionPtr revIDLastSave="0" documentId="13_ncr:1_{C02B8EA0-7D57-4BB6-B89D-F3FE945BFA77}" xr6:coauthVersionLast="47" xr6:coauthVersionMax="47" xr10:uidLastSave="{00000000-0000-0000-0000-000000000000}"/>
  <bookViews>
    <workbookView xWindow="-108" yWindow="-108" windowWidth="23256" windowHeight="12456" tabRatio="500" firstSheet="1" activeTab="6" xr2:uid="{00000000-000D-0000-FFFF-FFFF00000000}"/>
  </bookViews>
  <sheets>
    <sheet name="Instructions" sheetId="1" r:id="rId1"/>
    <sheet name="Submitter" sheetId="2" r:id="rId2"/>
    <sheet name="Contributors" sheetId="3" r:id="rId3"/>
    <sheet name="Experiments" sheetId="4" r:id="rId4"/>
    <sheet name="Treatments" sheetId="5" r:id="rId5"/>
    <sheet name="Plots" sheetId="6" r:id="rId6"/>
    <sheet name="Emission" sheetId="7" r:id="rId7"/>
    <sheet name="Publications" sheetId="8" r:id="rId8"/>
    <sheet name="Input options (lists)" sheetId="9" r:id="rId9"/>
    <sheet name="Missing values" sheetId="10" r:id="rId10"/>
    <sheet name="Revision history" sheetId="11" r:id="rId11"/>
    <sheet name="Data ChangeLog" sheetId="12" r:id="rId12"/>
  </sheets>
  <definedNames>
    <definedName name="_xlnm._FilterDatabase" localSheetId="6">Emission!$A$5:$AJ$14038</definedName>
    <definedName name="_xlnm._FilterDatabase" localSheetId="5">Plots!$A$5:$BB$16</definedName>
    <definedName name="DataRange" localSheetId="5">Plots!$D$5:$BB$16</definedName>
    <definedName name="DataRange">Emission!$D$5:$AJ$14038</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AM1844" i="7" l="1"/>
  <c r="AM1843" i="7"/>
  <c r="AM1842" i="7"/>
  <c r="AM1841" i="7"/>
  <c r="AM1840" i="7"/>
  <c r="AM1839" i="7"/>
  <c r="AM1838" i="7"/>
  <c r="AM1837" i="7"/>
  <c r="AM1836" i="7"/>
  <c r="AM1835" i="7"/>
  <c r="AM1834" i="7"/>
  <c r="AM1833" i="7"/>
  <c r="AM1832" i="7"/>
  <c r="AM1831" i="7"/>
  <c r="AM1830" i="7"/>
  <c r="AM1829" i="7"/>
  <c r="AM1828" i="7"/>
  <c r="AM1827" i="7"/>
  <c r="AM1826" i="7"/>
  <c r="AM1825" i="7"/>
  <c r="AM1824" i="7"/>
  <c r="AM1823" i="7"/>
  <c r="AM1822" i="7"/>
  <c r="AM1821" i="7"/>
  <c r="AM1820" i="7"/>
  <c r="AM1819" i="7"/>
  <c r="AM1818" i="7"/>
  <c r="AM1817" i="7"/>
  <c r="AM1816" i="7"/>
  <c r="AM1815" i="7"/>
  <c r="AM1814" i="7"/>
  <c r="AM1813" i="7"/>
  <c r="AM1812" i="7"/>
  <c r="AM1811" i="7"/>
  <c r="AM1810" i="7"/>
  <c r="AM1809" i="7"/>
  <c r="AM1808" i="7"/>
  <c r="AM1807" i="7"/>
  <c r="AM1806" i="7"/>
  <c r="AM1805" i="7"/>
  <c r="AM1804" i="7"/>
  <c r="AM1803" i="7"/>
  <c r="AM1802" i="7"/>
  <c r="AM1801" i="7"/>
  <c r="AM1800" i="7"/>
  <c r="AM1799" i="7"/>
  <c r="AM1798" i="7"/>
  <c r="AM1797" i="7"/>
  <c r="AM1796" i="7"/>
  <c r="AM1795" i="7"/>
  <c r="AM1794" i="7"/>
  <c r="AM1793" i="7"/>
  <c r="AM1792" i="7"/>
  <c r="AM1791" i="7"/>
  <c r="AM1790" i="7"/>
  <c r="AM1789" i="7"/>
  <c r="AM1788" i="7"/>
  <c r="AM1787" i="7"/>
  <c r="AM1786" i="7"/>
  <c r="AM1785" i="7"/>
  <c r="AM1784" i="7"/>
  <c r="AM1783" i="7"/>
  <c r="AM1782" i="7"/>
  <c r="AM1781" i="7"/>
  <c r="AM1780" i="7"/>
  <c r="AM1779" i="7"/>
  <c r="AM1778" i="7"/>
  <c r="AM1777" i="7"/>
  <c r="AM1776" i="7"/>
  <c r="AM1775" i="7"/>
  <c r="AM1774" i="7"/>
  <c r="AM1773" i="7"/>
  <c r="AM1772" i="7"/>
  <c r="AM1771" i="7"/>
  <c r="AM1770" i="7"/>
  <c r="AM1769" i="7"/>
  <c r="AM1768" i="7"/>
  <c r="AM1767" i="7"/>
  <c r="AM1766" i="7"/>
  <c r="AM1765" i="7"/>
  <c r="AM1764" i="7"/>
  <c r="AM1763" i="7"/>
  <c r="AM1762" i="7"/>
  <c r="AM1761" i="7"/>
  <c r="AM1760" i="7"/>
  <c r="AM1759" i="7"/>
  <c r="AM1758" i="7"/>
  <c r="AM1757" i="7"/>
  <c r="AM1756" i="7"/>
  <c r="AM1755" i="7"/>
  <c r="AM1754" i="7"/>
  <c r="AM1753" i="7"/>
  <c r="AM1752" i="7"/>
  <c r="AM1751" i="7"/>
  <c r="AM1750" i="7"/>
  <c r="AM1749" i="7"/>
  <c r="AM1748" i="7"/>
  <c r="AM1747" i="7"/>
  <c r="AM1746" i="7"/>
  <c r="AM1745" i="7"/>
  <c r="AM1744" i="7"/>
  <c r="AM1743" i="7"/>
  <c r="AM1742" i="7"/>
  <c r="AM1741" i="7"/>
  <c r="AM1740" i="7"/>
  <c r="AM1739" i="7"/>
  <c r="AM1738" i="7"/>
  <c r="AM1737" i="7"/>
  <c r="AM1736" i="7"/>
  <c r="AM1735" i="7"/>
  <c r="AM1734" i="7"/>
  <c r="AM1733" i="7"/>
  <c r="AM1732" i="7"/>
  <c r="AM1731" i="7"/>
  <c r="AM1730" i="7"/>
  <c r="AM1729" i="7"/>
  <c r="AM1728" i="7"/>
  <c r="AM1727" i="7"/>
  <c r="AM1726" i="7"/>
  <c r="AM1725" i="7"/>
  <c r="AM1724" i="7"/>
  <c r="AM1723" i="7"/>
  <c r="AM1722" i="7"/>
  <c r="AM1721" i="7"/>
  <c r="AM1720" i="7"/>
  <c r="AM1719" i="7"/>
  <c r="AM1718" i="7"/>
  <c r="AM1717" i="7"/>
  <c r="AM1716" i="7"/>
  <c r="AM1715" i="7"/>
  <c r="AM1714" i="7"/>
  <c r="AM1713" i="7"/>
  <c r="AM1712" i="7"/>
  <c r="AM1711" i="7"/>
  <c r="AM1710" i="7"/>
  <c r="AM1709" i="7"/>
  <c r="AM1708" i="7"/>
  <c r="AM1707" i="7"/>
  <c r="AM1706" i="7"/>
  <c r="AM1705" i="7"/>
  <c r="AM1704" i="7"/>
  <c r="AM1703" i="7"/>
  <c r="AM1702" i="7"/>
  <c r="AM1701" i="7"/>
  <c r="AM1700" i="7"/>
  <c r="AM1699" i="7"/>
  <c r="AM1698" i="7"/>
  <c r="AM1697" i="7"/>
  <c r="AM1696" i="7"/>
  <c r="AM1695" i="7"/>
  <c r="AM1694" i="7"/>
  <c r="AM1693" i="7"/>
  <c r="AM1692" i="7"/>
  <c r="AM1691" i="7"/>
  <c r="AM1690" i="7"/>
  <c r="AM1689" i="7"/>
  <c r="AM1688" i="7"/>
  <c r="AM1687" i="7"/>
  <c r="AM1686" i="7"/>
  <c r="AM1685" i="7"/>
  <c r="AM1684" i="7"/>
  <c r="AM1683" i="7"/>
  <c r="AM1682" i="7"/>
  <c r="AM1681" i="7"/>
  <c r="AM1680" i="7"/>
  <c r="AM1679" i="7"/>
  <c r="AM1678" i="7"/>
  <c r="AM1677" i="7"/>
  <c r="AM1676" i="7"/>
  <c r="AM1675" i="7"/>
  <c r="AM1674" i="7"/>
  <c r="AM1673" i="7"/>
  <c r="AM1672" i="7"/>
  <c r="AM1671" i="7"/>
  <c r="AM1670" i="7"/>
  <c r="AM1669" i="7"/>
  <c r="AM1668" i="7"/>
  <c r="AM1667" i="7"/>
  <c r="AM1666" i="7"/>
  <c r="AM1665" i="7"/>
  <c r="AM1664" i="7"/>
  <c r="AM1663" i="7"/>
  <c r="AM1662" i="7"/>
  <c r="AM1661" i="7"/>
  <c r="AM1660" i="7"/>
  <c r="AM1659" i="7"/>
  <c r="AM1658" i="7"/>
  <c r="AM1657" i="7"/>
  <c r="AM1656" i="7"/>
  <c r="AM1655" i="7"/>
  <c r="AM1654" i="7"/>
  <c r="AM1653" i="7"/>
  <c r="AM1652" i="7"/>
  <c r="AM1651" i="7"/>
  <c r="AM1650" i="7"/>
  <c r="AM1649" i="7"/>
  <c r="AM1648" i="7"/>
  <c r="AM1647" i="7"/>
  <c r="AM1646" i="7"/>
  <c r="AM1645" i="7"/>
  <c r="AM1644" i="7"/>
  <c r="AM1643" i="7"/>
  <c r="AM1642" i="7"/>
  <c r="AM1641" i="7"/>
  <c r="AM1640" i="7"/>
  <c r="AM1639" i="7"/>
  <c r="AM1638" i="7"/>
  <c r="AM1637" i="7"/>
  <c r="AM1636" i="7"/>
  <c r="AM1635" i="7"/>
  <c r="AM1634" i="7"/>
  <c r="AM1633" i="7"/>
  <c r="AM1632" i="7"/>
  <c r="AM1631" i="7"/>
  <c r="AM1630" i="7"/>
  <c r="AM1629" i="7"/>
  <c r="AM1628" i="7"/>
  <c r="AM1627" i="7"/>
  <c r="AM1626" i="7"/>
  <c r="AM1625" i="7"/>
  <c r="AM1624" i="7"/>
  <c r="AM1623" i="7"/>
  <c r="AM1622" i="7"/>
  <c r="AM1621" i="7"/>
  <c r="AM1620" i="7"/>
  <c r="AM1619" i="7"/>
  <c r="AM1618" i="7"/>
  <c r="AM1617" i="7"/>
  <c r="AM1616" i="7"/>
  <c r="AM1615" i="7"/>
  <c r="AM1614" i="7"/>
  <c r="AM1613" i="7"/>
  <c r="AM1612" i="7"/>
  <c r="AM1611" i="7"/>
  <c r="AM1610" i="7"/>
  <c r="AM1609" i="7"/>
  <c r="AM1608" i="7"/>
  <c r="AM1607" i="7"/>
  <c r="AM1606" i="7"/>
  <c r="AM1605" i="7"/>
  <c r="AM1604" i="7"/>
  <c r="AM1603" i="7"/>
  <c r="AM1602" i="7"/>
  <c r="AM1601" i="7"/>
  <c r="AM1600" i="7"/>
  <c r="AM1599" i="7"/>
  <c r="AM1598" i="7"/>
  <c r="AM1597" i="7"/>
  <c r="AM1596" i="7"/>
  <c r="AM1595" i="7"/>
  <c r="AM1594" i="7"/>
  <c r="AM1593" i="7"/>
  <c r="AM1592" i="7"/>
  <c r="AM1591" i="7"/>
  <c r="AM1590" i="7"/>
  <c r="AM1589" i="7"/>
  <c r="AM1588" i="7"/>
  <c r="AM1587" i="7"/>
  <c r="AM1586" i="7"/>
  <c r="AM1585" i="7"/>
  <c r="AM1584" i="7"/>
  <c r="AM1583" i="7"/>
  <c r="AM1582" i="7"/>
  <c r="AM1581" i="7"/>
  <c r="AM1580" i="7"/>
  <c r="AM1579" i="7"/>
  <c r="AM1578" i="7"/>
  <c r="AM1577" i="7"/>
  <c r="AM1576" i="7"/>
  <c r="AM1575" i="7"/>
  <c r="AM1574" i="7"/>
  <c r="AM1573" i="7"/>
  <c r="AM1572" i="7"/>
  <c r="AM1571" i="7"/>
  <c r="AM1570" i="7"/>
  <c r="AM1569" i="7"/>
  <c r="AM1568" i="7"/>
  <c r="AM1567" i="7"/>
  <c r="AM1566" i="7"/>
  <c r="AM1565" i="7"/>
  <c r="AM1564" i="7"/>
  <c r="AM1563" i="7"/>
  <c r="AM1562" i="7"/>
  <c r="AM1561" i="7"/>
  <c r="AM1560" i="7"/>
  <c r="AM1559" i="7"/>
  <c r="AM1558" i="7"/>
  <c r="AM1557" i="7"/>
  <c r="AM1556" i="7"/>
  <c r="AM1555" i="7"/>
  <c r="AM1554" i="7"/>
  <c r="AM1553" i="7"/>
  <c r="AM1552" i="7"/>
  <c r="AM1551" i="7"/>
  <c r="AM1550" i="7"/>
  <c r="AM1549" i="7"/>
  <c r="AM1548" i="7"/>
  <c r="AM1547" i="7"/>
  <c r="AM1546" i="7"/>
  <c r="AM1545" i="7"/>
  <c r="AM1544" i="7"/>
  <c r="AM1543" i="7"/>
  <c r="AM1542" i="7"/>
  <c r="AM1541" i="7"/>
  <c r="AM1540" i="7"/>
  <c r="AM1539" i="7"/>
  <c r="AM1538" i="7"/>
  <c r="AM1537" i="7"/>
  <c r="AM1536" i="7"/>
  <c r="AM1535" i="7"/>
  <c r="AM1534" i="7"/>
  <c r="AM1533" i="7"/>
  <c r="AM1532" i="7"/>
  <c r="AM1531" i="7"/>
  <c r="AM1530" i="7"/>
  <c r="AM1529" i="7"/>
  <c r="AM1528" i="7"/>
  <c r="AM1527" i="7"/>
  <c r="AM1526" i="7"/>
  <c r="AM1525" i="7"/>
  <c r="AM1524" i="7"/>
  <c r="AM1523" i="7"/>
  <c r="AM1522" i="7"/>
  <c r="AM1521" i="7"/>
  <c r="AM1520" i="7"/>
  <c r="AM1519" i="7"/>
  <c r="AM1518" i="7"/>
  <c r="AM1517" i="7"/>
  <c r="AM1516" i="7"/>
  <c r="AM1515" i="7"/>
  <c r="AM1514" i="7"/>
  <c r="AM1513" i="7"/>
  <c r="AM1512" i="7"/>
  <c r="AM1511" i="7"/>
  <c r="AM1510" i="7"/>
  <c r="AM1509" i="7"/>
  <c r="AM1508" i="7"/>
  <c r="AM1507" i="7"/>
  <c r="AM1506" i="7"/>
  <c r="AM1505" i="7"/>
  <c r="AM1504" i="7"/>
  <c r="AM1503" i="7"/>
  <c r="AM1502" i="7"/>
  <c r="AM1501" i="7"/>
  <c r="AM1500" i="7"/>
  <c r="AM1499" i="7"/>
  <c r="AM1498" i="7"/>
  <c r="AM1497" i="7"/>
  <c r="AM1496" i="7"/>
  <c r="AM1495" i="7"/>
  <c r="AM1494" i="7"/>
  <c r="AM1493" i="7"/>
  <c r="AM1492" i="7"/>
  <c r="AM1491" i="7"/>
  <c r="AM1490" i="7"/>
  <c r="AM1489" i="7"/>
  <c r="AM1488" i="7"/>
  <c r="AM1487" i="7"/>
  <c r="AM1486" i="7"/>
  <c r="AM1485" i="7"/>
  <c r="AM1484" i="7"/>
  <c r="AM1483" i="7"/>
  <c r="AM1482" i="7"/>
  <c r="AM1481" i="7"/>
  <c r="AM1480" i="7"/>
  <c r="AM1479" i="7"/>
  <c r="AM1478" i="7"/>
  <c r="AM1477" i="7"/>
  <c r="AM1476" i="7"/>
  <c r="AM1475" i="7"/>
  <c r="AM1474" i="7"/>
  <c r="AM1473" i="7"/>
  <c r="AM1472" i="7"/>
  <c r="AM1471" i="7"/>
  <c r="AM1470" i="7"/>
  <c r="AM1469" i="7"/>
  <c r="AM1468" i="7"/>
  <c r="AM1467" i="7"/>
  <c r="AM1466" i="7"/>
  <c r="AM1465" i="7"/>
  <c r="AM1464" i="7"/>
  <c r="AM1463" i="7"/>
  <c r="AM1462" i="7"/>
  <c r="AM1461" i="7"/>
  <c r="AM1460" i="7"/>
  <c r="AM1459" i="7"/>
  <c r="AM1458" i="7"/>
  <c r="AM1457" i="7"/>
  <c r="AM1456" i="7"/>
  <c r="AM1455" i="7"/>
  <c r="AM1454" i="7"/>
  <c r="AM1453" i="7"/>
  <c r="AM1452" i="7"/>
  <c r="AM1451" i="7"/>
  <c r="AM1450" i="7"/>
  <c r="AM1449" i="7"/>
  <c r="AM1448" i="7"/>
  <c r="AM1447" i="7"/>
  <c r="AM1446" i="7"/>
  <c r="AM1445" i="7"/>
  <c r="AM1444" i="7"/>
  <c r="AM1443" i="7"/>
  <c r="AM1442" i="7"/>
  <c r="AM1441" i="7"/>
  <c r="AM1440" i="7"/>
  <c r="AM1439" i="7"/>
  <c r="AM1438" i="7"/>
  <c r="AM1437" i="7"/>
  <c r="AM1436" i="7"/>
  <c r="AM1435" i="7"/>
  <c r="AM1434" i="7"/>
  <c r="AM1433" i="7"/>
  <c r="AM1432" i="7"/>
  <c r="AM1431" i="7"/>
  <c r="AM1430" i="7"/>
  <c r="AM1429" i="7"/>
  <c r="AM1428" i="7"/>
  <c r="AM1427" i="7"/>
  <c r="AM1426" i="7"/>
  <c r="AM1425" i="7"/>
  <c r="AM1424" i="7"/>
  <c r="AM1423" i="7"/>
  <c r="AM1422" i="7"/>
  <c r="AM1421" i="7"/>
  <c r="AM1420" i="7"/>
  <c r="AM1419" i="7"/>
  <c r="AM1418" i="7"/>
  <c r="AM1417" i="7"/>
  <c r="AM1416" i="7"/>
  <c r="AM1415" i="7"/>
  <c r="AM1414" i="7"/>
  <c r="AM1413" i="7"/>
  <c r="AM1412" i="7"/>
  <c r="AM1411" i="7"/>
  <c r="AM1410" i="7"/>
  <c r="AM1409" i="7"/>
  <c r="AM1408" i="7"/>
  <c r="AM1407" i="7"/>
  <c r="AM1406" i="7"/>
  <c r="AM1405" i="7"/>
  <c r="AM1404" i="7"/>
  <c r="AM1403" i="7"/>
  <c r="AM1402" i="7"/>
  <c r="AM1401" i="7"/>
  <c r="AM1400" i="7"/>
  <c r="AM1399" i="7"/>
  <c r="AM1398" i="7"/>
  <c r="AM1397" i="7"/>
  <c r="AM1396" i="7"/>
  <c r="AM1395" i="7"/>
  <c r="AM1394" i="7"/>
  <c r="AM1393" i="7"/>
  <c r="AM1392" i="7"/>
  <c r="AM1391" i="7"/>
  <c r="AM1390" i="7"/>
  <c r="AM1389" i="7"/>
  <c r="AM1388" i="7"/>
  <c r="AM1387" i="7"/>
  <c r="AM1386" i="7"/>
  <c r="AM1385" i="7"/>
  <c r="AM1384" i="7"/>
  <c r="AM1383" i="7"/>
  <c r="AM1382" i="7"/>
  <c r="AM1381" i="7"/>
  <c r="AM1380" i="7"/>
  <c r="AM1379" i="7"/>
  <c r="AM1378" i="7"/>
  <c r="AM1377" i="7"/>
  <c r="AM1376" i="7"/>
  <c r="AM1375" i="7"/>
  <c r="AM1374" i="7"/>
  <c r="AM1373" i="7"/>
  <c r="AM1372" i="7"/>
  <c r="AM1371" i="7"/>
  <c r="AM1370" i="7"/>
  <c r="AM1369" i="7"/>
  <c r="AM1368" i="7"/>
  <c r="AM1367" i="7"/>
  <c r="AM1366" i="7"/>
  <c r="AM1365" i="7"/>
  <c r="AM1364" i="7"/>
  <c r="AM1363" i="7"/>
  <c r="AM1362" i="7"/>
  <c r="AM1361" i="7"/>
  <c r="AM1360" i="7"/>
  <c r="AM1359" i="7"/>
  <c r="AM1358" i="7"/>
  <c r="AM1357" i="7"/>
  <c r="AM1356" i="7"/>
  <c r="AM1355" i="7"/>
  <c r="AM1354" i="7"/>
  <c r="AM1353" i="7"/>
  <c r="AM1352" i="7"/>
  <c r="AM1351" i="7"/>
  <c r="AM1350" i="7"/>
  <c r="AM1349" i="7"/>
  <c r="AM1348" i="7"/>
  <c r="AM1347" i="7"/>
  <c r="AM1346" i="7"/>
  <c r="AM1345" i="7"/>
  <c r="AM1344" i="7"/>
  <c r="AM1343" i="7"/>
  <c r="AM1342" i="7"/>
  <c r="AM1341" i="7"/>
  <c r="AM1340" i="7"/>
  <c r="AM1339" i="7"/>
  <c r="AM1338" i="7"/>
  <c r="AM1337" i="7"/>
  <c r="AM1336" i="7"/>
  <c r="AM1335" i="7"/>
  <c r="AM1334" i="7"/>
  <c r="AM1333" i="7"/>
  <c r="AM1332" i="7"/>
  <c r="AM1331" i="7"/>
  <c r="AM1330" i="7"/>
  <c r="AM1329" i="7"/>
  <c r="AM1328" i="7"/>
  <c r="AM1327" i="7"/>
  <c r="AM1326" i="7"/>
  <c r="AM1325" i="7"/>
  <c r="AM1324" i="7"/>
  <c r="AM1323" i="7"/>
  <c r="AM1322" i="7"/>
  <c r="AM1321" i="7"/>
  <c r="AM1320" i="7"/>
  <c r="AM1319" i="7"/>
  <c r="AM1318" i="7"/>
  <c r="AM1317" i="7"/>
  <c r="AM1316" i="7"/>
  <c r="AM1315" i="7"/>
  <c r="AM1314" i="7"/>
  <c r="AM1313" i="7"/>
  <c r="AM1312" i="7"/>
  <c r="AM1311" i="7"/>
  <c r="AM1310" i="7"/>
  <c r="AM1309" i="7"/>
  <c r="AM1308" i="7"/>
  <c r="AM1307" i="7"/>
  <c r="AM1306" i="7"/>
  <c r="AM1305" i="7"/>
  <c r="AM1304" i="7"/>
  <c r="AM1303" i="7"/>
  <c r="AM1302" i="7"/>
  <c r="AM1301" i="7"/>
  <c r="AM1300" i="7"/>
  <c r="AM1299" i="7"/>
  <c r="AM1298" i="7"/>
  <c r="AM1297" i="7"/>
  <c r="AM1296" i="7"/>
  <c r="AM1295" i="7"/>
  <c r="AM1294" i="7"/>
  <c r="AM1293" i="7"/>
  <c r="AM1292" i="7"/>
  <c r="AM1291" i="7"/>
  <c r="AM1290" i="7"/>
  <c r="AM1289" i="7"/>
  <c r="AM1288" i="7"/>
  <c r="AM1287" i="7"/>
  <c r="AM1286" i="7"/>
  <c r="AM1285" i="7"/>
  <c r="AM1284" i="7"/>
  <c r="AM1283" i="7"/>
  <c r="AM1282" i="7"/>
  <c r="AM1281" i="7"/>
  <c r="AM1280" i="7"/>
  <c r="AM1279" i="7"/>
  <c r="AM1278" i="7"/>
  <c r="AM1277" i="7"/>
  <c r="AM1276" i="7"/>
  <c r="AM1275" i="7"/>
  <c r="AM1274" i="7"/>
  <c r="AM1273" i="7"/>
  <c r="AM1272" i="7"/>
  <c r="AM1271" i="7"/>
  <c r="AM1270" i="7"/>
  <c r="AM1269" i="7"/>
  <c r="AM1268" i="7"/>
  <c r="AM1267" i="7"/>
  <c r="AM1266" i="7"/>
  <c r="AM1265" i="7"/>
  <c r="AM1264" i="7"/>
  <c r="AM1263" i="7"/>
  <c r="AM1262" i="7"/>
  <c r="AM1261" i="7"/>
  <c r="AM1260" i="7"/>
  <c r="AM1259" i="7"/>
  <c r="AM1258" i="7"/>
  <c r="AM1257" i="7"/>
  <c r="AM1256" i="7"/>
  <c r="AM1255" i="7"/>
  <c r="AM1254" i="7"/>
  <c r="AM1253" i="7"/>
  <c r="AM1252" i="7"/>
  <c r="AM1251" i="7"/>
  <c r="AM1250" i="7"/>
  <c r="AM1249" i="7"/>
  <c r="AM1248" i="7"/>
  <c r="AM1247" i="7"/>
  <c r="AM1246" i="7"/>
  <c r="AM1245" i="7"/>
  <c r="AM1244" i="7"/>
  <c r="AM1243" i="7"/>
  <c r="AM1242" i="7"/>
  <c r="AM1241" i="7"/>
  <c r="AM1240" i="7"/>
  <c r="AM1239" i="7"/>
  <c r="AM1238" i="7"/>
  <c r="AM1237" i="7"/>
  <c r="AM1236" i="7"/>
  <c r="AM1235" i="7"/>
  <c r="AM1234" i="7"/>
  <c r="AM1233" i="7"/>
  <c r="AM1232" i="7"/>
  <c r="AM1231" i="7"/>
  <c r="AM1230" i="7"/>
  <c r="AM1229" i="7"/>
  <c r="AM1228" i="7"/>
  <c r="AM1227" i="7"/>
  <c r="AM1226" i="7"/>
  <c r="AM1225" i="7"/>
  <c r="AM1224" i="7"/>
  <c r="AM1223" i="7"/>
  <c r="AM1222" i="7"/>
  <c r="AM1221" i="7"/>
  <c r="AM1220" i="7"/>
  <c r="AM1219" i="7"/>
  <c r="AM1218" i="7"/>
  <c r="AM1217" i="7"/>
  <c r="AM1216" i="7"/>
  <c r="AM1215" i="7"/>
  <c r="AM1214" i="7"/>
  <c r="AM1213" i="7"/>
  <c r="AM1212" i="7"/>
  <c r="AM1211" i="7"/>
  <c r="AM1210" i="7"/>
  <c r="AM1209" i="7"/>
  <c r="AM1208" i="7"/>
  <c r="AM1207" i="7"/>
  <c r="AM1206" i="7"/>
  <c r="AM1205" i="7"/>
  <c r="AM1204" i="7"/>
  <c r="AM1203" i="7"/>
  <c r="AM1202" i="7"/>
  <c r="AM1201" i="7"/>
  <c r="AM1200" i="7"/>
  <c r="AM1199" i="7"/>
  <c r="AM1198" i="7"/>
  <c r="AM1197" i="7"/>
  <c r="AM1196" i="7"/>
  <c r="AM1195" i="7"/>
  <c r="AM1194" i="7"/>
  <c r="AM1193" i="7"/>
  <c r="AM1192" i="7"/>
  <c r="AM1191" i="7"/>
  <c r="AM1190" i="7"/>
  <c r="AM1189" i="7"/>
  <c r="AM1188" i="7"/>
  <c r="AM1187" i="7"/>
  <c r="AM1186" i="7"/>
  <c r="AM1185" i="7"/>
  <c r="AM1184" i="7"/>
  <c r="AM1183" i="7"/>
  <c r="AM1182" i="7"/>
  <c r="AM1181" i="7"/>
  <c r="AM1180" i="7"/>
  <c r="AM1179" i="7"/>
  <c r="AM1178" i="7"/>
  <c r="AM1177" i="7"/>
  <c r="AM1176" i="7"/>
  <c r="AM1175" i="7"/>
  <c r="AM1174" i="7"/>
  <c r="AM1173" i="7"/>
  <c r="AM1172" i="7"/>
  <c r="AM1171" i="7"/>
  <c r="AM1170" i="7"/>
  <c r="AM1169" i="7"/>
  <c r="AM1168" i="7"/>
  <c r="AM1167" i="7"/>
  <c r="AM1166" i="7"/>
  <c r="AM1165" i="7"/>
  <c r="AM1164" i="7"/>
  <c r="AM1163" i="7"/>
  <c r="AM1162" i="7"/>
  <c r="AM1161" i="7"/>
  <c r="AM1160" i="7"/>
  <c r="AM1159" i="7"/>
  <c r="AM1158" i="7"/>
  <c r="AM1157" i="7"/>
  <c r="AM1156" i="7"/>
  <c r="AM1155" i="7"/>
  <c r="AM1154" i="7"/>
  <c r="AM1153" i="7"/>
  <c r="AM1152" i="7"/>
  <c r="AM1151" i="7"/>
  <c r="AM1150" i="7"/>
  <c r="AM1149" i="7"/>
  <c r="AM1148" i="7"/>
  <c r="AM1147" i="7"/>
  <c r="AM1146" i="7"/>
  <c r="AM1145" i="7"/>
  <c r="AM1144" i="7"/>
  <c r="AM1143" i="7"/>
  <c r="AM1142" i="7"/>
  <c r="AM1141" i="7"/>
  <c r="AM1140" i="7"/>
  <c r="AM1139" i="7"/>
  <c r="AM1138" i="7"/>
  <c r="AM1137" i="7"/>
  <c r="AM1136" i="7"/>
  <c r="AM1135" i="7"/>
  <c r="AM1134" i="7"/>
  <c r="AM1133" i="7"/>
  <c r="AM1132" i="7"/>
  <c r="AM1131" i="7"/>
  <c r="AM1130" i="7"/>
  <c r="AM1129" i="7"/>
  <c r="AM1128" i="7"/>
  <c r="AM1127" i="7"/>
  <c r="AM1126" i="7"/>
  <c r="AM1125" i="7"/>
  <c r="AM1124" i="7"/>
  <c r="AM1123" i="7"/>
  <c r="AM1122" i="7"/>
  <c r="AM1121" i="7"/>
  <c r="AM1120" i="7"/>
  <c r="AM1119" i="7"/>
  <c r="AM1118" i="7"/>
  <c r="AM1117" i="7"/>
  <c r="AM1116" i="7"/>
  <c r="AM1115" i="7"/>
  <c r="AM1114" i="7"/>
  <c r="AM1113" i="7"/>
  <c r="AM1112" i="7"/>
  <c r="AM1111" i="7"/>
  <c r="AM1110" i="7"/>
  <c r="AM1109" i="7"/>
  <c r="AM1108" i="7"/>
  <c r="AM1107" i="7"/>
  <c r="AM1106" i="7"/>
  <c r="AM1105" i="7"/>
  <c r="AM1104" i="7"/>
  <c r="AM1103" i="7"/>
  <c r="AM1102" i="7"/>
  <c r="AM1101" i="7"/>
  <c r="AM1100" i="7"/>
  <c r="AM1099" i="7"/>
  <c r="AM1098" i="7"/>
  <c r="AM1097" i="7"/>
  <c r="AM1096" i="7"/>
  <c r="AM1095" i="7"/>
  <c r="AM1094" i="7"/>
  <c r="AM1093" i="7"/>
  <c r="AM1092" i="7"/>
  <c r="AM1091" i="7"/>
  <c r="AM1090" i="7"/>
  <c r="AM1089" i="7"/>
  <c r="AM1088" i="7"/>
  <c r="AM1087" i="7"/>
  <c r="AM1086" i="7"/>
  <c r="AM1085" i="7"/>
  <c r="AM1084" i="7"/>
  <c r="AM1083" i="7"/>
  <c r="AM1082" i="7"/>
  <c r="AM1081" i="7"/>
  <c r="AM1080" i="7"/>
  <c r="AM1079" i="7"/>
  <c r="AM1078" i="7"/>
  <c r="AM1077" i="7"/>
  <c r="AM1076" i="7"/>
  <c r="AM1075" i="7"/>
  <c r="AM1074" i="7"/>
  <c r="AM1073" i="7"/>
  <c r="AM1072" i="7"/>
  <c r="AM1071" i="7"/>
  <c r="AM1070" i="7"/>
  <c r="AM1069" i="7"/>
  <c r="AM1068" i="7"/>
  <c r="AM1067" i="7"/>
  <c r="AM1066" i="7"/>
  <c r="AM1065" i="7"/>
  <c r="AM1064" i="7"/>
  <c r="AM1063" i="7"/>
  <c r="AM1062" i="7"/>
  <c r="AM1061" i="7"/>
  <c r="AM1060" i="7"/>
  <c r="AM1059" i="7"/>
  <c r="AM1058" i="7"/>
  <c r="AM1057" i="7"/>
  <c r="AM1056" i="7"/>
  <c r="AM1055" i="7"/>
  <c r="AM1054" i="7"/>
  <c r="AM1053" i="7"/>
  <c r="AM1052" i="7"/>
  <c r="AM1051" i="7"/>
  <c r="AM1050" i="7"/>
  <c r="AM1049" i="7"/>
  <c r="AM1048" i="7"/>
  <c r="AM1047" i="7"/>
  <c r="AM1046" i="7"/>
  <c r="AM1045" i="7"/>
  <c r="AM1044" i="7"/>
  <c r="AM1043" i="7"/>
  <c r="AM1042" i="7"/>
  <c r="AM1041" i="7"/>
  <c r="AM1040" i="7"/>
  <c r="AM1039" i="7"/>
  <c r="AM1038" i="7"/>
  <c r="AM1037" i="7"/>
  <c r="AM1036" i="7"/>
  <c r="AM1035" i="7"/>
  <c r="AM1034" i="7"/>
  <c r="AM1033" i="7"/>
  <c r="AM1032" i="7"/>
  <c r="AM1031" i="7"/>
  <c r="AM1030" i="7"/>
  <c r="AM1029" i="7"/>
  <c r="AM1028" i="7"/>
  <c r="AM1027" i="7"/>
  <c r="AM1026" i="7"/>
  <c r="AM1025" i="7"/>
  <c r="AM1024" i="7"/>
  <c r="AM1023" i="7"/>
  <c r="AM1022" i="7"/>
  <c r="AM1021" i="7"/>
  <c r="AM1020" i="7"/>
  <c r="AM1019" i="7"/>
  <c r="AM1018" i="7"/>
  <c r="AM1017" i="7"/>
  <c r="AM1016" i="7"/>
  <c r="AM1015" i="7"/>
  <c r="AM1014" i="7"/>
  <c r="AM1013" i="7"/>
  <c r="AM1012" i="7"/>
  <c r="AM1011" i="7"/>
  <c r="AM1010" i="7"/>
  <c r="AM1009" i="7"/>
  <c r="AM1008" i="7"/>
  <c r="AM1007" i="7"/>
  <c r="AM1006" i="7"/>
  <c r="AM1005" i="7"/>
  <c r="AM1004" i="7"/>
  <c r="AM1003" i="7"/>
  <c r="AM1002" i="7"/>
  <c r="AM1001" i="7"/>
  <c r="AM1000" i="7"/>
  <c r="AM999" i="7"/>
  <c r="AM998" i="7"/>
  <c r="AM997" i="7"/>
  <c r="AM996" i="7"/>
  <c r="AM995" i="7"/>
  <c r="AM994" i="7"/>
  <c r="AM993" i="7"/>
  <c r="AM992" i="7"/>
  <c r="AM991" i="7"/>
  <c r="AM990" i="7"/>
  <c r="AM989" i="7"/>
  <c r="AM988" i="7"/>
  <c r="AM987" i="7"/>
  <c r="AM986" i="7"/>
  <c r="AM985" i="7"/>
  <c r="AM984" i="7"/>
  <c r="AM983" i="7"/>
  <c r="AM982" i="7"/>
  <c r="AM981" i="7"/>
  <c r="AM980" i="7"/>
  <c r="AM979" i="7"/>
  <c r="AM978" i="7"/>
  <c r="AM977" i="7"/>
  <c r="AM976" i="7"/>
  <c r="AM975" i="7"/>
  <c r="AM974" i="7"/>
  <c r="AM973" i="7"/>
  <c r="AM972" i="7"/>
  <c r="AM971" i="7"/>
  <c r="AM970" i="7"/>
  <c r="AM969" i="7"/>
  <c r="AM968" i="7"/>
  <c r="AM967" i="7"/>
  <c r="AM966" i="7"/>
  <c r="AM965" i="7"/>
  <c r="AM964" i="7"/>
  <c r="AM963" i="7"/>
  <c r="AM962" i="7"/>
  <c r="AM961" i="7"/>
  <c r="AM960" i="7"/>
  <c r="AM959" i="7"/>
  <c r="AM958" i="7"/>
  <c r="AM957" i="7"/>
  <c r="AM956" i="7"/>
  <c r="AM955" i="7"/>
  <c r="AM954" i="7"/>
  <c r="AM953" i="7"/>
  <c r="AM952" i="7"/>
  <c r="AM951" i="7"/>
  <c r="AM950" i="7"/>
  <c r="AM949" i="7"/>
  <c r="AM948" i="7"/>
  <c r="AM947" i="7"/>
  <c r="AM946" i="7"/>
  <c r="AM945" i="7"/>
  <c r="AM944" i="7"/>
  <c r="AM943" i="7"/>
  <c r="AM942" i="7"/>
  <c r="AM941" i="7"/>
  <c r="AM940" i="7"/>
  <c r="AM939" i="7"/>
  <c r="AM938" i="7"/>
  <c r="AM937" i="7"/>
  <c r="AM936" i="7"/>
  <c r="AM935" i="7"/>
  <c r="AM934" i="7"/>
  <c r="AM933" i="7"/>
  <c r="AM932" i="7"/>
  <c r="AM931" i="7"/>
  <c r="AM930" i="7"/>
  <c r="AM929" i="7"/>
  <c r="AM928" i="7"/>
  <c r="AM927" i="7"/>
  <c r="AM926" i="7"/>
  <c r="AM925" i="7"/>
  <c r="AM924" i="7"/>
  <c r="AM923" i="7"/>
  <c r="AM922" i="7"/>
  <c r="AM921" i="7"/>
  <c r="AM920" i="7"/>
  <c r="AM919" i="7"/>
  <c r="AM918" i="7"/>
  <c r="AM917" i="7"/>
  <c r="AM916" i="7"/>
  <c r="AM915" i="7"/>
  <c r="AM914" i="7"/>
  <c r="AM913" i="7"/>
  <c r="AM912" i="7"/>
  <c r="AM911" i="7"/>
  <c r="AM910" i="7"/>
  <c r="AM909" i="7"/>
  <c r="AM908" i="7"/>
  <c r="AM907" i="7"/>
  <c r="AM906" i="7"/>
  <c r="AM905" i="7"/>
  <c r="AM904" i="7"/>
  <c r="AM903" i="7"/>
  <c r="AM902" i="7"/>
  <c r="AM901" i="7"/>
  <c r="AM900" i="7"/>
  <c r="AM899" i="7"/>
  <c r="AM898" i="7"/>
  <c r="AM897" i="7"/>
  <c r="AM896" i="7"/>
  <c r="AM895" i="7"/>
  <c r="AM894" i="7"/>
  <c r="AM893" i="7"/>
  <c r="AM892" i="7"/>
  <c r="AM891" i="7"/>
  <c r="AM890" i="7"/>
  <c r="AM889" i="7"/>
  <c r="AM888" i="7"/>
  <c r="AM887" i="7"/>
  <c r="AM886" i="7"/>
  <c r="AM885" i="7"/>
  <c r="AM884" i="7"/>
  <c r="AM883" i="7"/>
  <c r="AM882" i="7"/>
  <c r="AM881" i="7"/>
  <c r="AM880" i="7"/>
  <c r="AM879" i="7"/>
  <c r="AM878" i="7"/>
  <c r="AM877" i="7"/>
  <c r="AM876" i="7"/>
  <c r="AM875" i="7"/>
  <c r="AM874" i="7"/>
  <c r="AM873" i="7"/>
  <c r="AM872" i="7"/>
  <c r="AM871" i="7"/>
  <c r="AM870" i="7"/>
  <c r="AM869" i="7"/>
  <c r="AM868" i="7"/>
  <c r="AM867" i="7"/>
  <c r="AM866" i="7"/>
  <c r="AM865" i="7"/>
  <c r="AM864" i="7"/>
  <c r="AM863" i="7"/>
  <c r="AM862" i="7"/>
  <c r="AM861" i="7"/>
  <c r="AM860" i="7"/>
  <c r="AM859" i="7"/>
  <c r="AM858" i="7"/>
  <c r="AM857" i="7"/>
  <c r="AM856" i="7"/>
  <c r="AM855" i="7"/>
  <c r="AM854" i="7"/>
  <c r="AM853" i="7"/>
  <c r="AM852" i="7"/>
  <c r="AM851" i="7"/>
  <c r="AM850" i="7"/>
  <c r="AM849" i="7"/>
  <c r="AM848" i="7"/>
  <c r="AM847" i="7"/>
  <c r="AM846" i="7"/>
  <c r="AM845" i="7"/>
  <c r="AM844" i="7"/>
  <c r="AM843" i="7"/>
  <c r="AM842" i="7"/>
  <c r="AM841" i="7"/>
  <c r="AM840" i="7"/>
  <c r="AM839" i="7"/>
  <c r="AM838" i="7"/>
  <c r="AM837" i="7"/>
  <c r="AM836" i="7"/>
  <c r="AM835" i="7"/>
  <c r="AM834" i="7"/>
  <c r="AM833" i="7"/>
  <c r="AM832" i="7"/>
  <c r="AM831" i="7"/>
  <c r="AM830" i="7"/>
  <c r="AM829" i="7"/>
  <c r="AM828" i="7"/>
  <c r="AM827" i="7"/>
  <c r="AM826" i="7"/>
  <c r="AM825" i="7"/>
  <c r="AM824" i="7"/>
  <c r="AM823" i="7"/>
  <c r="AM822" i="7"/>
  <c r="AM821" i="7"/>
  <c r="AM820" i="7"/>
  <c r="AM819" i="7"/>
  <c r="AM818" i="7"/>
  <c r="AM817" i="7"/>
  <c r="AM816" i="7"/>
  <c r="AM815" i="7"/>
  <c r="AM814" i="7"/>
  <c r="AM813" i="7"/>
  <c r="AM812" i="7"/>
  <c r="AM811" i="7"/>
  <c r="AM810" i="7"/>
  <c r="AM809" i="7"/>
  <c r="AM808" i="7"/>
  <c r="AM807" i="7"/>
  <c r="AM806" i="7"/>
  <c r="AM805" i="7"/>
  <c r="AM804" i="7"/>
  <c r="AM803" i="7"/>
  <c r="AM802" i="7"/>
  <c r="AM801" i="7"/>
  <c r="AM800" i="7"/>
  <c r="AM799" i="7"/>
  <c r="AM798" i="7"/>
  <c r="AM797" i="7"/>
  <c r="AM796" i="7"/>
  <c r="AM795" i="7"/>
  <c r="AM794" i="7"/>
  <c r="AM793" i="7"/>
  <c r="AM792" i="7"/>
  <c r="AM791" i="7"/>
  <c r="AM790" i="7"/>
  <c r="AM789" i="7"/>
  <c r="AM788" i="7"/>
  <c r="AM787" i="7"/>
  <c r="AM786" i="7"/>
  <c r="AM785" i="7"/>
  <c r="AM784" i="7"/>
  <c r="AM783" i="7"/>
  <c r="AM782" i="7"/>
  <c r="AM781" i="7"/>
  <c r="AM780" i="7"/>
  <c r="AM779" i="7"/>
  <c r="AM778" i="7"/>
  <c r="AM777" i="7"/>
  <c r="AM776" i="7"/>
  <c r="AM775" i="7"/>
  <c r="AM774" i="7"/>
  <c r="AM773" i="7"/>
  <c r="AM772" i="7"/>
  <c r="AM771" i="7"/>
  <c r="AM770" i="7"/>
  <c r="AM769" i="7"/>
  <c r="AM768" i="7"/>
  <c r="AM767" i="7"/>
  <c r="AM766" i="7"/>
  <c r="AM765" i="7"/>
  <c r="AM764" i="7"/>
  <c r="AM763" i="7"/>
  <c r="AM762" i="7"/>
  <c r="AM761" i="7"/>
  <c r="AM760" i="7"/>
  <c r="AM759" i="7"/>
  <c r="AM758" i="7"/>
  <c r="AM757" i="7"/>
  <c r="AM756" i="7"/>
  <c r="AM755" i="7"/>
  <c r="AM754" i="7"/>
  <c r="AM753" i="7"/>
  <c r="AM752" i="7"/>
  <c r="AM751" i="7"/>
  <c r="AM750" i="7"/>
  <c r="AM749" i="7"/>
  <c r="AM748" i="7"/>
  <c r="AM747" i="7"/>
  <c r="AM746" i="7"/>
  <c r="AM745" i="7"/>
  <c r="AM744" i="7"/>
  <c r="AM743" i="7"/>
  <c r="AM742" i="7"/>
  <c r="AM741" i="7"/>
  <c r="AM740" i="7"/>
  <c r="AM739" i="7"/>
  <c r="AM738" i="7"/>
  <c r="AM737" i="7"/>
  <c r="AM736" i="7"/>
  <c r="AM735" i="7"/>
  <c r="AM734" i="7"/>
  <c r="AM733" i="7"/>
  <c r="AM732" i="7"/>
  <c r="AM731" i="7"/>
  <c r="AM730" i="7"/>
  <c r="AM729" i="7"/>
  <c r="AM728" i="7"/>
  <c r="AM727" i="7"/>
  <c r="AM726" i="7"/>
  <c r="AM725" i="7"/>
  <c r="AM724" i="7"/>
  <c r="AM723" i="7"/>
  <c r="AM722" i="7"/>
  <c r="AM721" i="7"/>
  <c r="AM720" i="7"/>
  <c r="AM719" i="7"/>
  <c r="AM718" i="7"/>
  <c r="AM717" i="7"/>
  <c r="AM716" i="7"/>
  <c r="AM715" i="7"/>
  <c r="AM714" i="7"/>
  <c r="AM713" i="7"/>
  <c r="AM712" i="7"/>
  <c r="AM711" i="7"/>
  <c r="AM710" i="7"/>
  <c r="AM709" i="7"/>
  <c r="AM708" i="7"/>
  <c r="AM707" i="7"/>
  <c r="AM706" i="7"/>
  <c r="AM705" i="7"/>
  <c r="AM704" i="7"/>
  <c r="AM703" i="7"/>
  <c r="AM702" i="7"/>
  <c r="AM701" i="7"/>
  <c r="AM700" i="7"/>
  <c r="AM699" i="7"/>
  <c r="AM698" i="7"/>
  <c r="AM697" i="7"/>
  <c r="AM696" i="7"/>
  <c r="AM695" i="7"/>
  <c r="AM694" i="7"/>
  <c r="AM693" i="7"/>
  <c r="AM692" i="7"/>
  <c r="AM691" i="7"/>
  <c r="AM690" i="7"/>
  <c r="AM689" i="7"/>
  <c r="AM688" i="7"/>
  <c r="AM687" i="7"/>
  <c r="AM686" i="7"/>
  <c r="AM685" i="7"/>
  <c r="AM684" i="7"/>
  <c r="AM683" i="7"/>
  <c r="AM682" i="7"/>
  <c r="AM681" i="7"/>
  <c r="AM680" i="7"/>
  <c r="AM679" i="7"/>
  <c r="AM678" i="7"/>
  <c r="AM677" i="7"/>
  <c r="AM676" i="7"/>
  <c r="AM675" i="7"/>
  <c r="AM674" i="7"/>
  <c r="AM673" i="7"/>
  <c r="AM672" i="7"/>
  <c r="AM671" i="7"/>
  <c r="AM670" i="7"/>
  <c r="AM669" i="7"/>
  <c r="AM668" i="7"/>
  <c r="AM667" i="7"/>
  <c r="AM666" i="7"/>
  <c r="AM665" i="7"/>
  <c r="AM664" i="7"/>
  <c r="AM663" i="7"/>
  <c r="AM662" i="7"/>
  <c r="AM661" i="7"/>
  <c r="AM660" i="7"/>
  <c r="AM659" i="7"/>
  <c r="AM658" i="7"/>
  <c r="AM657" i="7"/>
  <c r="AM656" i="7"/>
  <c r="AM655" i="7"/>
  <c r="AM654" i="7"/>
  <c r="AM653" i="7"/>
  <c r="AM652" i="7"/>
  <c r="AM651" i="7"/>
  <c r="AM650" i="7"/>
  <c r="AM649" i="7"/>
  <c r="AM648" i="7"/>
  <c r="AM647" i="7"/>
  <c r="AM646" i="7"/>
  <c r="AM645" i="7"/>
  <c r="AM644" i="7"/>
  <c r="AM643" i="7"/>
  <c r="AM642" i="7"/>
  <c r="AM641" i="7"/>
  <c r="AM640" i="7"/>
  <c r="AM639" i="7"/>
  <c r="AM638" i="7"/>
  <c r="AM637" i="7"/>
  <c r="AM636" i="7"/>
  <c r="AM635" i="7"/>
  <c r="AM634" i="7"/>
  <c r="AM633" i="7"/>
  <c r="AM632" i="7"/>
  <c r="AM631" i="7"/>
  <c r="AM630" i="7"/>
  <c r="AM629" i="7"/>
  <c r="AM628" i="7"/>
  <c r="AM627" i="7"/>
  <c r="AM626" i="7"/>
  <c r="AM625" i="7"/>
  <c r="AM624" i="7"/>
  <c r="AM623" i="7"/>
  <c r="AM622" i="7"/>
  <c r="AM621" i="7"/>
  <c r="AM620" i="7"/>
  <c r="AM619" i="7"/>
  <c r="AM618" i="7"/>
  <c r="AM617" i="7"/>
  <c r="AM616" i="7"/>
  <c r="AM615" i="7"/>
  <c r="AM614" i="7"/>
  <c r="AM613" i="7"/>
  <c r="AM612" i="7"/>
  <c r="AM611" i="7"/>
  <c r="AM610" i="7"/>
  <c r="AM609" i="7"/>
  <c r="AM608" i="7"/>
  <c r="AM607" i="7"/>
  <c r="AM606" i="7"/>
  <c r="AM605" i="7"/>
  <c r="AM604" i="7"/>
  <c r="AM603" i="7"/>
  <c r="AM602" i="7"/>
  <c r="AM601" i="7"/>
  <c r="AM600" i="7"/>
  <c r="AM599" i="7"/>
  <c r="AM598" i="7"/>
  <c r="AM597" i="7"/>
  <c r="AM596" i="7"/>
  <c r="AM595" i="7"/>
  <c r="AM594" i="7"/>
  <c r="AM593" i="7"/>
  <c r="AM592" i="7"/>
  <c r="AM591" i="7"/>
  <c r="AM590" i="7"/>
  <c r="AM589" i="7"/>
  <c r="AM588" i="7"/>
  <c r="AM587" i="7"/>
  <c r="AM586" i="7"/>
  <c r="AM585" i="7"/>
  <c r="AM584" i="7"/>
  <c r="AM583" i="7"/>
  <c r="AM582" i="7"/>
  <c r="AM581" i="7"/>
  <c r="AM580" i="7"/>
  <c r="AM579" i="7"/>
  <c r="AM578" i="7"/>
  <c r="AM577" i="7"/>
  <c r="AM576" i="7"/>
  <c r="AM575" i="7"/>
  <c r="AM574" i="7"/>
  <c r="AM573" i="7"/>
  <c r="AM572" i="7"/>
  <c r="AM571" i="7"/>
  <c r="AM570" i="7"/>
  <c r="AM569" i="7"/>
  <c r="AM568" i="7"/>
  <c r="AM567" i="7"/>
  <c r="AM566" i="7"/>
  <c r="AM565" i="7"/>
  <c r="AM564" i="7"/>
  <c r="AM563" i="7"/>
  <c r="AM562" i="7"/>
  <c r="AM561" i="7"/>
  <c r="AM560" i="7"/>
  <c r="AM559" i="7"/>
  <c r="AM558" i="7"/>
  <c r="AM557" i="7"/>
  <c r="AM556" i="7"/>
  <c r="AM555" i="7"/>
  <c r="AM554" i="7"/>
  <c r="AM553" i="7"/>
  <c r="AM552" i="7"/>
  <c r="AM551" i="7"/>
  <c r="AM550" i="7"/>
  <c r="AM549" i="7"/>
  <c r="AM548" i="7"/>
  <c r="AM547" i="7"/>
  <c r="AM546" i="7"/>
  <c r="AM545" i="7"/>
  <c r="AM544" i="7"/>
  <c r="AM543" i="7"/>
  <c r="AM542" i="7"/>
  <c r="AM541" i="7"/>
  <c r="AM540" i="7"/>
  <c r="AM539" i="7"/>
  <c r="AM538" i="7"/>
  <c r="AM537" i="7"/>
  <c r="AM536" i="7"/>
  <c r="AM535" i="7"/>
  <c r="AM534" i="7"/>
  <c r="AM533" i="7"/>
  <c r="AM532" i="7"/>
  <c r="AM531" i="7"/>
  <c r="AM530" i="7"/>
  <c r="AM529" i="7"/>
  <c r="AM528" i="7"/>
  <c r="AM527" i="7"/>
  <c r="AM526" i="7"/>
  <c r="AM525" i="7"/>
  <c r="AM524" i="7"/>
  <c r="AM523" i="7"/>
  <c r="AM522" i="7"/>
  <c r="AM521" i="7"/>
  <c r="AM520" i="7"/>
  <c r="AM519" i="7"/>
  <c r="AM518" i="7"/>
  <c r="AM517" i="7"/>
  <c r="AM516" i="7"/>
  <c r="AM515" i="7"/>
  <c r="AM514" i="7"/>
  <c r="AM513" i="7"/>
  <c r="AM512" i="7"/>
  <c r="AM511" i="7"/>
  <c r="AM510" i="7"/>
  <c r="AM509" i="7"/>
  <c r="AM508" i="7"/>
  <c r="AM507" i="7"/>
  <c r="AM506" i="7"/>
  <c r="AM505" i="7"/>
  <c r="AM504" i="7"/>
  <c r="AM503" i="7"/>
  <c r="AM502" i="7"/>
  <c r="AM501" i="7"/>
  <c r="AM500" i="7"/>
  <c r="AM499" i="7"/>
  <c r="AM498" i="7"/>
  <c r="AM497" i="7"/>
  <c r="AM496" i="7"/>
  <c r="AM495" i="7"/>
  <c r="AM494" i="7"/>
  <c r="AM493" i="7"/>
  <c r="AM492" i="7"/>
  <c r="AM491" i="7"/>
  <c r="AM490" i="7"/>
  <c r="AM489" i="7"/>
  <c r="AM488" i="7"/>
  <c r="AM487" i="7"/>
  <c r="AM486" i="7"/>
  <c r="AM485" i="7"/>
  <c r="AM484" i="7"/>
  <c r="AM483" i="7"/>
  <c r="AM482" i="7"/>
  <c r="AM481" i="7"/>
  <c r="AM480" i="7"/>
  <c r="AM479" i="7"/>
  <c r="AM478" i="7"/>
  <c r="AM477" i="7"/>
  <c r="AM476" i="7"/>
  <c r="AM475" i="7"/>
  <c r="AM474" i="7"/>
  <c r="AM473" i="7"/>
  <c r="AM472" i="7"/>
  <c r="AM471" i="7"/>
  <c r="AM470" i="7"/>
  <c r="AM469" i="7"/>
  <c r="AM468" i="7"/>
  <c r="AM467" i="7"/>
  <c r="AM466" i="7"/>
  <c r="AM465" i="7"/>
  <c r="AM464" i="7"/>
  <c r="AM463" i="7"/>
  <c r="AM462" i="7"/>
  <c r="AM461" i="7"/>
  <c r="AM460" i="7"/>
  <c r="AM459" i="7"/>
  <c r="AM458" i="7"/>
  <c r="AM457" i="7"/>
  <c r="AM456" i="7"/>
  <c r="AM455" i="7"/>
  <c r="AM454" i="7"/>
  <c r="AM453" i="7"/>
  <c r="AM452" i="7"/>
  <c r="AM451" i="7"/>
  <c r="AM450" i="7"/>
  <c r="AM449" i="7"/>
  <c r="AM448" i="7"/>
  <c r="AM447" i="7"/>
  <c r="AM446" i="7"/>
  <c r="AM445" i="7"/>
  <c r="AM444" i="7"/>
  <c r="AM443" i="7"/>
  <c r="AM442" i="7"/>
  <c r="AM441" i="7"/>
  <c r="AM440" i="7"/>
  <c r="AM439" i="7"/>
  <c r="AM438" i="7"/>
  <c r="AM437" i="7"/>
  <c r="AM436" i="7"/>
  <c r="AM435" i="7"/>
  <c r="AM434" i="7"/>
  <c r="AM433" i="7"/>
  <c r="AM432" i="7"/>
  <c r="AM431" i="7"/>
  <c r="AM430" i="7"/>
  <c r="AM429" i="7"/>
  <c r="AM428" i="7"/>
  <c r="AM427" i="7"/>
  <c r="AM426" i="7"/>
  <c r="AM425" i="7"/>
  <c r="AM424" i="7"/>
  <c r="AM423" i="7"/>
  <c r="AM422" i="7"/>
  <c r="AM421" i="7"/>
  <c r="AM420" i="7"/>
  <c r="AM419" i="7"/>
  <c r="AM418" i="7"/>
  <c r="AM417" i="7"/>
  <c r="AM416" i="7"/>
  <c r="AM415" i="7"/>
  <c r="AM414" i="7"/>
  <c r="AM413" i="7"/>
  <c r="AM412" i="7"/>
  <c r="AM411" i="7"/>
  <c r="AM410" i="7"/>
  <c r="AM409" i="7"/>
  <c r="AM408" i="7"/>
  <c r="AM407" i="7"/>
  <c r="AM406" i="7"/>
  <c r="AM405" i="7"/>
  <c r="AM404" i="7"/>
  <c r="AM403" i="7"/>
  <c r="AM402" i="7"/>
  <c r="AM401" i="7"/>
  <c r="AM400" i="7"/>
  <c r="AM399" i="7"/>
  <c r="AM398" i="7"/>
  <c r="AM397" i="7"/>
  <c r="AM396" i="7"/>
  <c r="AM395" i="7"/>
  <c r="AM394" i="7"/>
  <c r="AM393" i="7"/>
  <c r="AM392" i="7"/>
  <c r="AM391" i="7"/>
  <c r="AM390" i="7"/>
  <c r="AM389" i="7"/>
  <c r="AM388" i="7"/>
  <c r="AM387" i="7"/>
  <c r="AM386" i="7"/>
  <c r="AM385" i="7"/>
  <c r="AM384" i="7"/>
  <c r="AM383" i="7"/>
  <c r="AM382" i="7"/>
  <c r="AM381" i="7"/>
  <c r="AM380" i="7"/>
  <c r="AM379" i="7"/>
  <c r="AM378" i="7"/>
  <c r="AM377" i="7"/>
  <c r="AM376" i="7"/>
  <c r="AM375" i="7"/>
  <c r="AM374" i="7"/>
  <c r="AM373" i="7"/>
  <c r="AM372" i="7"/>
  <c r="AM371" i="7"/>
  <c r="AM370" i="7"/>
  <c r="AM369" i="7"/>
  <c r="AM368" i="7"/>
  <c r="AM367" i="7"/>
  <c r="AM366" i="7"/>
  <c r="AM365" i="7"/>
  <c r="AM364" i="7"/>
  <c r="AM363" i="7"/>
  <c r="AM362" i="7"/>
  <c r="AM361" i="7"/>
  <c r="AM360" i="7"/>
  <c r="AM359" i="7"/>
  <c r="AM358" i="7"/>
  <c r="AM357" i="7"/>
  <c r="AM356" i="7"/>
  <c r="AM355" i="7"/>
  <c r="AM354" i="7"/>
  <c r="AM353" i="7"/>
  <c r="AM352" i="7"/>
  <c r="AM351" i="7"/>
  <c r="AM350" i="7"/>
  <c r="AM349" i="7"/>
  <c r="AM348" i="7"/>
  <c r="AM347" i="7"/>
  <c r="AM346" i="7"/>
  <c r="AM345" i="7"/>
  <c r="AM344" i="7"/>
  <c r="AM343" i="7"/>
  <c r="AM342" i="7"/>
  <c r="AM341" i="7"/>
  <c r="AM340" i="7"/>
  <c r="AM339" i="7"/>
  <c r="AM338" i="7"/>
  <c r="AM337" i="7"/>
  <c r="AM336" i="7"/>
  <c r="AM335" i="7"/>
  <c r="AM334" i="7"/>
  <c r="AM333" i="7"/>
  <c r="AM332" i="7"/>
  <c r="AM331" i="7"/>
  <c r="AM330" i="7"/>
  <c r="AM329" i="7"/>
  <c r="AM328" i="7"/>
  <c r="AM327" i="7"/>
  <c r="AM326" i="7"/>
  <c r="AM325" i="7"/>
  <c r="AM324" i="7"/>
  <c r="AM323" i="7"/>
  <c r="AM322" i="7"/>
  <c r="AM321" i="7"/>
  <c r="AM320" i="7"/>
  <c r="AM319" i="7"/>
  <c r="AM318" i="7"/>
  <c r="AM317" i="7"/>
  <c r="AM316" i="7"/>
  <c r="AM315" i="7"/>
  <c r="AM314" i="7"/>
  <c r="AM313" i="7"/>
  <c r="AM312" i="7"/>
  <c r="AM311" i="7"/>
  <c r="AM310" i="7"/>
  <c r="AM309" i="7"/>
  <c r="AM308" i="7"/>
  <c r="AM307" i="7"/>
  <c r="AM306" i="7"/>
  <c r="AM305" i="7"/>
  <c r="AM304" i="7"/>
  <c r="AM303" i="7"/>
  <c r="AM302" i="7"/>
  <c r="AM301" i="7"/>
  <c r="AM300" i="7"/>
  <c r="AM299" i="7"/>
  <c r="AM298" i="7"/>
  <c r="AM297" i="7"/>
  <c r="AM296" i="7"/>
  <c r="AM295" i="7"/>
  <c r="AM294" i="7"/>
  <c r="AM293" i="7"/>
  <c r="AM292" i="7"/>
  <c r="AM291" i="7"/>
  <c r="AM290" i="7"/>
  <c r="AM289" i="7"/>
  <c r="AM288" i="7"/>
  <c r="AM287" i="7"/>
  <c r="AM286" i="7"/>
  <c r="AM285" i="7"/>
  <c r="AM284" i="7"/>
  <c r="AM283" i="7"/>
  <c r="AM282" i="7"/>
  <c r="AM281" i="7"/>
  <c r="AM280" i="7"/>
  <c r="AM279" i="7"/>
  <c r="AM278" i="7"/>
  <c r="AM277" i="7"/>
  <c r="AM276" i="7"/>
  <c r="AM275" i="7"/>
  <c r="AM274" i="7"/>
  <c r="AM273" i="7"/>
  <c r="AM272" i="7"/>
  <c r="AM271" i="7"/>
  <c r="AM270" i="7"/>
  <c r="AM269" i="7"/>
  <c r="AM268" i="7"/>
  <c r="AM267" i="7"/>
  <c r="AM266" i="7"/>
  <c r="AM265" i="7"/>
  <c r="AM264" i="7"/>
  <c r="AM263" i="7"/>
  <c r="AM262" i="7"/>
  <c r="AM261" i="7"/>
  <c r="AM260" i="7"/>
  <c r="AM259" i="7"/>
  <c r="AM258" i="7"/>
  <c r="AM257" i="7"/>
  <c r="AM256" i="7"/>
  <c r="AM255" i="7"/>
  <c r="AM254" i="7"/>
  <c r="AM253" i="7"/>
  <c r="AM252" i="7"/>
  <c r="AM251" i="7"/>
  <c r="AM250" i="7"/>
  <c r="AM249" i="7"/>
  <c r="AM248" i="7"/>
  <c r="AM247" i="7"/>
  <c r="AM246" i="7"/>
  <c r="AM245" i="7"/>
  <c r="AM244" i="7"/>
  <c r="AM243" i="7"/>
  <c r="AM242" i="7"/>
  <c r="AM241" i="7"/>
  <c r="AM240" i="7"/>
  <c r="AM239" i="7"/>
  <c r="AM238" i="7"/>
  <c r="AM237" i="7"/>
  <c r="AM236" i="7"/>
  <c r="AM235" i="7"/>
  <c r="AM234" i="7"/>
  <c r="AM233" i="7"/>
  <c r="AM232" i="7"/>
  <c r="AM231" i="7"/>
  <c r="AM230" i="7"/>
  <c r="AM229" i="7"/>
  <c r="AM228" i="7"/>
  <c r="AM227" i="7"/>
  <c r="AM226" i="7"/>
  <c r="AM225" i="7"/>
  <c r="AM224" i="7"/>
  <c r="AM223" i="7"/>
  <c r="AM222" i="7"/>
  <c r="AM221" i="7"/>
  <c r="AM220" i="7"/>
  <c r="AM219" i="7"/>
  <c r="AM218" i="7"/>
  <c r="AM217" i="7"/>
  <c r="AM216" i="7"/>
  <c r="AM215" i="7"/>
  <c r="AM214" i="7"/>
  <c r="AM213" i="7"/>
  <c r="AM212" i="7"/>
  <c r="AM211" i="7"/>
  <c r="AM210" i="7"/>
  <c r="AM209" i="7"/>
  <c r="AM208" i="7"/>
  <c r="AM207" i="7"/>
  <c r="AM206" i="7"/>
  <c r="AM205" i="7"/>
  <c r="AM204" i="7"/>
  <c r="AM203" i="7"/>
  <c r="AM202" i="7"/>
  <c r="AM201" i="7"/>
  <c r="AM200" i="7"/>
  <c r="AM199" i="7"/>
  <c r="AM198" i="7"/>
  <c r="AM197" i="7"/>
  <c r="AM196" i="7"/>
  <c r="AM195" i="7"/>
  <c r="AM194" i="7"/>
  <c r="AM193" i="7"/>
  <c r="AM192" i="7"/>
  <c r="AM191" i="7"/>
  <c r="AM190" i="7"/>
  <c r="AM189" i="7"/>
  <c r="AM188" i="7"/>
  <c r="AM187" i="7"/>
  <c r="AM186" i="7"/>
  <c r="AM185" i="7"/>
  <c r="AM184" i="7"/>
  <c r="AM183" i="7"/>
  <c r="AM182" i="7"/>
  <c r="AM181" i="7"/>
  <c r="AM180" i="7"/>
  <c r="AM179" i="7"/>
  <c r="AM178" i="7"/>
  <c r="AM177" i="7"/>
  <c r="AM176" i="7"/>
  <c r="AM175" i="7"/>
  <c r="AM174" i="7"/>
  <c r="AM173" i="7"/>
  <c r="AM172" i="7"/>
  <c r="AM171" i="7"/>
  <c r="AM170" i="7"/>
  <c r="AM169" i="7"/>
  <c r="AM168" i="7"/>
  <c r="AM167" i="7"/>
  <c r="AM166" i="7"/>
  <c r="AM165" i="7"/>
  <c r="AM164" i="7"/>
  <c r="AM163" i="7"/>
  <c r="AM162" i="7"/>
  <c r="AM161" i="7"/>
  <c r="AM160" i="7"/>
  <c r="AM159" i="7"/>
  <c r="AM158" i="7"/>
  <c r="AM157" i="7"/>
  <c r="AM156" i="7"/>
  <c r="AM155" i="7"/>
  <c r="AM154" i="7"/>
  <c r="AM153" i="7"/>
  <c r="AM152" i="7"/>
  <c r="AM151" i="7"/>
  <c r="AM150" i="7"/>
  <c r="AM149" i="7"/>
  <c r="AM148" i="7"/>
  <c r="AM147" i="7"/>
  <c r="AM146" i="7"/>
  <c r="AM145" i="7"/>
  <c r="AM144" i="7"/>
  <c r="AM143" i="7"/>
  <c r="AM142" i="7"/>
  <c r="AM141" i="7"/>
  <c r="AM140" i="7"/>
  <c r="AM139" i="7"/>
  <c r="AM138" i="7"/>
  <c r="AM137" i="7"/>
  <c r="AM136" i="7"/>
  <c r="AM135" i="7"/>
  <c r="AM134" i="7"/>
  <c r="AM133" i="7"/>
  <c r="AM132" i="7"/>
  <c r="AM131" i="7"/>
  <c r="AM130" i="7"/>
  <c r="AM129" i="7"/>
  <c r="AM128" i="7"/>
  <c r="AM127" i="7"/>
  <c r="AM126" i="7"/>
  <c r="AM125" i="7"/>
  <c r="AM124" i="7"/>
  <c r="AM123" i="7"/>
  <c r="AM122" i="7"/>
  <c r="AM121" i="7"/>
  <c r="AM120" i="7"/>
  <c r="AM119" i="7"/>
  <c r="AM118" i="7"/>
  <c r="AM117" i="7"/>
  <c r="AM116" i="7"/>
  <c r="AM115" i="7"/>
  <c r="AM114" i="7"/>
  <c r="AM113" i="7"/>
  <c r="AM112" i="7"/>
  <c r="AM111" i="7"/>
  <c r="AM110" i="7"/>
  <c r="AM109" i="7"/>
  <c r="AM108" i="7"/>
  <c r="AM107" i="7"/>
  <c r="AM106" i="7"/>
  <c r="AM105" i="7"/>
  <c r="AM104" i="7"/>
  <c r="AM103" i="7"/>
  <c r="AM102" i="7"/>
  <c r="AM101" i="7"/>
  <c r="AM100" i="7"/>
  <c r="AM99" i="7"/>
  <c r="AM98" i="7"/>
  <c r="AM97" i="7"/>
  <c r="AM96" i="7"/>
  <c r="AM95" i="7"/>
  <c r="AM94" i="7"/>
  <c r="AM93" i="7"/>
  <c r="AM92" i="7"/>
  <c r="AM91" i="7"/>
  <c r="AM90" i="7"/>
  <c r="AM89" i="7"/>
  <c r="AM88" i="7"/>
  <c r="AM87" i="7"/>
  <c r="AM86" i="7"/>
  <c r="AM85" i="7"/>
  <c r="AM84" i="7"/>
  <c r="AM83" i="7"/>
  <c r="AM82" i="7"/>
  <c r="AM81" i="7"/>
  <c r="AM80" i="7"/>
  <c r="AM79" i="7"/>
  <c r="AM78" i="7"/>
  <c r="AM77" i="7"/>
  <c r="AM76" i="7"/>
  <c r="AM75" i="7"/>
  <c r="AM74" i="7"/>
  <c r="AM73" i="7"/>
  <c r="AM72" i="7"/>
  <c r="AM71" i="7"/>
  <c r="AM70" i="7"/>
  <c r="AM69" i="7"/>
  <c r="AM68" i="7"/>
  <c r="AM67" i="7"/>
  <c r="AM66" i="7"/>
  <c r="AM65" i="7"/>
  <c r="AM64" i="7"/>
  <c r="AM63" i="7"/>
  <c r="AM62" i="7"/>
  <c r="AM61" i="7"/>
  <c r="AM60" i="7"/>
  <c r="AM59" i="7"/>
  <c r="AM58" i="7"/>
  <c r="AM57" i="7"/>
  <c r="AM56" i="7"/>
  <c r="AM55" i="7"/>
  <c r="AM54" i="7"/>
  <c r="AM53" i="7"/>
  <c r="AM52" i="7"/>
  <c r="AM51" i="7"/>
  <c r="AM50" i="7"/>
  <c r="AM49" i="7"/>
  <c r="AM48" i="7"/>
  <c r="AM47" i="7"/>
  <c r="AM46" i="7"/>
  <c r="AM45" i="7"/>
  <c r="AM44" i="7"/>
  <c r="AM43" i="7"/>
  <c r="AM42" i="7"/>
  <c r="AM41" i="7"/>
  <c r="AM40" i="7"/>
  <c r="AM39" i="7"/>
  <c r="AM38" i="7"/>
  <c r="AM37" i="7"/>
  <c r="AM36" i="7"/>
  <c r="AM35" i="7"/>
  <c r="AM34" i="7"/>
  <c r="AM33" i="7"/>
  <c r="AM32" i="7"/>
  <c r="AM31" i="7"/>
  <c r="AM30" i="7"/>
  <c r="AM29" i="7"/>
  <c r="AM28" i="7"/>
  <c r="AM27" i="7"/>
  <c r="AM26" i="7"/>
  <c r="AM25" i="7"/>
  <c r="AM24" i="7"/>
  <c r="AM23" i="7"/>
  <c r="AM22" i="7"/>
  <c r="AM21" i="7"/>
  <c r="AM20" i="7"/>
  <c r="AM19" i="7"/>
  <c r="AM18" i="7"/>
  <c r="AM17" i="7"/>
  <c r="AM16" i="7"/>
  <c r="AM15" i="7"/>
  <c r="AM14" i="7"/>
  <c r="AM13" i="7"/>
  <c r="AM12" i="7"/>
  <c r="AM11" i="7"/>
  <c r="AM10" i="7"/>
  <c r="AM9" i="7"/>
  <c r="AM8" i="7"/>
  <c r="AM7" i="7"/>
  <c r="AM6" i="7"/>
  <c r="AM5"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SDH</author>
  </authors>
  <commentList>
    <comment ref="A4" authorId="0" shapeId="0" xr:uid="{00000000-0006-0000-0100-000001000000}">
      <text>
        <r>
          <rPr>
            <sz val="10"/>
            <rFont val="Arial"/>
            <family val="2"/>
          </rPr>
          <t>This individual and anyone listed in the Contributors sheet will ultimately be listed as authors on the database.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SDH</author>
  </authors>
  <commentList>
    <comment ref="A1" authorId="0" shapeId="0" xr:uid="{00000000-0006-0000-0200-000001000000}">
      <text>
        <r>
          <rPr>
            <sz val="10"/>
            <rFont val="Arial"/>
            <family val="2"/>
          </rPr>
          <t>These individuals will ultimately be listed as authors on the database.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SDH</author>
  </authors>
  <commentList>
    <comment ref="D1" authorId="0" shapeId="0" xr:uid="{00000000-0006-0000-0400-000001000000}">
      <text>
        <r>
          <rPr>
            <sz val="10"/>
            <rFont val="Arial"/>
            <family val="2"/>
          </rPr>
          <t>What makes up a treatment depends on your experiment. May be application method, or manure treatment, or even measurement method.</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SDH</author>
  </authors>
  <commentList>
    <comment ref="A1" authorId="0" shapeId="0" xr:uid="{00000000-0006-0000-0500-000001000000}">
      <text>
        <r>
          <rPr>
            <sz val="10"/>
            <rFont val="Arial"/>
            <family val="2"/>
          </rPr>
          <t>The keys (ID variables) in this block must exactly relate to values in the Emission sheet.</t>
        </r>
      </text>
    </comment>
    <comment ref="D2" authorId="0" shapeId="0" xr:uid="{00000000-0006-0000-0500-000002000000}">
      <text>
        <r>
          <rPr>
            <sz val="10"/>
            <rFont val="Arial"/>
            <family val="2"/>
          </rPr>
          <t xml:space="preserve">One row per physical plot in this sheet. </t>
        </r>
      </text>
    </comment>
    <comment ref="Y2" authorId="0" shapeId="0" xr:uid="{00000000-0006-0000-0500-000005000000}">
      <text>
        <r>
          <rPr>
            <sz val="10"/>
            <rFont val="Arial"/>
            <family val="2"/>
          </rPr>
          <t>Optional details, e.g., type of cattle, type of separated fraction (liquid, solid).</t>
        </r>
      </text>
    </comment>
    <comment ref="AI2" authorId="0" shapeId="0" xr:uid="{00000000-0006-0000-0500-000006000000}">
      <text>
        <r>
          <rPr>
            <sz val="10"/>
            <rFont val="Arial"/>
            <family val="2"/>
          </rPr>
          <t>Total ammonia nitrogen.</t>
        </r>
      </text>
    </comment>
    <comment ref="AJ2" authorId="0" shapeId="0" xr:uid="{00000000-0006-0000-0500-000007000000}">
      <text>
        <r>
          <rPr>
            <sz val="10"/>
            <rFont val="Arial"/>
            <family val="2"/>
          </rPr>
          <t>Total inorganic carbon.</t>
        </r>
      </text>
    </comment>
    <comment ref="AM2" authorId="0" shapeId="0" xr:uid="{00000000-0006-0000-0500-000008000000}">
      <text>
        <r>
          <rPr>
            <sz val="10"/>
            <rFont val="Arial"/>
            <family val="2"/>
          </rPr>
          <t>If available, provide details on the measurements in the "Experiments" sheet.</t>
        </r>
      </text>
    </comment>
    <comment ref="AN2" authorId="0" shapeId="0" xr:uid="{00000000-0006-0000-0500-000009000000}">
      <text>
        <r>
          <rPr>
            <sz val="10"/>
            <rFont val="Arial"/>
            <family val="2"/>
          </rPr>
          <t>Application will be assumed to have been constant over this period, from start to end. Use notes to explain exceptions.</t>
        </r>
      </text>
    </comment>
    <comment ref="AS2" authorId="0" shapeId="0" xr:uid="{00000000-0006-0000-0500-00000A000000}">
      <text>
        <r>
          <rPr>
            <sz val="10"/>
            <rFont val="Arial"/>
            <family val="2"/>
          </rPr>
          <t>This refers to incorporation that occurred after application.</t>
        </r>
      </text>
    </comment>
    <comment ref="AT2" authorId="0" shapeId="0" xr:uid="{00000000-0006-0000-0500-00000B000000}">
      <text>
        <r>
          <rPr>
            <sz val="10"/>
            <rFont val="Arial"/>
            <family val="2"/>
          </rPr>
          <t>How long after manure application was incorporation carried out?</t>
        </r>
      </text>
    </comment>
    <comment ref="AV2" authorId="0" shapeId="0" xr:uid="{00000000-0006-0000-0500-00000C000000}">
      <text>
        <r>
          <rPr>
            <sz val="10"/>
            <rFont val="Arial"/>
            <family val="2"/>
          </rPr>
          <t>Leave blank if this is not relevant to your application method.</t>
        </r>
      </text>
    </comment>
    <comment ref="AW2" authorId="0" shapeId="0" xr:uid="{00000000-0006-0000-0500-00000D000000}">
      <text>
        <r>
          <rPr>
            <sz val="10"/>
            <rFont val="Arial"/>
            <family val="2"/>
          </rPr>
          <t>Leave blank if this is not relevant to your application method.</t>
        </r>
      </text>
    </comment>
    <comment ref="AX2" authorId="0" shapeId="0" xr:uid="{00000000-0006-0000-0500-00000E000000}">
      <text>
        <r>
          <rPr>
            <sz val="10"/>
            <rFont val="Arial"/>
            <family val="2"/>
          </rPr>
          <t>Leave blank if this is not relevant to your application method.</t>
        </r>
      </text>
    </comment>
    <comment ref="U4" authorId="0" shapeId="0" xr:uid="{00000000-0006-0000-0500-000004000000}">
      <text>
        <r>
          <rPr>
            <sz val="10"/>
            <rFont val="Arial"/>
            <family val="2"/>
          </rPr>
          <t>Based on dry soil mass, as usual.</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SDH</author>
  </authors>
  <commentList>
    <comment ref="S1" authorId="0" shapeId="0" xr:uid="{00000000-0006-0000-0600-00000E000000}">
      <text>
        <r>
          <rPr>
            <sz val="10"/>
            <rFont val="Arial"/>
            <family val="2"/>
          </rPr>
          <t>This is not typically measured, but if you have it available, please include it!</t>
        </r>
      </text>
    </comment>
    <comment ref="T1" authorId="0" shapeId="0" xr:uid="{00000000-0006-0000-0600-00000F000000}">
      <text>
        <r>
          <rPr>
            <sz val="10"/>
            <rFont val="Arial"/>
            <family val="2"/>
          </rPr>
          <t>All values here should be averages for within the corresponding emission interval/shift.</t>
        </r>
      </text>
    </comment>
    <comment ref="AK1" authorId="0" shapeId="0" xr:uid="{00000000-0006-0000-0600-000013000000}">
      <text>
        <r>
          <rPr>
            <sz val="10"/>
            <rFont val="Arial"/>
            <family val="2"/>
          </rPr>
          <t>Only needed for chambers (including wind tunnels). AER needed only if other 2 columns are left blank.</t>
        </r>
      </text>
    </comment>
    <comment ref="B2" authorId="0" shapeId="0" xr:uid="{00000000-0006-0000-0600-000001000000}">
      <text>
        <r>
          <rPr>
            <sz val="10"/>
            <rFont val="Arial"/>
            <family val="2"/>
          </rPr>
          <t>This code should match a value in the "Experiments" and "Treatments" sheets.</t>
        </r>
      </text>
    </comment>
    <comment ref="E2" authorId="0" shapeId="0" xr:uid="{00000000-0006-0000-0600-000002000000}">
      <text>
        <r>
          <rPr>
            <sz val="10"/>
            <rFont val="Arial"/>
            <family val="2"/>
          </rPr>
          <t>This code is for the experimental treatment and should match the original data or publication. This code should always match one in the "Treatments" sheet.</t>
        </r>
      </text>
    </comment>
    <comment ref="G2" authorId="0" shapeId="0" xr:uid="{00000000-0006-0000-0600-000003000000}">
      <text>
        <r>
          <rPr>
            <sz val="10"/>
            <rFont val="Arial"/>
            <family val="2"/>
          </rPr>
          <t>Interval 1 should start when manure is applied. If measurements were made before, use negative numbers.</t>
        </r>
      </text>
    </comment>
    <comment ref="J2" authorId="0" shapeId="0" xr:uid="{00000000-0006-0000-0600-000004000000}">
      <text>
        <r>
          <rPr>
            <sz val="10"/>
            <rFont val="Arial"/>
            <family val="2"/>
          </rPr>
          <t>This is only needed if start date/time or end date/time is missing. Either format, e.g., 1:30 or 1.5, is acceptable.</t>
        </r>
      </text>
    </comment>
    <comment ref="K2" authorId="0" shapeId="0" xr:uid="{00000000-0006-0000-0600-000005000000}">
      <text>
        <r>
          <rPr>
            <sz val="10"/>
            <rFont val="Arial"/>
            <family val="2"/>
          </rPr>
          <t>If you used a method not listed here, add it to the "Input options" sheet. “Type” should be the general type, while “Details” can have a name that includes more details.</t>
        </r>
      </text>
    </comment>
    <comment ref="P2" authorId="0" shapeId="0" xr:uid="{00000000-0006-0000-0600-00000B000000}">
      <text>
        <r>
          <rPr>
            <sz val="10"/>
            <rFont val="Arial"/>
            <family val="2"/>
          </rPr>
          <t>Include blank rows for intervals with missing values. Be sure to include weather data.</t>
        </r>
      </text>
    </comment>
    <comment ref="AB2" authorId="0" shapeId="0" xr:uid="{00000000-0006-0000-0600-000010000000}">
      <text>
        <r>
          <rPr>
            <sz val="10"/>
            <rFont val="Arial"/>
            <family val="2"/>
          </rPr>
          <t>Applicable to micromet methods only.</t>
        </r>
      </text>
    </comment>
    <comment ref="AC2" authorId="0" shapeId="0" xr:uid="{00000000-0006-0000-0600-000011000000}">
      <text>
        <r>
          <rPr>
            <sz val="10"/>
            <rFont val="Arial"/>
            <family val="2"/>
          </rPr>
          <t>Applicable to micromet methods only.</t>
        </r>
      </text>
    </comment>
    <comment ref="AD2" authorId="0" shapeId="0" xr:uid="{00000000-0006-0000-0600-000012000000}">
      <text>
        <r>
          <rPr>
            <sz val="10"/>
            <rFont val="Arial"/>
            <family val="2"/>
          </rPr>
          <t xml:space="preserve">Applicable to micromet methods only.
</t>
        </r>
      </text>
    </comment>
    <comment ref="K4" authorId="0" shapeId="0" xr:uid="{00000000-0006-0000-0600-000006000000}">
      <text>
        <r>
          <rPr>
            <sz val="10"/>
            <rFont val="Arial"/>
            <family val="2"/>
          </rPr>
          <t>Required. Try to use options listed in “Input options”, otherwise add new entries along with description. For missing measurements that were estimated with a model, use the “Model” option.</t>
        </r>
      </text>
    </comment>
    <comment ref="L4" authorId="0" shapeId="0" xr:uid="{00000000-0006-0000-0600-000007000000}">
      <text>
        <r>
          <rPr>
            <sz val="10"/>
            <rFont val="Arial"/>
            <family val="2"/>
          </rPr>
          <t>Optional. Use for additional details if multiple methods within the same type were used, e.g., bLS with different measurement heights. For text description, see “Experiments” sheet.</t>
        </r>
      </text>
    </comment>
    <comment ref="M4" authorId="0" shapeId="0" xr:uid="{00000000-0006-0000-0600-000008000000}">
      <text>
        <r>
          <rPr>
            <sz val="10"/>
            <rFont val="Arial"/>
            <family val="2"/>
          </rPr>
          <t>Was the measured value below the detection limit or limit of quantitation?</t>
        </r>
      </text>
    </comment>
    <comment ref="N4" authorId="0" shapeId="0" xr:uid="{00000000-0006-0000-0600-000009000000}">
      <text>
        <r>
          <rPr>
            <sz val="10"/>
            <rFont val="Arial"/>
            <family val="2"/>
          </rPr>
          <t>The background concentration measured (or assumed).</t>
        </r>
      </text>
    </comment>
    <comment ref="O4" authorId="0" shapeId="0" xr:uid="{00000000-0006-0000-0600-00000A000000}">
      <text>
        <r>
          <rPr>
            <sz val="10"/>
            <rFont val="Arial"/>
            <family val="2"/>
          </rPr>
          <t>If your data are in units not listed, just add to the "Input options" sheet.</t>
        </r>
      </text>
    </comment>
    <comment ref="P4" authorId="0" shapeId="0" xr:uid="{00000000-0006-0000-0600-00000C000000}">
      <text>
        <r>
          <rPr>
            <sz val="10"/>
            <rFont val="Arial"/>
            <family val="2"/>
          </rPr>
          <t>Are reported values interval emission rate or cumulative emission? Prior to v8.0, this was always emission rate (average flux). If other options are needed contact Sasha.</t>
        </r>
      </text>
    </comment>
    <comment ref="R4" authorId="0" shapeId="0" xr:uid="{00000000-0006-0000-0600-00000D000000}">
      <text>
        <r>
          <rPr>
            <sz val="10"/>
            <rFont val="Arial"/>
            <family val="2"/>
          </rPr>
          <t>If you use a different unit, add it to “Input options” sheet.</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SDH</author>
  </authors>
  <commentList>
    <comment ref="C10" authorId="0" shapeId="0" xr:uid="{00000000-0006-0000-0800-000001000000}">
      <text>
        <r>
          <rPr>
            <sz val="10"/>
            <rFont val="Arial"/>
            <family val="2"/>
          </rPr>
          <t>If you run out of space, just replace (type over) values above!</t>
        </r>
      </text>
    </comment>
    <comment ref="D21" authorId="0" shapeId="0" xr:uid="{00000000-0006-0000-0800-000002000000}">
      <text>
        <r>
          <rPr>
            <sz val="10"/>
            <rFont val="Arial"/>
            <family val="2"/>
          </rPr>
          <t>Please describe units (e.g., as N or NH3 mass?) if you add any.</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SDH</author>
  </authors>
  <commentList>
    <comment ref="B1" authorId="0" shapeId="0" xr:uid="{00000000-0006-0000-0900-000001000000}">
      <text>
        <r>
          <rPr>
            <sz val="10"/>
            <rFont val="Arial"/>
            <family val="2"/>
          </rPr>
          <t>Enter any additional codes that should be interpreted as missing values. Blank cells are always included.</t>
        </r>
      </text>
    </comment>
  </commentList>
</comments>
</file>

<file path=xl/sharedStrings.xml><?xml version="1.0" encoding="utf-8"?>
<sst xmlns="http://schemas.openxmlformats.org/spreadsheetml/2006/main" count="15800" uniqueCount="482">
  <si>
    <t>ALFAM2 database data entry template</t>
  </si>
  <si>
    <t>Use for submission of measurements of ammonia emission from field-applied manure to the public ALFAM2 database</t>
  </si>
  <si>
    <t>For more information on the project, see www.alfam.dk</t>
  </si>
  <si>
    <t xml:space="preserve">There are seven worksheets that should be completed: “Submitter”, “Contributors”, “Experiments”, “Treatments”, “Plots”, "Emission",  and "Publications". </t>
  </si>
  <si>
    <t>Before starting:</t>
  </si>
  <si>
    <t xml:space="preserve">Use this link to check for the latest template version. If a higher version is available (see file name), please use it: </t>
  </si>
  <si>
    <t>https://www.alfam.dk</t>
  </si>
  <si>
    <t>1. The “Submitter” sheet is for documenting the source of the data. Please enter the requested information about yourself and your institution.</t>
  </si>
  <si>
    <t>2. Use the “Contributors” sheet if there is more than one person to list for measurements or data entry.</t>
  </si>
  <si>
    <t>3. The "Experiments" worksheet is for you to describe your experiments. Please at least enter data in columns A, B, and D, and more if possible. Grouping measurements together in a single “experiment” is somewhat arbitrary but is up to you to decide. Enter one row per experiment.</t>
  </si>
  <si>
    <t>4. The "Treatment" worksheet is for you to describe your treatments. There are no constraints on the data entered in this worksheet, but please provide enough information for us to understand what was unique about the treatment. You can use the "What was varied/tested?" column to identify the variable that was varied in the experiment. Examples might include: acidification of manure, application timing, application method, or manure separation.</t>
  </si>
  <si>
    <t>5. The “Plots” worksheet is for plot-level data, including location, soil, manure, and application information. The columns in the "Identification" section are for the identifiers you used in your experiment--they should allow you to find the original data, and can be text or numbers or a combination of these. If the data have been described in a publication, please create a code for each publication (e.g, 1, 2, 3, . . .) and list the complete citations in the "Publications" worksheet. Enter one row per physical field plot.</t>
  </si>
  <si>
    <t>6. The "Emission" worksheet is for your ammonia emission measurements and accompanying weather measurements, all at the measurement interval level. Enter one row per measurement interval. For some columns, such as "Measurement technique" only some specific values can be entered. Entries can be selected from the drop-down list, copied and pasted, or typed in manually. Before copying and pasting, be sure to check that you have used allowed values. The worksheet "Input options" provides the allowed values along with some additional information. If necessary, you can add additional values in the boxes in the "Input options" sheet--this may be necessary for crop type or measurement method, for example.</t>
  </si>
  <si>
    <t>7. The "Publications" worksheet is for the citations that correspond with the publication codes in the "Emission" worksheet.</t>
  </si>
  <si>
    <t>If you have any questions or would like to arrange a virtual data entry meeting, send a message to Sasha Hafner at sasha@hafnerconsulting.com.</t>
  </si>
  <si>
    <t>Other notes:</t>
  </si>
  <si>
    <t>* In general, data should only entered in cells with a white background</t>
  </si>
  <si>
    <t>* Do not edit “Revision history”</t>
  </si>
  <si>
    <t>* Add/edit/replace values in “Input options (lists)” if you need other options for data entry (e.g., different method)</t>
  </si>
  <si>
    <t>* In most cases, data will be missing for some or even many variables</t>
  </si>
  <si>
    <t>* Where data are missing, leave cells blank, use NA, or add new values in the “Missing values” sheet</t>
  </si>
  <si>
    <t>* Look for comments (hover to see) with some details</t>
  </si>
  <si>
    <t>* If desired, blank rows or formatting (bold, background color) can be used to assist with data entry</t>
  </si>
  <si>
    <t>Institution name:</t>
  </si>
  <si>
    <t>Aarhus University</t>
  </si>
  <si>
    <t>Preferred institution abbreviation:</t>
  </si>
  <si>
    <t>AU</t>
  </si>
  <si>
    <t>Data entered by (last name, first others):</t>
  </si>
  <si>
    <t>Larsen, Mikael Løvig</t>
  </si>
  <si>
    <t>Version (for revisions/corrections):</t>
  </si>
  <si>
    <t>Date submitted:</t>
  </si>
  <si>
    <t>Contributor name (last, first others)</t>
  </si>
  <si>
    <t>Institution/affiliation</t>
  </si>
  <si>
    <t>Pedersen, Johanna</t>
  </si>
  <si>
    <t>Project name or code</t>
  </si>
  <si>
    <t>Experiment name or code</t>
  </si>
  <si>
    <t>Publication code (if published)</t>
  </si>
  <si>
    <t>What was varied or tested?</t>
  </si>
  <si>
    <t>Emission measurement method, including QC</t>
  </si>
  <si>
    <t>How was ammonia concentration measured?</t>
  </si>
  <si>
    <t>What was the detection limit (and if available, limit of quantitation) for ammonia concentration measurement? What was done with values below this (these) limits?</t>
  </si>
  <si>
    <t>How was manure pH measured? Please include information on when samples were taken, storage method, and storage time.</t>
  </si>
  <si>
    <t>How was soil pH measured? Was water or CaCl2 used?</t>
  </si>
  <si>
    <t>Other notes, e.g., manure source details, application method details (but see “Treatments” sheet—no need to repeat information).</t>
  </si>
  <si>
    <t>N-Grass</t>
  </si>
  <si>
    <t>CattleAcid</t>
  </si>
  <si>
    <t>(Effect of field-acidification with H2SO4 vs acetic acid)</t>
  </si>
  <si>
    <t>Dynamic Flux Chamber (DFC)</t>
  </si>
  <si>
    <t>CDRS Picarro G2103</t>
  </si>
  <si>
    <t>pH was meassured right before field application with a glass pH electrode (8 degrees celsius), directly into 100 L barrel.</t>
  </si>
  <si>
    <t>1:1 soil:water</t>
  </si>
  <si>
    <t>Experiment matched pH-level of the acids. H2SO4 amounts were 3 kg_acid / tonne_slurry, AA amounts were 3.86 kg_acid / tonne_slurry</t>
  </si>
  <si>
    <t>PigAcid</t>
  </si>
  <si>
    <t>pH was meassured right before field application with a glass pH electrode (13 degrees celsius), directly into large barrel and field-machine.</t>
  </si>
  <si>
    <t>Experiment matched pH-level of the acids. H2SO4 amounts were 2.85 kg_acid / tonne_slurry, AA amounts were 3.32 kg_acid / tonne_slurry</t>
  </si>
  <si>
    <t>Treatment name or code</t>
  </si>
  <si>
    <t>Description of treatment, including detailed description of application method if relevant</t>
  </si>
  <si>
    <t>AA</t>
  </si>
  <si>
    <t>Hand applied slurry acidified with acetic acid</t>
  </si>
  <si>
    <t>H2SO4</t>
  </si>
  <si>
    <t>Hand applied slurry acidified with sulphuric acid</t>
  </si>
  <si>
    <t>RAW</t>
  </si>
  <si>
    <t>Hand applied slurry left un-acidified</t>
  </si>
  <si>
    <t>OSI</t>
  </si>
  <si>
    <t>Slurry applied with open slot injection (3-m slurry bloom), left un-acidified</t>
  </si>
  <si>
    <t>TH</t>
  </si>
  <si>
    <t>Identification</t>
  </si>
  <si>
    <t>Location</t>
  </si>
  <si>
    <t>Soil information</t>
  </si>
  <si>
    <t>Manure/fertilizer information (fresh weight basis)</t>
  </si>
  <si>
    <t>Manure application</t>
  </si>
  <si>
    <t>Crop information</t>
  </si>
  <si>
    <t>Notes</t>
  </si>
  <si>
    <t>Project</t>
  </si>
  <si>
    <t>Experiment</t>
  </si>
  <si>
    <t>Field</t>
  </si>
  <si>
    <t>Plot</t>
  </si>
  <si>
    <t>Replicate</t>
  </si>
  <si>
    <t>Plot size</t>
  </si>
  <si>
    <t>Latitude</t>
  </si>
  <si>
    <t>Longitude</t>
  </si>
  <si>
    <t>Country</t>
  </si>
  <si>
    <t>Topography</t>
  </si>
  <si>
    <t>Sampling</t>
  </si>
  <si>
    <t>Clay</t>
  </si>
  <si>
    <t>Silt</t>
  </si>
  <si>
    <t>Sand</t>
  </si>
  <si>
    <t>Organic</t>
  </si>
  <si>
    <t>Soil type</t>
  </si>
  <si>
    <t>Soil water</t>
  </si>
  <si>
    <t>Soil</t>
  </si>
  <si>
    <t>Bulk</t>
  </si>
  <si>
    <t>Crop</t>
  </si>
  <si>
    <t>Tillage &lt;1 week</t>
  </si>
  <si>
    <t>Source</t>
  </si>
  <si>
    <t>Bedding</t>
  </si>
  <si>
    <t>Consistency</t>
  </si>
  <si>
    <t>Treatment</t>
  </si>
  <si>
    <t>Treatment 2</t>
  </si>
  <si>
    <t>Treatment 3</t>
  </si>
  <si>
    <t>Average</t>
  </si>
  <si>
    <t>Dry</t>
  </si>
  <si>
    <t>Volatile</t>
  </si>
  <si>
    <t>N-total</t>
  </si>
  <si>
    <t>TAN</t>
  </si>
  <si>
    <t>TIC</t>
  </si>
  <si>
    <t>Uric acid</t>
  </si>
  <si>
    <t>VFA</t>
  </si>
  <si>
    <t>pH</t>
  </si>
  <si>
    <t>Application</t>
  </si>
  <si>
    <t>Application rate</t>
  </si>
  <si>
    <t>Incorporation</t>
  </si>
  <si>
    <t>Time of incorporation</t>
  </si>
  <si>
    <t>Estimated area</t>
  </si>
  <si>
    <t>Distance between</t>
  </si>
  <si>
    <t>Furrow</t>
  </si>
  <si>
    <t>Height</t>
  </si>
  <si>
    <t>Estimated</t>
  </si>
  <si>
    <t>Leaf</t>
  </si>
  <si>
    <t>name or</t>
  </si>
  <si>
    <t>number</t>
  </si>
  <si>
    <r>
      <rPr>
        <sz val="10"/>
        <rFont val="Arial"/>
        <family val="2"/>
        <charset val="1"/>
      </rPr>
      <t>(m</t>
    </r>
    <r>
      <rPr>
        <vertAlign val="superscript"/>
        <sz val="10"/>
        <rFont val="Arial"/>
        <family val="2"/>
        <charset val="1"/>
      </rPr>
      <t>2</t>
    </r>
    <r>
      <rPr>
        <sz val="10"/>
        <rFont val="Arial"/>
        <family val="2"/>
        <charset val="1"/>
      </rPr>
      <t>)</t>
    </r>
  </si>
  <si>
    <r>
      <rPr>
        <sz val="10"/>
        <rFont val="Arial"/>
        <family val="2"/>
        <charset val="1"/>
      </rPr>
      <t>(</t>
    </r>
    <r>
      <rPr>
        <sz val="10"/>
        <rFont val="Calibri"/>
        <family val="2"/>
        <charset val="1"/>
      </rPr>
      <t xml:space="preserve">° </t>
    </r>
    <r>
      <rPr>
        <sz val="9"/>
        <rFont val="Arial"/>
        <family val="2"/>
        <charset val="1"/>
      </rPr>
      <t>N + or ° S -)</t>
    </r>
  </si>
  <si>
    <r>
      <rPr>
        <sz val="10"/>
        <rFont val="Arial"/>
        <family val="2"/>
        <charset val="1"/>
      </rPr>
      <t>(</t>
    </r>
    <r>
      <rPr>
        <sz val="10"/>
        <rFont val="Calibri"/>
        <family val="2"/>
        <charset val="1"/>
      </rPr>
      <t>° W – or ° E +</t>
    </r>
    <r>
      <rPr>
        <sz val="9"/>
        <rFont val="Arial"/>
        <family val="2"/>
        <charset val="1"/>
      </rPr>
      <t>)</t>
    </r>
  </si>
  <si>
    <t>depth</t>
  </si>
  <si>
    <t>(%)</t>
  </si>
  <si>
    <t>matter</t>
  </si>
  <si>
    <t>(only needed if</t>
  </si>
  <si>
    <t>(gravimetric)</t>
  </si>
  <si>
    <t>(volumetric)</t>
  </si>
  <si>
    <t>moisture</t>
  </si>
  <si>
    <t>density</t>
  </si>
  <si>
    <t>residues</t>
  </si>
  <si>
    <t>before manure</t>
  </si>
  <si>
    <t>(animal)</t>
  </si>
  <si>
    <t>(details)</t>
  </si>
  <si>
    <t xml:space="preserve">(If a second treatment </t>
  </si>
  <si>
    <t>(If a third treatment</t>
  </si>
  <si>
    <t>storage</t>
  </si>
  <si>
    <t>solids</t>
  </si>
  <si>
    <t>(g N/kg)</t>
  </si>
  <si>
    <t>(g C/kg)</t>
  </si>
  <si>
    <t>(g/kg)</t>
  </si>
  <si>
    <t>start</t>
  </si>
  <si>
    <t>end</t>
  </si>
  <si>
    <t>method</t>
  </si>
  <si>
    <t>value</t>
  </si>
  <si>
    <t>unit</t>
  </si>
  <si>
    <t>after application</t>
  </si>
  <si>
    <t>covered with</t>
  </si>
  <si>
    <t>injection devices</t>
  </si>
  <si>
    <t>width</t>
  </si>
  <si>
    <t>type</t>
  </si>
  <si>
    <t>(cm)</t>
  </si>
  <si>
    <t>canopy</t>
  </si>
  <si>
    <t>area</t>
  </si>
  <si>
    <t>code</t>
  </si>
  <si>
    <t>or code</t>
  </si>
  <si>
    <t>(e.g., 0-10 cm)</t>
  </si>
  <si>
    <t>(% C)</t>
  </si>
  <si>
    <t>clay etc. is lacking)</t>
  </si>
  <si>
    <t xml:space="preserve"> (g/g dry soil)</t>
  </si>
  <si>
    <t xml:space="preserve"> (% vol.)</t>
  </si>
  <si>
    <r>
      <rPr>
        <sz val="10"/>
        <rFont val="Arial"/>
        <family val="2"/>
        <charset val="1"/>
      </rPr>
      <t>(g/cm</t>
    </r>
    <r>
      <rPr>
        <vertAlign val="superscript"/>
        <sz val="10"/>
        <rFont val="Arial"/>
        <family val="2"/>
        <charset val="1"/>
      </rPr>
      <t>3</t>
    </r>
    <r>
      <rPr>
        <sz val="10"/>
        <rFont val="Arial"/>
        <family val="2"/>
        <charset val="1"/>
      </rPr>
      <t>)</t>
    </r>
  </si>
  <si>
    <t>present?</t>
  </si>
  <si>
    <t>application?</t>
  </si>
  <si>
    <t>was applied)</t>
  </si>
  <si>
    <t>length (d)</t>
  </si>
  <si>
    <t>(% FM)</t>
  </si>
  <si>
    <t>(dd-mm-yyyy hh:mm)</t>
  </si>
  <si>
    <t>(hh:mm or decimal hours)</t>
  </si>
  <si>
    <t>manure (%)</t>
  </si>
  <si>
    <t>coverage (%)</t>
  </si>
  <si>
    <t>index</t>
  </si>
  <si>
    <t>AU Foulum</t>
  </si>
  <si>
    <t>4AA</t>
  </si>
  <si>
    <t>Denmark</t>
  </si>
  <si>
    <t>Flat</t>
  </si>
  <si>
    <t>0-5</t>
  </si>
  <si>
    <t>Yes</t>
  </si>
  <si>
    <t>No</t>
  </si>
  <si>
    <t>Cattle</t>
  </si>
  <si>
    <t>Slurry</t>
  </si>
  <si>
    <t>Acidification</t>
  </si>
  <si>
    <t>Band spread or trailing hose</t>
  </si>
  <si>
    <t>t/ha</t>
  </si>
  <si>
    <t>None</t>
  </si>
  <si>
    <t>Grass</t>
  </si>
  <si>
    <t>.</t>
  </si>
  <si>
    <t>14AA</t>
  </si>
  <si>
    <t>17AA</t>
  </si>
  <si>
    <t>8H2SO4</t>
  </si>
  <si>
    <t>12H2SO4</t>
  </si>
  <si>
    <t>18H2SO4</t>
  </si>
  <si>
    <t>11RAW</t>
  </si>
  <si>
    <t>13RAW</t>
  </si>
  <si>
    <t>15RAW</t>
  </si>
  <si>
    <t>1OSI</t>
  </si>
  <si>
    <t>Pig</t>
  </si>
  <si>
    <t>Open slot injection</t>
  </si>
  <si>
    <t>2OSI</t>
  </si>
  <si>
    <t>3OSI</t>
  </si>
  <si>
    <t>4TH</t>
  </si>
  <si>
    <t>6TH</t>
  </si>
  <si>
    <t>7TH</t>
  </si>
  <si>
    <t>11AA</t>
  </si>
  <si>
    <t>12AA</t>
  </si>
  <si>
    <t>13H2SO4</t>
  </si>
  <si>
    <t>10RAW</t>
  </si>
  <si>
    <t>14RAW</t>
  </si>
  <si>
    <t>Shift/interval information</t>
  </si>
  <si>
    <t xml:space="preserve">Ammonia emission </t>
  </si>
  <si>
    <t>Manure pH</t>
  </si>
  <si>
    <t>Weather</t>
  </si>
  <si>
    <t>Chamber air flow</t>
  </si>
  <si>
    <t>Interval or</t>
  </si>
  <si>
    <t>Start date/time</t>
  </si>
  <si>
    <t>End date/time</t>
  </si>
  <si>
    <t>Shift length</t>
  </si>
  <si>
    <t>Measurement</t>
  </si>
  <si>
    <t>Background</t>
  </si>
  <si>
    <r>
      <rPr>
        <sz val="10"/>
        <rFont val="Arial"/>
        <family val="2"/>
        <charset val="1"/>
      </rPr>
      <t>NH</t>
    </r>
    <r>
      <rPr>
        <vertAlign val="subscript"/>
        <sz val="10"/>
        <rFont val="Arial"/>
        <family val="2"/>
        <charset val="1"/>
      </rPr>
      <t>3</t>
    </r>
    <r>
      <rPr>
        <sz val="10"/>
        <rFont val="Arial"/>
        <family val="2"/>
        <charset val="1"/>
      </rPr>
      <t xml:space="preserve"> volatilization</t>
    </r>
  </si>
  <si>
    <t>Surface</t>
  </si>
  <si>
    <t>Air temp.</t>
  </si>
  <si>
    <t>Soil temp.</t>
  </si>
  <si>
    <t>Global</t>
  </si>
  <si>
    <t>Wind speed</t>
  </si>
  <si>
    <t xml:space="preserve">Wind speed </t>
  </si>
  <si>
    <t>Monin-</t>
  </si>
  <si>
    <t>Friction</t>
  </si>
  <si>
    <t>Roughness</t>
  </si>
  <si>
    <t>Air</t>
  </si>
  <si>
    <t>Rain during</t>
  </si>
  <si>
    <t>Relative</t>
  </si>
  <si>
    <t>Wind</t>
  </si>
  <si>
    <t xml:space="preserve">Farthest </t>
  </si>
  <si>
    <t>Chamber</t>
  </si>
  <si>
    <t>Air exchange</t>
  </si>
  <si>
    <t>period</t>
  </si>
  <si>
    <t>(hh:mm or</t>
  </si>
  <si>
    <t>technique</t>
  </si>
  <si>
    <r>
      <rPr>
        <sz val="10"/>
        <rFont val="Arial"/>
        <family val="2"/>
        <charset val="1"/>
      </rPr>
      <t>NH</t>
    </r>
    <r>
      <rPr>
        <vertAlign val="subscript"/>
        <sz val="10"/>
        <rFont val="Arial"/>
        <family val="2"/>
        <charset val="1"/>
      </rPr>
      <t>3</t>
    </r>
    <r>
      <rPr>
        <sz val="10"/>
        <rFont val="Arial"/>
        <family val="2"/>
        <charset val="1"/>
      </rPr>
      <t xml:space="preserve"> concentration</t>
    </r>
  </si>
  <si>
    <r>
      <rPr>
        <sz val="10"/>
        <rFont val="Arial"/>
        <family val="2"/>
        <charset val="1"/>
      </rPr>
      <t>(</t>
    </r>
    <r>
      <rPr>
        <sz val="10"/>
        <rFont val="Calibri"/>
        <family val="2"/>
        <charset val="1"/>
      </rPr>
      <t>°</t>
    </r>
    <r>
      <rPr>
        <sz val="9"/>
        <rFont val="Arial"/>
        <family val="2"/>
        <charset val="1"/>
      </rPr>
      <t>C)</t>
    </r>
  </si>
  <si>
    <t>height</t>
  </si>
  <si>
    <t>surface</t>
  </si>
  <si>
    <t>radiation</t>
  </si>
  <si>
    <t>(m/s)</t>
  </si>
  <si>
    <t>Obukhov</t>
  </si>
  <si>
    <t>velocity</t>
  </si>
  <si>
    <t>length</t>
  </si>
  <si>
    <t>pressure</t>
  </si>
  <si>
    <t>shift</t>
  </si>
  <si>
    <t>humidity</t>
  </si>
  <si>
    <t>measurement</t>
  </si>
  <si>
    <t xml:space="preserve">measurement </t>
  </si>
  <si>
    <t>volume</t>
  </si>
  <si>
    <t>flow rate</t>
  </si>
  <si>
    <t>rate (AER)</t>
  </si>
  <si>
    <t>decimal hours)</t>
  </si>
  <si>
    <t>Type</t>
  </si>
  <si>
    <t>Details</t>
  </si>
  <si>
    <t>Detection limit?</t>
  </si>
  <si>
    <t>Value</t>
  </si>
  <si>
    <t>Unit</t>
  </si>
  <si>
    <t>(m)</t>
  </si>
  <si>
    <t>Temp. (°C)</t>
  </si>
  <si>
    <r>
      <rPr>
        <sz val="10"/>
        <rFont val="Arial"/>
        <family val="2"/>
        <charset val="1"/>
      </rPr>
      <t>(J/m</t>
    </r>
    <r>
      <rPr>
        <vertAlign val="superscript"/>
        <sz val="10"/>
        <rFont val="Arial"/>
        <family val="2"/>
        <charset val="1"/>
      </rPr>
      <t>2</t>
    </r>
    <r>
      <rPr>
        <sz val="10"/>
        <rFont val="Arial"/>
        <family val="2"/>
        <charset val="1"/>
      </rPr>
      <t>-s)</t>
    </r>
  </si>
  <si>
    <t>length L (m)</t>
  </si>
  <si>
    <t>(mm)</t>
  </si>
  <si>
    <t>location</t>
  </si>
  <si>
    <t>location (m)</t>
  </si>
  <si>
    <r>
      <rPr>
        <sz val="10"/>
        <rFont val="Arial"/>
        <family val="2"/>
        <charset val="1"/>
      </rPr>
      <t>(m</t>
    </r>
    <r>
      <rPr>
        <vertAlign val="superscript"/>
        <sz val="10"/>
        <rFont val="Arial"/>
        <family val="2"/>
        <charset val="1"/>
      </rPr>
      <t>3</t>
    </r>
    <r>
      <rPr>
        <sz val="10"/>
        <rFont val="Arial"/>
        <family val="2"/>
        <charset val="1"/>
      </rPr>
      <t>)</t>
    </r>
  </si>
  <si>
    <r>
      <rPr>
        <sz val="10"/>
        <rFont val="Arial"/>
        <family val="2"/>
        <charset val="1"/>
      </rPr>
      <t>(m</t>
    </r>
    <r>
      <rPr>
        <vertAlign val="superscript"/>
        <sz val="10"/>
        <rFont val="Arial"/>
        <family val="2"/>
        <charset val="1"/>
      </rPr>
      <t>3</t>
    </r>
    <r>
      <rPr>
        <sz val="10"/>
        <rFont val="Arial"/>
        <family val="2"/>
        <charset val="1"/>
      </rPr>
      <t>/s)</t>
    </r>
  </si>
  <si>
    <r>
      <rPr>
        <sz val="10"/>
        <rFont val="Arial"/>
        <family val="2"/>
        <charset val="1"/>
      </rPr>
      <t>(m</t>
    </r>
    <r>
      <rPr>
        <vertAlign val="superscript"/>
        <sz val="10"/>
        <rFont val="Arial"/>
        <family val="2"/>
        <charset val="1"/>
      </rPr>
      <t>3</t>
    </r>
    <r>
      <rPr>
        <sz val="10"/>
        <rFont val="Arial"/>
        <family val="2"/>
        <charset val="1"/>
      </rPr>
      <t>/m</t>
    </r>
    <r>
      <rPr>
        <vertAlign val="superscript"/>
        <sz val="10"/>
        <rFont val="Arial"/>
        <family val="2"/>
        <charset val="1"/>
      </rPr>
      <t>3</t>
    </r>
    <r>
      <rPr>
        <sz val="10"/>
        <rFont val="Arial"/>
        <family val="2"/>
        <charset val="1"/>
      </rPr>
      <t>-s)</t>
    </r>
  </si>
  <si>
    <t>Dynamic chamber</t>
  </si>
  <si>
    <t>Emission rate</t>
  </si>
  <si>
    <t>kg N/ha-hr</t>
  </si>
  <si>
    <t>NA</t>
  </si>
  <si>
    <t>Publication code</t>
  </si>
  <si>
    <t>(matches values in "Plots" sheet)</t>
  </si>
  <si>
    <t>Citation</t>
  </si>
  <si>
    <t>Ammonia emission</t>
  </si>
  <si>
    <t>Weather data</t>
  </si>
  <si>
    <t>Manure information</t>
  </si>
  <si>
    <t>Measurement technique</t>
  </si>
  <si>
    <t>Additional information</t>
  </si>
  <si>
    <t>Wind speed location</t>
  </si>
  <si>
    <t>Manure type</t>
  </si>
  <si>
    <t>Application method</t>
  </si>
  <si>
    <t>Crop type</t>
  </si>
  <si>
    <t>Hilly</t>
  </si>
  <si>
    <t>Wind tunnel</t>
  </si>
  <si>
    <t>Broadcast</t>
  </si>
  <si>
    <t>Use for liquid or solid</t>
  </si>
  <si>
    <t>Bare soil</t>
  </si>
  <si>
    <t>IHF</t>
  </si>
  <si>
    <t>Micromet integrated horizontal flux</t>
  </si>
  <si>
    <t>ZINST</t>
  </si>
  <si>
    <t>Wilson 1982 Atmos. Env. 16, 1861</t>
  </si>
  <si>
    <t>Loam</t>
  </si>
  <si>
    <t>Nearest station</t>
  </si>
  <si>
    <t>Poultry</t>
  </si>
  <si>
    <t>Trailing shoe</t>
  </si>
  <si>
    <t>Cereal</t>
  </si>
  <si>
    <t>Mix</t>
  </si>
  <si>
    <t>Maize</t>
  </si>
  <si>
    <t>bLS</t>
  </si>
  <si>
    <t>Water</t>
  </si>
  <si>
    <t>e.g., flooded rice paddy</t>
  </si>
  <si>
    <t>Unknown</t>
  </si>
  <si>
    <t>Closed slot injection</t>
  </si>
  <si>
    <t>Slots closed, deeper injection than open</t>
  </si>
  <si>
    <t>Stubble</t>
  </si>
  <si>
    <t>AGM</t>
  </si>
  <si>
    <t>Aerodynamic gradient</t>
  </si>
  <si>
    <t>Model</t>
  </si>
  <si>
    <t>Not measured but calculated with model</t>
  </si>
  <si>
    <t>Air pressure</t>
  </si>
  <si>
    <t>kPa</t>
  </si>
  <si>
    <t>Soil moisture</t>
  </si>
  <si>
    <t>hPa</t>
  </si>
  <si>
    <t>Manure consistency</t>
  </si>
  <si>
    <t>Background NH3 unit</t>
  </si>
  <si>
    <t>Wet</t>
  </si>
  <si>
    <t>atm</t>
  </si>
  <si>
    <t>Application rate unit</t>
  </si>
  <si>
    <t>mg/m3</t>
  </si>
  <si>
    <t>mg N per cubic meter</t>
  </si>
  <si>
    <t>Liquid</t>
  </si>
  <si>
    <t>metric tonnes per ha</t>
  </si>
  <si>
    <t>ppm</t>
  </si>
  <si>
    <t>Parts per million (volumetric)</t>
  </si>
  <si>
    <t>Solid</t>
  </si>
  <si>
    <t>m3/ha</t>
  </si>
  <si>
    <t>Manure treatment</t>
  </si>
  <si>
    <r>
      <rPr>
        <b/>
        <sz val="10"/>
        <rFont val="Arial"/>
        <family val="2"/>
        <charset val="1"/>
      </rPr>
      <t>Background NH</t>
    </r>
    <r>
      <rPr>
        <b/>
        <vertAlign val="subscript"/>
        <sz val="10"/>
        <rFont val="Arial"/>
        <family val="2"/>
        <charset val="1"/>
      </rPr>
      <t>3</t>
    </r>
    <r>
      <rPr>
        <b/>
        <sz val="10"/>
        <rFont val="Arial"/>
        <family val="2"/>
        <charset val="1"/>
      </rPr>
      <t xml:space="preserve"> detection limit</t>
    </r>
  </si>
  <si>
    <t>Crop residues</t>
  </si>
  <si>
    <t>Incorporation method</t>
  </si>
  <si>
    <t>Below detection limit</t>
  </si>
  <si>
    <t>In-house separation</t>
  </si>
  <si>
    <t>Otherwise, leave blank</t>
  </si>
  <si>
    <t>Gravity separation</t>
  </si>
  <si>
    <t>Shallow</t>
  </si>
  <si>
    <t>e.g., harrow, chisel plough</t>
  </si>
  <si>
    <t>Mechanical separation</t>
  </si>
  <si>
    <t>Deep</t>
  </si>
  <si>
    <t>Mouldboard plough</t>
  </si>
  <si>
    <t>Emission rate unit</t>
  </si>
  <si>
    <t>Tillage?</t>
  </si>
  <si>
    <t>Anaerobic digestion</t>
  </si>
  <si>
    <t>kg of N per hectare per hour</t>
  </si>
  <si>
    <t>One week prior or closer</t>
  </si>
  <si>
    <t>kg N/ha</t>
  </si>
  <si>
    <t>Cumulative emission</t>
  </si>
  <si>
    <t>Emission type</t>
  </si>
  <si>
    <t>Flux, e.g., kg N / ha – hr</t>
  </si>
  <si>
    <t>e.g., kg N / ha, including emission from prev. intervals</t>
  </si>
  <si>
    <t>Straw</t>
  </si>
  <si>
    <t>Interval emission</t>
  </si>
  <si>
    <t>e.g., kg N / ha, for individual intervals</t>
  </si>
  <si>
    <t>Sawdust</t>
  </si>
  <si>
    <t>Sawdust or wood chips</t>
  </si>
  <si>
    <t>Paper</t>
  </si>
  <si>
    <t>Missing value codes</t>
  </si>
  <si>
    <t>NaN</t>
  </si>
  <si>
    <t>Date</t>
  </si>
  <si>
    <t>Who</t>
  </si>
  <si>
    <t>Version</t>
  </si>
  <si>
    <t>What</t>
  </si>
  <si>
    <t>22 April 2014</t>
  </si>
  <si>
    <t>Sasha</t>
  </si>
  <si>
    <t>Created</t>
  </si>
  <si>
    <t>11 May 2014</t>
  </si>
  <si>
    <t>Changed "broad spread" to "broadcast"</t>
  </si>
  <si>
    <t>23 Sept 2014</t>
  </si>
  <si>
    <t>Removed % from LAI column heading</t>
  </si>
  <si>
    <t>14 Feb 2017</t>
  </si>
  <si>
    <t>Changed units for all weather heights to m</t>
  </si>
  <si>
    <t>29 April 2021</t>
  </si>
  <si>
    <t>Correct typos, add to one or more lists, unprotect some sheets</t>
  </si>
  <si>
    <t>1.4</t>
  </si>
  <si>
    <t>Drop E/W for longitude</t>
  </si>
  <si>
    <t>9 May 2021</t>
  </si>
  <si>
    <t>1.5</t>
  </si>
  <si>
    <t>Comment on averaging</t>
  </si>
  <si>
    <t>19 May 2021</t>
  </si>
  <si>
    <t>2.0</t>
  </si>
  <si>
    <t>Create new Plots sheet, moved some plot-level inputs from Emission sheet, based on discussion with Jesper</t>
  </si>
  <si>
    <t>Editing last couple versions in LibreOffice Calc. May be appearance issues with Excel now.</t>
  </si>
  <si>
    <t>30 May 2021</t>
  </si>
  <si>
    <t>3.0</t>
  </si>
  <si>
    <t>24 August 2021</t>
  </si>
  <si>
    <t>3.1</t>
  </si>
  <si>
    <t>New Contact sheet, cleaning up headers elsewhere</t>
  </si>
  <si>
    <t>25 August 2021</t>
  </si>
  <si>
    <t>Clean up headers</t>
  </si>
  <si>
    <t>26 August 2021</t>
  </si>
  <si>
    <t>Update instructions, remove some obsolete comments.</t>
  </si>
  <si>
    <t>30 August 2021</t>
  </si>
  <si>
    <t>Instruction tweaks</t>
  </si>
  <si>
    <t>3.2</t>
  </si>
  <si>
    <t>2 September 2021</t>
  </si>
  <si>
    <t>3.3</t>
  </si>
  <si>
    <t>Remove “validation” list from surface pH in “Emission”, add vol. Water content in “Plots”, add notes heading to “Experiments”, add manure source details column in “Plots”, delete unused block in “Lists”, add to instructions.</t>
  </si>
  <si>
    <t>7 September 2021</t>
  </si>
  <si>
    <t>3.4</t>
  </si>
  <si>
    <t>Add blank row to emis meas method list in “Lists”</t>
  </si>
  <si>
    <t>Change “Lists” to “Input options (lists)”</t>
  </si>
  <si>
    <t>Remove “measurements by” row in “Submitter”</t>
  </si>
  <si>
    <t>9 September 2021</t>
  </si>
  <si>
    <t>Add “Missing values” sheet, tweak instructions</t>
  </si>
  <si>
    <t>Add air pressure and unit to Emission sheet (suggestion from Jesper NK)</t>
  </si>
  <si>
    <t>12 September 2021</t>
  </si>
  <si>
    <t>4.0</t>
  </si>
  <si>
    <t>Add measurement technique details column to Emission sheet</t>
  </si>
  <si>
    <t>Remove treatment column from plots. Now can be used for measurement methods, multiple treatments per physical plot.</t>
  </si>
  <si>
    <t>Note: trying to switch major version number (3→4) whenever inputs change so new headers will be needed for reading in</t>
  </si>
  <si>
    <t>13 September 2021</t>
  </si>
  <si>
    <t>5.0</t>
  </si>
  <si>
    <t>Plots sheet change description of grav water content to /g dry soil and add bulk dens note, Experiments sheet, add soil pH question.</t>
  </si>
  <si>
    <t>Experiments sheet, add detection limit question, Emission sheet, add comment on background conc value</t>
  </si>
  <si>
    <t>5.1</t>
  </si>
  <si>
    <t>Resize comment, add pressure units</t>
  </si>
  <si>
    <t>5.2</t>
  </si>
  <si>
    <t>Fix comments</t>
  </si>
  <si>
    <t>5.3</t>
  </si>
  <si>
    <t>Delete testing entries</t>
  </si>
  <si>
    <t>15 September 2021</t>
  </si>
  <si>
    <t>5.4</t>
  </si>
  <si>
    <t>Fix “soil” “water” error in Experiments.</t>
  </si>
  <si>
    <t>Add rows for 5000 total in Emission</t>
  </si>
  <si>
    <t>Add “.” in notes columns, multiple sheets, to ensure all columns are read in (was problem for Emission)</t>
  </si>
  <si>
    <t>16 September 2021</t>
  </si>
  <si>
    <t>5.5</t>
  </si>
  <si>
    <t>Fix comment and info on submitter name</t>
  </si>
  <si>
    <t>21 September 2021</t>
  </si>
  <si>
    <t>5.6</t>
  </si>
  <si>
    <t>Add rows (again?) for 6000 total in Emission. Required removing cell background color below data entry block. PITA.</t>
  </si>
  <si>
    <t>6 Oct 2021</t>
  </si>
  <si>
    <t>5.7</t>
  </si>
  <si>
    <t>Plots sheet, clarify incorporation time</t>
  </si>
  <si>
    <t>27 Oct 2021</t>
  </si>
  <si>
    <t>5.8</t>
  </si>
  <si>
    <t>Plots sheet, add “or code” to plot and rep number columns for clarity</t>
  </si>
  <si>
    <t>27 Jan 2022</t>
  </si>
  <si>
    <t>6.0</t>
  </si>
  <si>
    <r>
      <rPr>
        <sz val="10"/>
        <rFont val="Arial"/>
        <family val="2"/>
        <charset val="1"/>
      </rPr>
      <t>Add 3</t>
    </r>
    <r>
      <rPr>
        <vertAlign val="superscript"/>
        <sz val="10"/>
        <rFont val="Arial"/>
        <family val="2"/>
        <charset val="1"/>
      </rPr>
      <t>rd</t>
    </r>
    <r>
      <rPr>
        <sz val="10"/>
        <rFont val="Arial"/>
        <family val="2"/>
        <charset val="1"/>
      </rPr>
      <t xml:space="preserve"> manure treatment in Plots sheet.</t>
    </r>
  </si>
  <si>
    <t>6 March 2022</t>
  </si>
  <si>
    <t>6.1</t>
  </si>
  <si>
    <t>Add link to Google Drive version and note on Instructions sheet.</t>
  </si>
  <si>
    <t>5 August 2022</t>
  </si>
  <si>
    <t>7.0</t>
  </si>
  <si>
    <t>Remove publication code column from Plots—only present in Experiments now.</t>
  </si>
  <si>
    <t>Plots sheet, add soil sampling depth column.</t>
  </si>
  <si>
    <t>Add water as “soil type” option for rice paddies</t>
  </si>
  <si>
    <t>Add “Model” option for measurement type</t>
  </si>
  <si>
    <t>1 &amp; 8 March 2024</t>
  </si>
  <si>
    <t>8.0</t>
  </si>
  <si>
    <t>Emission sheet, add new column for type of emission. Currently 2 choices: interval rate (flux) and cumulative emission</t>
  </si>
  <si>
    <t>1 August 2024</t>
  </si>
  <si>
    <t>8.1</t>
  </si>
  <si>
    <t>Expand note for “source details” column in Plots to include different separated fractions.</t>
  </si>
  <si>
    <t>2 August 2024</t>
  </si>
  <si>
    <t>8.2</t>
  </si>
  <si>
    <t>Emission sheet. Add new chamber air flow columns (3) just before last column (notes)</t>
  </si>
  <si>
    <t>10 Sept 2024</t>
  </si>
  <si>
    <t>8.3</t>
  </si>
  <si>
    <t>Input options. Add kg N/ha for emission units. Add interval emission.</t>
  </si>
  <si>
    <t>File</t>
  </si>
  <si>
    <t>Sheet</t>
  </si>
  <si>
    <t>Description</t>
  </si>
  <si>
    <t>8 April 2026</t>
  </si>
  <si>
    <t>ALFAM2_8.3_N-Grass_Acid.xlsx</t>
  </si>
  <si>
    <t>Emission</t>
  </si>
  <si>
    <t>Remove stray values in columns AO and AP.</t>
  </si>
  <si>
    <t>Add . to Notes column</t>
  </si>
  <si>
    <t>Emission and Plots</t>
  </si>
  <si>
    <t>Switch worksheet order</t>
  </si>
  <si>
    <t>Slurry applied with trailing hose (3 m slurry bloom), left un-acidified</t>
  </si>
  <si>
    <t>Mikael</t>
  </si>
  <si>
    <t>ALFAM2_8.3_N-Grass_Acid_v2.xlsx</t>
  </si>
  <si>
    <t>Field code and plot code changed to math plot-sheet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</si>
</sst>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00000"/>
    <numFmt numFmtId="166" formatCode="0.00000"/>
    <numFmt numFmtId="167" formatCode="yyyy\-mm\-dd\ hh:mm:ss"/>
    <numFmt numFmtId="168" formatCode="0.000"/>
    <numFmt numFmtId="169" formatCode="#,##0.0"/>
  </numFmts>
  <fonts count="12" x14ac:knownFonts="1">
    <font>
      <sz val="10"/>
      <name val="Arial"/>
      <charset val="1"/>
    </font>
    <font>
      <sz val="10"/>
      <name val="Arial"/>
      <family val="2"/>
    </font>
    <font>
      <sz val="10"/>
      <name val="Arial"/>
      <family val="2"/>
      <charset val="1"/>
    </font>
    <font>
      <sz val="10"/>
      <name val="MS Sans Serif"/>
      <charset val="1"/>
    </font>
    <font>
      <b/>
      <sz val="14"/>
      <name val="Arial"/>
      <family val="2"/>
      <charset val="1"/>
    </font>
    <font>
      <sz val="10"/>
      <color rgb="FF0000FF"/>
      <name val="Arial"/>
      <family val="2"/>
      <charset val="1"/>
    </font>
    <font>
      <b/>
      <sz val="10"/>
      <name val="Arial"/>
      <family val="2"/>
      <charset val="1"/>
    </font>
    <font>
      <vertAlign val="superscript"/>
      <sz val="10"/>
      <name val="Arial"/>
      <family val="2"/>
      <charset val="1"/>
    </font>
    <font>
      <sz val="10"/>
      <name val="Calibri"/>
      <family val="2"/>
      <charset val="1"/>
    </font>
    <font>
      <sz val="9"/>
      <name val="Arial"/>
      <family val="2"/>
      <charset val="1"/>
    </font>
    <font>
      <vertAlign val="subscript"/>
      <sz val="10"/>
      <name val="Arial"/>
      <family val="2"/>
      <charset val="1"/>
    </font>
    <font>
      <b/>
      <vertAlign val="subscript"/>
      <sz val="10"/>
      <name val="Arial"/>
      <family val="2"/>
      <charset val="1"/>
    </font>
  </fonts>
  <fills count="6">
    <fill>
      <patternFill patternType="none"/>
    </fill>
    <fill>
      <patternFill patternType="gray125"/>
    </fill>
    <fill>
      <patternFill patternType="solid">
        <fgColor rgb="FFD9D9D9"/>
        <bgColor rgb="FFCCCCCC"/>
      </patternFill>
    </fill>
    <fill>
      <patternFill patternType="solid">
        <fgColor rgb="FFF6F9D4"/>
        <bgColor rgb="FFFFFFFF"/>
      </patternFill>
    </fill>
    <fill>
      <patternFill patternType="solid">
        <fgColor rgb="FFCCCCCC"/>
        <bgColor rgb="FFD9D9D9"/>
      </patternFill>
    </fill>
    <fill>
      <patternFill patternType="solid">
        <fgColor rgb="FFA6A6A6"/>
        <bgColor rgb="FF9999FF"/>
      </patternFill>
    </fill>
  </fills>
  <borders count="23">
    <border>
      <left/>
      <right/>
      <top/>
      <bottom/>
      <diagonal/>
    </border>
    <border>
      <left style="thin">
        <color auto="1"/>
      </left>
      <right style="thin">
        <color auto="1"/>
      </right>
      <top style="thin">
        <color auto="1"/>
      </top>
      <bottom/>
      <diagonal/>
    </border>
    <border>
      <left style="thin">
        <color auto="1"/>
      </left>
      <right style="thin">
        <color auto="1"/>
      </right>
      <top/>
      <bottom/>
      <diagonal/>
    </border>
    <border>
      <left style="hair">
        <color auto="1"/>
      </left>
      <right style="hair">
        <color auto="1"/>
      </right>
      <top/>
      <bottom/>
      <diagonal/>
    </border>
    <border>
      <left style="thin">
        <color auto="1"/>
      </left>
      <right style="thin">
        <color auto="1"/>
      </right>
      <top/>
      <bottom style="thin">
        <color auto="1"/>
      </bottom>
      <diagonal/>
    </border>
    <border>
      <left style="hair">
        <color auto="1"/>
      </left>
      <right style="hair">
        <color auto="1"/>
      </right>
      <top style="hair">
        <color auto="1"/>
      </top>
      <bottom/>
      <diagonal/>
    </border>
    <border>
      <left style="hair">
        <color auto="1"/>
      </left>
      <right style="hair">
        <color auto="1"/>
      </right>
      <top/>
      <bottom style="hair">
        <color auto="1"/>
      </bottom>
      <diagonal/>
    </border>
    <border>
      <left style="hair">
        <color auto="1"/>
      </left>
      <right/>
      <top style="hair">
        <color auto="1"/>
      </top>
      <bottom/>
      <diagonal/>
    </border>
    <border>
      <left/>
      <right style="hair">
        <color auto="1"/>
      </right>
      <top style="hair">
        <color auto="1"/>
      </top>
      <bottom/>
      <diagonal/>
    </border>
    <border>
      <left style="hair">
        <color auto="1"/>
      </left>
      <right/>
      <top/>
      <bottom/>
      <diagonal/>
    </border>
    <border>
      <left/>
      <right style="hair">
        <color auto="1"/>
      </right>
      <top/>
      <bottom/>
      <diagonal/>
    </border>
    <border>
      <left style="hair">
        <color auto="1"/>
      </left>
      <right/>
      <top/>
      <bottom style="hair">
        <color auto="1"/>
      </bottom>
      <diagonal/>
    </border>
    <border>
      <left/>
      <right style="hair">
        <color auto="1"/>
      </right>
      <top/>
      <bottom style="hair">
        <color auto="1"/>
      </bottom>
      <diagonal/>
    </border>
    <border>
      <left/>
      <right style="thin">
        <color auto="1"/>
      </right>
      <top/>
      <bottom/>
      <diagonal/>
    </border>
    <border>
      <left style="hair">
        <color auto="1"/>
      </left>
      <right style="hair">
        <color auto="1"/>
      </right>
      <top style="hair">
        <color auto="1"/>
      </top>
      <bottom style="hair">
        <color auto="1"/>
      </bottom>
      <diagonal/>
    </border>
    <border>
      <left style="thin">
        <color auto="1"/>
      </left>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diagonal/>
    </border>
    <border>
      <left style="thin">
        <color auto="1"/>
      </left>
      <right style="thin">
        <color auto="1"/>
      </right>
      <top style="hair">
        <color auto="1"/>
      </top>
      <bottom style="hair">
        <color auto="1"/>
      </bottom>
      <diagonal/>
    </border>
    <border>
      <left/>
      <right style="thin">
        <color auto="1"/>
      </right>
      <top/>
      <bottom style="thin">
        <color auto="1"/>
      </bottom>
      <diagonal/>
    </border>
    <border>
      <left style="thin">
        <color auto="1"/>
      </left>
      <right/>
      <top style="thin">
        <color auto="1"/>
      </top>
      <bottom/>
      <diagonal/>
    </border>
    <border>
      <left style="thin">
        <color auto="1"/>
      </left>
      <right/>
      <top/>
      <bottom/>
      <diagonal/>
    </border>
    <border>
      <left style="thin">
        <color auto="1"/>
      </left>
      <right/>
      <top/>
      <bottom style="thin">
        <color auto="1"/>
      </bottom>
      <diagonal/>
    </border>
  </borders>
  <cellStyleXfs count="3">
    <xf numFmtId="0" fontId="0" fillId="0" borderId="0"/>
    <xf numFmtId="0" fontId="2" fillId="0" borderId="0"/>
    <xf numFmtId="0" fontId="3" fillId="0" borderId="0"/>
  </cellStyleXfs>
  <cellXfs count="123">
    <xf numFmtId="0" fontId="0" fillId="0" borderId="0" xfId="0"/>
    <xf numFmtId="0" fontId="6" fillId="5" borderId="16" xfId="0" applyFont="1" applyFill="1" applyBorder="1" applyAlignment="1">
      <alignment horizontal="center"/>
    </xf>
    <xf numFmtId="0" fontId="2" fillId="2" borderId="4" xfId="0" applyFont="1" applyFill="1" applyBorder="1" applyAlignment="1">
      <alignment horizontal="center"/>
    </xf>
    <xf numFmtId="49" fontId="2" fillId="2" borderId="4" xfId="0" applyNumberFormat="1" applyFont="1" applyFill="1" applyBorder="1" applyAlignment="1">
      <alignment horizontal="center"/>
    </xf>
    <xf numFmtId="0" fontId="2" fillId="2" borderId="2" xfId="0" applyFont="1" applyFill="1" applyBorder="1" applyAlignment="1">
      <alignment horizontal="center"/>
    </xf>
    <xf numFmtId="0" fontId="2" fillId="2" borderId="0" xfId="0" applyFont="1" applyFill="1" applyAlignment="1">
      <alignment horizontal="center"/>
    </xf>
    <xf numFmtId="0" fontId="2" fillId="2" borderId="1" xfId="0" applyFont="1" applyFill="1" applyBorder="1" applyAlignment="1">
      <alignment horizontal="center"/>
    </xf>
    <xf numFmtId="0" fontId="0" fillId="2" borderId="1" xfId="0" applyFill="1" applyBorder="1" applyAlignment="1">
      <alignment horizontal="center"/>
    </xf>
    <xf numFmtId="0" fontId="6" fillId="2" borderId="16" xfId="0" applyFont="1" applyFill="1" applyBorder="1" applyAlignment="1">
      <alignment horizontal="center" vertical="center"/>
    </xf>
    <xf numFmtId="0" fontId="2" fillId="2" borderId="16" xfId="0" applyFont="1" applyFill="1" applyBorder="1" applyAlignment="1">
      <alignment horizontal="center"/>
    </xf>
    <xf numFmtId="49" fontId="6" fillId="2" borderId="16" xfId="0" applyNumberFormat="1" applyFont="1" applyFill="1" applyBorder="1" applyAlignment="1">
      <alignment horizontal="center"/>
    </xf>
    <xf numFmtId="0" fontId="6" fillId="2" borderId="16" xfId="0" applyFont="1" applyFill="1" applyBorder="1" applyAlignment="1">
      <alignment horizontal="center"/>
    </xf>
    <xf numFmtId="0" fontId="6" fillId="2" borderId="15" xfId="0" applyFont="1" applyFill="1" applyBorder="1" applyAlignment="1">
      <alignment horizontal="center"/>
    </xf>
    <xf numFmtId="0" fontId="0" fillId="2" borderId="0" xfId="0" applyFill="1"/>
    <xf numFmtId="0" fontId="0" fillId="2" borderId="0" xfId="0" applyFill="1" applyProtection="1">
      <protection locked="0"/>
    </xf>
    <xf numFmtId="0" fontId="4" fillId="2" borderId="0" xfId="0" applyFont="1" applyFill="1"/>
    <xf numFmtId="0" fontId="5" fillId="2" borderId="0" xfId="0" applyFont="1" applyFill="1"/>
    <xf numFmtId="0" fontId="2" fillId="3" borderId="1" xfId="0" applyFont="1" applyFill="1" applyBorder="1" applyAlignment="1">
      <alignment wrapText="1"/>
    </xf>
    <xf numFmtId="0" fontId="0" fillId="3" borderId="2" xfId="0" applyFill="1" applyBorder="1"/>
    <xf numFmtId="0" fontId="2" fillId="3" borderId="2" xfId="0" applyFont="1" applyFill="1" applyBorder="1" applyAlignment="1">
      <alignment wrapText="1"/>
    </xf>
    <xf numFmtId="0" fontId="5" fillId="3" borderId="2" xfId="0" applyFont="1" applyFill="1" applyBorder="1" applyAlignment="1">
      <alignment wrapText="1"/>
    </xf>
    <xf numFmtId="0" fontId="0" fillId="3" borderId="2" xfId="0" applyFill="1" applyBorder="1" applyAlignment="1">
      <alignment wrapText="1"/>
    </xf>
    <xf numFmtId="0" fontId="2" fillId="3" borderId="3" xfId="0" applyFont="1" applyFill="1" applyBorder="1" applyAlignment="1">
      <alignment wrapText="1"/>
    </xf>
    <xf numFmtId="0" fontId="2" fillId="3" borderId="4" xfId="0" applyFont="1" applyFill="1" applyBorder="1" applyAlignment="1">
      <alignment wrapText="1"/>
    </xf>
    <xf numFmtId="164" fontId="0" fillId="2" borderId="0" xfId="0" applyNumberFormat="1" applyFill="1"/>
    <xf numFmtId="0" fontId="0" fillId="4" borderId="0" xfId="0" applyFill="1" applyAlignment="1">
      <alignment horizontal="right"/>
    </xf>
    <xf numFmtId="0" fontId="0" fillId="4" borderId="0" xfId="0" applyFill="1"/>
    <xf numFmtId="0" fontId="2" fillId="4" borderId="0" xfId="0" applyFont="1" applyFill="1" applyAlignment="1">
      <alignment horizontal="right" vertical="center"/>
    </xf>
    <xf numFmtId="0" fontId="2" fillId="0" borderId="5" xfId="0" applyFont="1" applyBorder="1"/>
    <xf numFmtId="0" fontId="2" fillId="0" borderId="3" xfId="0" applyFont="1" applyBorder="1"/>
    <xf numFmtId="0" fontId="2" fillId="4" borderId="0" xfId="0" applyFont="1" applyFill="1" applyAlignment="1">
      <alignment horizontal="right"/>
    </xf>
    <xf numFmtId="0" fontId="0" fillId="0" borderId="3" xfId="0" applyBorder="1"/>
    <xf numFmtId="0" fontId="0" fillId="0" borderId="6" xfId="0" applyBorder="1"/>
    <xf numFmtId="0" fontId="0" fillId="4" borderId="0" xfId="0" applyFill="1" applyAlignment="1">
      <alignment horizontal="center"/>
    </xf>
    <xf numFmtId="0" fontId="2" fillId="0" borderId="7" xfId="0" applyFont="1" applyBorder="1"/>
    <xf numFmtId="0" fontId="2" fillId="0" borderId="8" xfId="0" applyFont="1" applyBorder="1"/>
    <xf numFmtId="0" fontId="0" fillId="0" borderId="9" xfId="0" applyBorder="1"/>
    <xf numFmtId="0" fontId="0" fillId="0" borderId="10" xfId="0" applyBorder="1"/>
    <xf numFmtId="0" fontId="0" fillId="0" borderId="11" xfId="0" applyBorder="1"/>
    <xf numFmtId="0" fontId="0" fillId="0" borderId="12" xfId="0" applyBorder="1"/>
    <xf numFmtId="0" fontId="2" fillId="2" borderId="13" xfId="0" applyFont="1" applyFill="1" applyBorder="1" applyAlignment="1">
      <alignment horizontal="center" wrapText="1"/>
    </xf>
    <xf numFmtId="0" fontId="0" fillId="2" borderId="13" xfId="0" applyFill="1" applyBorder="1" applyAlignment="1">
      <alignment horizontal="center" wrapText="1"/>
    </xf>
    <xf numFmtId="0" fontId="0" fillId="2" borderId="2" xfId="0" applyFill="1" applyBorder="1" applyAlignment="1">
      <alignment horizontal="center" wrapText="1"/>
    </xf>
    <xf numFmtId="0" fontId="0" fillId="2" borderId="0" xfId="0" applyFill="1" applyAlignment="1">
      <alignment wrapText="1"/>
    </xf>
    <xf numFmtId="49" fontId="2" fillId="0" borderId="0" xfId="0" applyNumberFormat="1" applyFont="1" applyAlignment="1" applyProtection="1">
      <alignment vertical="center"/>
      <protection locked="0"/>
    </xf>
    <xf numFmtId="49" fontId="2" fillId="0" borderId="0" xfId="0" applyNumberFormat="1" applyFont="1" applyAlignment="1" applyProtection="1">
      <alignment vertical="center" wrapText="1"/>
      <protection locked="0"/>
    </xf>
    <xf numFmtId="0" fontId="2" fillId="2" borderId="14" xfId="0" applyFont="1" applyFill="1" applyBorder="1" applyAlignment="1">
      <alignment horizontal="center" wrapText="1"/>
    </xf>
    <xf numFmtId="0" fontId="0" fillId="2" borderId="14" xfId="0" applyFill="1" applyBorder="1" applyAlignment="1">
      <alignment horizontal="center" wrapText="1"/>
    </xf>
    <xf numFmtId="49" fontId="0" fillId="2" borderId="0" xfId="0" applyNumberFormat="1" applyFill="1"/>
    <xf numFmtId="0" fontId="6" fillId="2" borderId="15" xfId="0" applyFont="1" applyFill="1" applyBorder="1" applyAlignment="1">
      <alignment horizontal="center"/>
    </xf>
    <xf numFmtId="0" fontId="6" fillId="2" borderId="16" xfId="0" applyFont="1" applyFill="1" applyBorder="1" applyAlignment="1">
      <alignment horizontal="center"/>
    </xf>
    <xf numFmtId="0" fontId="6" fillId="2" borderId="1" xfId="0" applyFont="1" applyFill="1" applyBorder="1" applyAlignment="1">
      <alignment horizontal="center"/>
    </xf>
    <xf numFmtId="0" fontId="0" fillId="2" borderId="1" xfId="0" applyFill="1" applyBorder="1" applyAlignment="1">
      <alignment horizontal="center"/>
    </xf>
    <xf numFmtId="49" fontId="0" fillId="2" borderId="2" xfId="0" applyNumberFormat="1" applyFill="1" applyBorder="1" applyAlignment="1">
      <alignment horizontal="center"/>
    </xf>
    <xf numFmtId="0" fontId="0" fillId="0" borderId="2" xfId="0" applyBorder="1" applyAlignment="1">
      <alignment horizontal="center"/>
    </xf>
    <xf numFmtId="0" fontId="2" fillId="2" borderId="2" xfId="0" applyFont="1" applyFill="1" applyBorder="1" applyAlignment="1">
      <alignment horizontal="center"/>
    </xf>
    <xf numFmtId="0" fontId="0" fillId="2" borderId="2" xfId="0" applyFill="1" applyBorder="1" applyAlignment="1">
      <alignment horizontal="center"/>
    </xf>
    <xf numFmtId="0" fontId="2" fillId="2" borderId="1" xfId="0" applyFont="1" applyFill="1" applyBorder="1" applyAlignment="1">
      <alignment horizontal="center"/>
    </xf>
    <xf numFmtId="0" fontId="2" fillId="2" borderId="17" xfId="0" applyFont="1" applyFill="1" applyBorder="1" applyAlignment="1">
      <alignment horizontal="center"/>
    </xf>
    <xf numFmtId="0" fontId="0" fillId="2" borderId="2" xfId="0" applyFill="1" applyBorder="1"/>
    <xf numFmtId="49" fontId="2" fillId="2" borderId="2" xfId="0" applyNumberFormat="1" applyFont="1" applyFill="1" applyBorder="1" applyAlignment="1">
      <alignment horizontal="center"/>
    </xf>
    <xf numFmtId="49" fontId="2" fillId="0" borderId="2" xfId="0" applyNumberFormat="1" applyFont="1" applyBorder="1" applyAlignment="1">
      <alignment horizontal="center"/>
    </xf>
    <xf numFmtId="0" fontId="2" fillId="2" borderId="13" xfId="0" applyFont="1" applyFill="1" applyBorder="1" applyAlignment="1">
      <alignment horizontal="center"/>
    </xf>
    <xf numFmtId="165" fontId="0" fillId="2" borderId="2" xfId="0" applyNumberFormat="1" applyFill="1" applyBorder="1" applyAlignment="1">
      <alignment horizontal="center"/>
    </xf>
    <xf numFmtId="2" fontId="0" fillId="2" borderId="2" xfId="0" applyNumberFormat="1" applyFill="1" applyBorder="1" applyAlignment="1">
      <alignment horizontal="center"/>
    </xf>
    <xf numFmtId="165" fontId="0" fillId="0" borderId="2" xfId="0" applyNumberFormat="1" applyBorder="1" applyAlignment="1">
      <alignment horizontal="center"/>
    </xf>
    <xf numFmtId="0" fontId="2" fillId="0" borderId="2" xfId="0" applyFont="1" applyBorder="1" applyAlignment="1">
      <alignment horizontal="center"/>
    </xf>
    <xf numFmtId="2" fontId="2" fillId="2" borderId="2" xfId="0" applyNumberFormat="1" applyFont="1" applyFill="1" applyBorder="1" applyAlignment="1">
      <alignment horizontal="center"/>
    </xf>
    <xf numFmtId="49" fontId="2" fillId="0" borderId="0" xfId="0" applyNumberFormat="1" applyFont="1" applyAlignment="1" applyProtection="1">
      <alignment horizontal="center"/>
      <protection locked="0"/>
    </xf>
    <xf numFmtId="1" fontId="2" fillId="0" borderId="0" xfId="0" applyNumberFormat="1" applyFont="1" applyAlignment="1" applyProtection="1">
      <alignment horizontal="center"/>
      <protection locked="0"/>
    </xf>
    <xf numFmtId="1" fontId="0" fillId="0" borderId="0" xfId="0" applyNumberFormat="1" applyAlignment="1" applyProtection="1">
      <alignment horizontal="center"/>
      <protection locked="0"/>
    </xf>
    <xf numFmtId="2" fontId="0" fillId="0" borderId="0" xfId="0" applyNumberFormat="1" applyAlignment="1" applyProtection="1">
      <alignment horizontal="center"/>
      <protection locked="0"/>
    </xf>
    <xf numFmtId="166" fontId="0" fillId="0" borderId="0" xfId="0" applyNumberFormat="1" applyAlignment="1" applyProtection="1">
      <alignment horizontal="center"/>
      <protection locked="0"/>
    </xf>
    <xf numFmtId="165" fontId="2" fillId="0" borderId="0" xfId="0" applyNumberFormat="1" applyFont="1" applyAlignment="1" applyProtection="1">
      <alignment horizontal="center"/>
      <protection locked="0"/>
    </xf>
    <xf numFmtId="166" fontId="2" fillId="0" borderId="0" xfId="0" applyNumberFormat="1" applyFont="1" applyAlignment="1" applyProtection="1">
      <alignment horizontal="center"/>
      <protection locked="0"/>
    </xf>
    <xf numFmtId="2" fontId="2" fillId="0" borderId="0" xfId="0" applyNumberFormat="1" applyFont="1" applyAlignment="1" applyProtection="1">
      <alignment horizontal="center"/>
      <protection locked="0"/>
    </xf>
    <xf numFmtId="164" fontId="0" fillId="0" borderId="0" xfId="0" applyNumberFormat="1" applyAlignment="1" applyProtection="1">
      <alignment horizontal="center"/>
      <protection locked="0"/>
    </xf>
    <xf numFmtId="164" fontId="2" fillId="0" borderId="0" xfId="0" applyNumberFormat="1" applyFont="1" applyAlignment="1" applyProtection="1">
      <alignment horizontal="center"/>
      <protection locked="0"/>
    </xf>
    <xf numFmtId="49" fontId="2" fillId="0" borderId="13" xfId="0" applyNumberFormat="1" applyFont="1" applyBorder="1" applyProtection="1">
      <protection locked="0"/>
    </xf>
    <xf numFmtId="0" fontId="2" fillId="0" borderId="0" xfId="0" applyFont="1" applyAlignment="1">
      <alignment horizontal="center"/>
    </xf>
    <xf numFmtId="0" fontId="0" fillId="0" borderId="0" xfId="0" applyAlignment="1">
      <alignment horizontal="center"/>
    </xf>
    <xf numFmtId="49" fontId="0" fillId="0" borderId="0" xfId="0" applyNumberFormat="1" applyAlignment="1" applyProtection="1">
      <alignment horizontal="center"/>
      <protection locked="0"/>
    </xf>
    <xf numFmtId="164" fontId="0" fillId="0" borderId="0" xfId="0" applyNumberFormat="1"/>
    <xf numFmtId="164" fontId="0" fillId="2" borderId="1" xfId="0" applyNumberFormat="1" applyFill="1" applyBorder="1" applyAlignment="1">
      <alignment horizontal="center"/>
    </xf>
    <xf numFmtId="164" fontId="2" fillId="2" borderId="2" xfId="0" applyNumberFormat="1" applyFont="1" applyFill="1" applyBorder="1" applyAlignment="1">
      <alignment horizontal="center"/>
    </xf>
    <xf numFmtId="0" fontId="2" fillId="2" borderId="18" xfId="0" applyFont="1" applyFill="1" applyBorder="1" applyAlignment="1">
      <alignment horizontal="center"/>
    </xf>
    <xf numFmtId="167" fontId="0" fillId="0" borderId="0" xfId="0" applyNumberFormat="1"/>
    <xf numFmtId="168" fontId="0" fillId="0" borderId="0" xfId="0" applyNumberFormat="1"/>
    <xf numFmtId="165" fontId="0" fillId="0" borderId="0" xfId="0" applyNumberFormat="1"/>
    <xf numFmtId="168" fontId="0" fillId="0" borderId="0" xfId="0" applyNumberFormat="1" applyAlignment="1" applyProtection="1">
      <alignment horizontal="center"/>
      <protection locked="0"/>
    </xf>
    <xf numFmtId="169" fontId="0" fillId="0" borderId="0" xfId="0" applyNumberFormat="1" applyAlignment="1" applyProtection="1">
      <alignment horizontal="center"/>
      <protection locked="0"/>
    </xf>
    <xf numFmtId="2" fontId="0" fillId="0" borderId="0" xfId="0" applyNumberFormat="1"/>
    <xf numFmtId="0" fontId="0" fillId="2" borderId="13" xfId="0" applyFill="1" applyBorder="1" applyAlignment="1">
      <alignment horizontal="center"/>
    </xf>
    <xf numFmtId="0" fontId="2" fillId="2" borderId="19" xfId="0" applyFont="1" applyFill="1" applyBorder="1" applyAlignment="1">
      <alignment horizontal="center"/>
    </xf>
    <xf numFmtId="0" fontId="2" fillId="0" borderId="20" xfId="0" applyFont="1" applyBorder="1" applyAlignment="1" applyProtection="1">
      <alignment horizontal="center" vertical="center"/>
      <protection locked="0"/>
    </xf>
    <xf numFmtId="0" fontId="2" fillId="0" borderId="13" xfId="0" applyFont="1" applyBorder="1" applyAlignment="1" applyProtection="1">
      <alignment horizontal="left" vertical="center" wrapText="1"/>
      <protection locked="0"/>
    </xf>
    <xf numFmtId="0" fontId="0" fillId="0" borderId="21" xfId="0" applyBorder="1" applyAlignment="1" applyProtection="1">
      <alignment horizontal="center" vertical="center"/>
      <protection locked="0"/>
    </xf>
    <xf numFmtId="0" fontId="0" fillId="0" borderId="13" xfId="0" applyBorder="1" applyAlignment="1" applyProtection="1">
      <alignment horizontal="left" vertical="center" wrapText="1"/>
      <protection locked="0"/>
    </xf>
    <xf numFmtId="0" fontId="0" fillId="0" borderId="22" xfId="0" applyBorder="1" applyAlignment="1" applyProtection="1">
      <alignment horizontal="center" vertical="center"/>
      <protection locked="0"/>
    </xf>
    <xf numFmtId="0" fontId="0" fillId="0" borderId="19" xfId="0" applyBorder="1" applyAlignment="1" applyProtection="1">
      <alignment horizontal="left" vertical="center" wrapText="1"/>
      <protection locked="0"/>
    </xf>
    <xf numFmtId="0" fontId="2" fillId="2" borderId="0" xfId="0" applyFont="1" applyFill="1"/>
    <xf numFmtId="0" fontId="6" fillId="2" borderId="1" xfId="0" applyFont="1" applyFill="1" applyBorder="1"/>
    <xf numFmtId="0" fontId="6" fillId="5" borderId="16" xfId="0" applyFont="1" applyFill="1" applyBorder="1"/>
    <xf numFmtId="0" fontId="2" fillId="0" borderId="2" xfId="0" applyFont="1" applyBorder="1" applyProtection="1">
      <protection locked="0"/>
    </xf>
    <xf numFmtId="0" fontId="6" fillId="2" borderId="20" xfId="0" applyFont="1" applyFill="1" applyBorder="1"/>
    <xf numFmtId="0" fontId="6" fillId="2" borderId="17" xfId="0" applyFont="1" applyFill="1" applyBorder="1"/>
    <xf numFmtId="0" fontId="6" fillId="2" borderId="0" xfId="0" applyFont="1" applyFill="1"/>
    <xf numFmtId="0" fontId="2" fillId="0" borderId="21" xfId="0" applyFont="1" applyBorder="1" applyProtection="1">
      <protection locked="0"/>
    </xf>
    <xf numFmtId="0" fontId="2" fillId="0" borderId="13" xfId="0" applyFont="1" applyBorder="1" applyProtection="1">
      <protection locked="0"/>
    </xf>
    <xf numFmtId="0" fontId="2" fillId="0" borderId="20" xfId="0" applyFont="1" applyBorder="1" applyProtection="1">
      <protection locked="0"/>
    </xf>
    <xf numFmtId="0" fontId="2" fillId="0" borderId="17" xfId="0" applyFont="1" applyBorder="1" applyProtection="1">
      <protection locked="0"/>
    </xf>
    <xf numFmtId="0" fontId="2" fillId="0" borderId="17" xfId="0" applyFont="1" applyBorder="1" applyAlignment="1" applyProtection="1">
      <alignment horizontal="center"/>
      <protection locked="0"/>
    </xf>
    <xf numFmtId="0" fontId="2" fillId="0" borderId="1" xfId="0" applyFont="1" applyBorder="1" applyProtection="1">
      <protection locked="0"/>
    </xf>
    <xf numFmtId="0" fontId="2" fillId="0" borderId="13" xfId="0" applyFont="1" applyBorder="1" applyAlignment="1" applyProtection="1">
      <alignment horizontal="center"/>
      <protection locked="0"/>
    </xf>
    <xf numFmtId="0" fontId="2" fillId="0" borderId="4" xfId="0" applyFont="1" applyBorder="1" applyProtection="1">
      <protection locked="0"/>
    </xf>
    <xf numFmtId="0" fontId="2" fillId="0" borderId="22" xfId="0" applyFont="1" applyBorder="1" applyProtection="1">
      <protection locked="0"/>
    </xf>
    <xf numFmtId="0" fontId="2" fillId="0" borderId="19" xfId="0" applyFont="1" applyBorder="1" applyProtection="1">
      <protection locked="0"/>
    </xf>
    <xf numFmtId="0" fontId="2" fillId="0" borderId="19" xfId="0" applyFont="1" applyBorder="1" applyAlignment="1" applyProtection="1">
      <alignment horizontal="center"/>
      <protection locked="0"/>
    </xf>
    <xf numFmtId="0" fontId="0" fillId="0" borderId="5" xfId="0" applyBorder="1"/>
    <xf numFmtId="49" fontId="0" fillId="0" borderId="0" xfId="0" applyNumberFormat="1"/>
    <xf numFmtId="49" fontId="2" fillId="0" borderId="0" xfId="0" applyNumberFormat="1" applyFont="1"/>
    <xf numFmtId="0" fontId="1" fillId="0" borderId="0" xfId="0" applyFont="1"/>
    <xf numFmtId="49" fontId="1" fillId="0" borderId="0" xfId="0" applyNumberFormat="1" applyFont="1"/>
  </cellXfs>
  <cellStyles count="3">
    <cellStyle name="Normal" xfId="0" builtinId="0"/>
    <cellStyle name="Normal 2" xfId="1" xr:uid="{00000000-0005-0000-0000-000006000000}"/>
    <cellStyle name="Standard_SMA" xfId="2" xr:uid="{00000000-0005-0000-0000-000007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6F9D4"/>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A6A6A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www.alfam.dk/" TargetMode="External"/><Relationship Id="rId1" Type="http://schemas.openxmlformats.org/officeDocument/2006/relationships/hyperlink" Target="http://www.alfam.dk/" TargetMode="External"/></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9.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J39"/>
  <sheetViews>
    <sheetView topLeftCell="A21" zoomScaleNormal="100" workbookViewId="0">
      <selection activeCell="J17" sqref="J17"/>
    </sheetView>
  </sheetViews>
  <sheetFormatPr defaultColWidth="9.109375" defaultRowHeight="13.2" x14ac:dyDescent="0.25"/>
  <cols>
    <col min="1" max="1" width="9.109375" style="13"/>
    <col min="2" max="2" width="95.88671875" style="13" customWidth="1"/>
    <col min="3" max="1024" width="9.109375" style="13"/>
  </cols>
  <sheetData>
    <row r="1" spans="1:2" x14ac:dyDescent="0.25">
      <c r="A1" s="14"/>
    </row>
    <row r="2" spans="1:2" ht="17.399999999999999" x14ac:dyDescent="0.3">
      <c r="A2" s="14"/>
      <c r="B2" s="15" t="s">
        <v>0</v>
      </c>
    </row>
    <row r="3" spans="1:2" x14ac:dyDescent="0.25">
      <c r="A3" s="14"/>
      <c r="B3" s="13" t="s">
        <v>1</v>
      </c>
    </row>
    <row r="4" spans="1:2" x14ac:dyDescent="0.25">
      <c r="A4" s="14"/>
      <c r="B4" s="16" t="s">
        <v>2</v>
      </c>
    </row>
    <row r="5" spans="1:2" x14ac:dyDescent="0.25">
      <c r="A5" s="14"/>
      <c r="B5" s="16"/>
    </row>
    <row r="6" spans="1:2" x14ac:dyDescent="0.25">
      <c r="A6" s="14"/>
    </row>
    <row r="7" spans="1:2" ht="26.4" x14ac:dyDescent="0.25">
      <c r="B7" s="17" t="s">
        <v>3</v>
      </c>
    </row>
    <row r="8" spans="1:2" x14ac:dyDescent="0.25">
      <c r="B8" s="18"/>
    </row>
    <row r="9" spans="1:2" x14ac:dyDescent="0.25">
      <c r="B9" s="18" t="s">
        <v>4</v>
      </c>
    </row>
    <row r="10" spans="1:2" x14ac:dyDescent="0.25">
      <c r="B10" s="19" t="s">
        <v>5</v>
      </c>
    </row>
    <row r="11" spans="1:2" x14ac:dyDescent="0.25">
      <c r="B11" s="20" t="s">
        <v>6</v>
      </c>
    </row>
    <row r="12" spans="1:2" x14ac:dyDescent="0.25">
      <c r="B12" s="18"/>
    </row>
    <row r="13" spans="1:2" ht="26.4" x14ac:dyDescent="0.25">
      <c r="B13" s="19" t="s">
        <v>7</v>
      </c>
    </row>
    <row r="14" spans="1:2" x14ac:dyDescent="0.25">
      <c r="B14" s="19"/>
    </row>
    <row r="15" spans="1:2" x14ac:dyDescent="0.25">
      <c r="B15" s="19" t="s">
        <v>8</v>
      </c>
    </row>
    <row r="16" spans="1:2" x14ac:dyDescent="0.25">
      <c r="B16" s="18"/>
    </row>
    <row r="17" spans="2:2" ht="39.6" x14ac:dyDescent="0.25">
      <c r="B17" s="19" t="s">
        <v>9</v>
      </c>
    </row>
    <row r="18" spans="2:2" x14ac:dyDescent="0.25">
      <c r="B18" s="19"/>
    </row>
    <row r="19" spans="2:2" ht="66" x14ac:dyDescent="0.25">
      <c r="B19" s="19" t="s">
        <v>10</v>
      </c>
    </row>
    <row r="20" spans="2:2" x14ac:dyDescent="0.25">
      <c r="B20" s="18"/>
    </row>
    <row r="21" spans="2:2" ht="66" x14ac:dyDescent="0.25">
      <c r="B21" s="21" t="s">
        <v>11</v>
      </c>
    </row>
    <row r="22" spans="2:2" x14ac:dyDescent="0.25">
      <c r="B22" s="18"/>
    </row>
    <row r="23" spans="2:2" ht="92.4" x14ac:dyDescent="0.25">
      <c r="B23" s="19" t="s">
        <v>12</v>
      </c>
    </row>
    <row r="24" spans="2:2" x14ac:dyDescent="0.25">
      <c r="B24" s="19"/>
    </row>
    <row r="25" spans="2:2" ht="26.4" x14ac:dyDescent="0.25">
      <c r="B25" s="19" t="s">
        <v>13</v>
      </c>
    </row>
    <row r="26" spans="2:2" x14ac:dyDescent="0.25">
      <c r="B26" s="19"/>
    </row>
    <row r="27" spans="2:2" ht="26.4" x14ac:dyDescent="0.25">
      <c r="B27" s="22" t="s">
        <v>14</v>
      </c>
    </row>
    <row r="28" spans="2:2" x14ac:dyDescent="0.25">
      <c r="B28" s="18"/>
    </row>
    <row r="29" spans="2:2" x14ac:dyDescent="0.25">
      <c r="B29" s="19" t="s">
        <v>15</v>
      </c>
    </row>
    <row r="30" spans="2:2" x14ac:dyDescent="0.25">
      <c r="B30" s="18" t="s">
        <v>16</v>
      </c>
    </row>
    <row r="31" spans="2:2" x14ac:dyDescent="0.25">
      <c r="B31" s="18" t="s">
        <v>17</v>
      </c>
    </row>
    <row r="32" spans="2:2" x14ac:dyDescent="0.25">
      <c r="B32" s="18" t="s">
        <v>18</v>
      </c>
    </row>
    <row r="33" spans="2:2" x14ac:dyDescent="0.25">
      <c r="B33" s="18" t="s">
        <v>19</v>
      </c>
    </row>
    <row r="34" spans="2:2" x14ac:dyDescent="0.25">
      <c r="B34" s="18" t="s">
        <v>20</v>
      </c>
    </row>
    <row r="35" spans="2:2" x14ac:dyDescent="0.25">
      <c r="B35" s="18" t="s">
        <v>21</v>
      </c>
    </row>
    <row r="36" spans="2:2" x14ac:dyDescent="0.25">
      <c r="B36" s="23" t="s">
        <v>22</v>
      </c>
    </row>
    <row r="39" spans="2:2" x14ac:dyDescent="0.25">
      <c r="B39" s="24"/>
    </row>
  </sheetData>
  <hyperlinks>
    <hyperlink ref="B4" r:id="rId1" xr:uid="{00000000-0004-0000-0000-000000000000}"/>
    <hyperlink ref="B11" r:id="rId2" xr:uid="{00000000-0004-0000-0000-000001000000}"/>
  </hyperlinks>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AMC6"/>
  <sheetViews>
    <sheetView zoomScaleNormal="100" workbookViewId="0">
      <selection activeCell="B5" sqref="B5"/>
    </sheetView>
  </sheetViews>
  <sheetFormatPr defaultColWidth="11.5546875" defaultRowHeight="13.2" x14ac:dyDescent="0.25"/>
  <cols>
    <col min="1" max="1" width="37.6640625" style="25" customWidth="1"/>
    <col min="2" max="2" width="57.33203125" style="26" customWidth="1"/>
    <col min="3" max="1017" width="11.5546875" style="26"/>
  </cols>
  <sheetData>
    <row r="2" spans="1:2" x14ac:dyDescent="0.25">
      <c r="A2" s="27" t="s">
        <v>23</v>
      </c>
      <c r="B2" s="28" t="s">
        <v>24</v>
      </c>
    </row>
    <row r="3" spans="1:2" x14ac:dyDescent="0.25">
      <c r="A3" s="27" t="s">
        <v>25</v>
      </c>
      <c r="B3" s="29" t="s">
        <v>26</v>
      </c>
    </row>
    <row r="4" spans="1:2" x14ac:dyDescent="0.25">
      <c r="A4" s="27" t="s">
        <v>27</v>
      </c>
      <c r="B4" s="29" t="s">
        <v>28</v>
      </c>
    </row>
    <row r="5" spans="1:2" x14ac:dyDescent="0.25">
      <c r="A5" s="30" t="s">
        <v>29</v>
      </c>
      <c r="B5" s="31"/>
    </row>
    <row r="6" spans="1:2" x14ac:dyDescent="0.25">
      <c r="A6" s="25" t="s">
        <v>30</v>
      </c>
      <c r="B6" s="32"/>
    </row>
  </sheetData>
  <pageMargins left="0.78749999999999998" right="0.78749999999999998" top="1.05277777777778" bottom="1.05277777777778" header="0.78749999999999998" footer="0.78749999999999998"/>
  <pageSetup orientation="portrait" horizontalDpi="300" verticalDpi="300"/>
  <headerFooter>
    <oddHeader>&amp;C&amp;"Times New Roman,Regular"&amp;12&amp;A</oddHeader>
    <oddFooter>&amp;C&amp;"Times New Roman,Regular"&amp;12Page &amp;P</oddFooter>
  </headerFooter>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MC16"/>
  <sheetViews>
    <sheetView zoomScaleNormal="100" workbookViewId="0">
      <selection activeCell="A3" sqref="A3"/>
    </sheetView>
  </sheetViews>
  <sheetFormatPr defaultColWidth="11.5546875" defaultRowHeight="13.2" x14ac:dyDescent="0.25"/>
  <cols>
    <col min="1" max="1" width="57.33203125" style="26" customWidth="1"/>
    <col min="2" max="2" width="49.33203125" style="26" customWidth="1"/>
    <col min="3" max="1017" width="11.5546875" style="26"/>
  </cols>
  <sheetData>
    <row r="1" spans="1:2" x14ac:dyDescent="0.25">
      <c r="A1" s="33" t="s">
        <v>31</v>
      </c>
      <c r="B1" s="33" t="s">
        <v>32</v>
      </c>
    </row>
    <row r="2" spans="1:2" x14ac:dyDescent="0.25">
      <c r="A2" s="34" t="s">
        <v>33</v>
      </c>
      <c r="B2" s="35" t="s">
        <v>24</v>
      </c>
    </row>
    <row r="3" spans="1:2" x14ac:dyDescent="0.25">
      <c r="A3" s="36"/>
      <c r="B3" s="37"/>
    </row>
    <row r="4" spans="1:2" x14ac:dyDescent="0.25">
      <c r="A4" s="36"/>
      <c r="B4" s="37"/>
    </row>
    <row r="5" spans="1:2" x14ac:dyDescent="0.25">
      <c r="A5" s="36"/>
      <c r="B5" s="37"/>
    </row>
    <row r="6" spans="1:2" x14ac:dyDescent="0.25">
      <c r="A6" s="36"/>
      <c r="B6" s="37"/>
    </row>
    <row r="7" spans="1:2" x14ac:dyDescent="0.25">
      <c r="A7" s="36"/>
      <c r="B7" s="37"/>
    </row>
    <row r="8" spans="1:2" x14ac:dyDescent="0.25">
      <c r="A8" s="36"/>
      <c r="B8" s="37"/>
    </row>
    <row r="9" spans="1:2" x14ac:dyDescent="0.25">
      <c r="A9" s="36"/>
      <c r="B9" s="37"/>
    </row>
    <row r="10" spans="1:2" x14ac:dyDescent="0.25">
      <c r="A10" s="36"/>
      <c r="B10" s="37"/>
    </row>
    <row r="11" spans="1:2" x14ac:dyDescent="0.25">
      <c r="A11" s="36"/>
      <c r="B11" s="37"/>
    </row>
    <row r="12" spans="1:2" x14ac:dyDescent="0.25">
      <c r="A12" s="36"/>
      <c r="B12" s="37"/>
    </row>
    <row r="13" spans="1:2" x14ac:dyDescent="0.25">
      <c r="A13" s="36"/>
      <c r="B13" s="37"/>
    </row>
    <row r="14" spans="1:2" x14ac:dyDescent="0.25">
      <c r="A14" s="36"/>
      <c r="B14" s="37"/>
    </row>
    <row r="15" spans="1:2" x14ac:dyDescent="0.25">
      <c r="A15" s="36"/>
      <c r="B15" s="37"/>
    </row>
    <row r="16" spans="1:2" x14ac:dyDescent="0.25">
      <c r="A16" s="38"/>
      <c r="B16" s="39"/>
    </row>
  </sheetData>
  <pageMargins left="0.78749999999999998" right="0.78749999999999998" top="1.05277777777778" bottom="1.05277777777778" header="0.78749999999999998" footer="0.78749999999999998"/>
  <pageSetup orientation="portrait" horizontalDpi="300" verticalDpi="300"/>
  <headerFooter>
    <oddHeader>&amp;C&amp;"Times New Roman,Regular"&amp;12&amp;A</oddHeader>
    <oddFooter>&amp;C&amp;"Times New Roman,Regular"&amp;12Page &amp;P</oddFooter>
  </headerFooter>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MJ69"/>
  <sheetViews>
    <sheetView zoomScaleNormal="100" workbookViewId="0">
      <pane xSplit="1" ySplit="1" topLeftCell="B2" activePane="bottomRight" state="frozen"/>
      <selection pane="topRight" activeCell="H1" sqref="H1"/>
      <selection pane="bottomLeft" activeCell="A2" sqref="A2"/>
      <selection pane="bottomRight" activeCell="J6" sqref="J6"/>
    </sheetView>
  </sheetViews>
  <sheetFormatPr defaultColWidth="9.109375" defaultRowHeight="13.2" x14ac:dyDescent="0.25"/>
  <cols>
    <col min="1" max="1" width="24.44140625" style="13" customWidth="1"/>
    <col min="2" max="4" width="50.5546875" style="13" customWidth="1"/>
    <col min="5" max="5" width="41.5546875" style="13" customWidth="1"/>
    <col min="6" max="6" width="37.5546875" style="13" customWidth="1"/>
    <col min="7" max="7" width="77.44140625" style="13" customWidth="1"/>
    <col min="8" max="8" width="109.33203125" style="13" customWidth="1"/>
    <col min="9" max="9" width="57.6640625" style="13" customWidth="1"/>
    <col min="10" max="10" width="76.5546875" style="13" customWidth="1"/>
    <col min="11" max="1024" width="9.109375" style="13"/>
  </cols>
  <sheetData>
    <row r="1" spans="1:10" s="43" customFormat="1" ht="26.4" x14ac:dyDescent="0.25">
      <c r="A1" s="40" t="s">
        <v>34</v>
      </c>
      <c r="B1" s="40" t="s">
        <v>35</v>
      </c>
      <c r="C1" s="41" t="s">
        <v>36</v>
      </c>
      <c r="D1" s="42" t="s">
        <v>37</v>
      </c>
      <c r="E1" s="42" t="s">
        <v>38</v>
      </c>
      <c r="F1" s="42" t="s">
        <v>39</v>
      </c>
      <c r="G1" s="42" t="s">
        <v>40</v>
      </c>
      <c r="H1" s="42" t="s">
        <v>41</v>
      </c>
      <c r="I1" s="42" t="s">
        <v>42</v>
      </c>
      <c r="J1" s="42" t="s">
        <v>43</v>
      </c>
    </row>
    <row r="2" spans="1:10" ht="24.75" customHeight="1" x14ac:dyDescent="0.25">
      <c r="A2" s="44" t="s">
        <v>44</v>
      </c>
      <c r="B2" s="44" t="s">
        <v>45</v>
      </c>
      <c r="C2" s="44"/>
      <c r="D2" s="45" t="s">
        <v>46</v>
      </c>
      <c r="E2" s="45" t="s">
        <v>47</v>
      </c>
      <c r="F2" s="45" t="s">
        <v>48</v>
      </c>
      <c r="G2" s="45"/>
      <c r="H2" s="45" t="s">
        <v>49</v>
      </c>
      <c r="I2" s="45" t="s">
        <v>50</v>
      </c>
      <c r="J2" s="45" t="s">
        <v>51</v>
      </c>
    </row>
    <row r="3" spans="1:10" ht="24.75" customHeight="1" x14ac:dyDescent="0.25">
      <c r="A3" s="44" t="s">
        <v>44</v>
      </c>
      <c r="B3" s="44" t="s">
        <v>52</v>
      </c>
      <c r="C3" s="44"/>
      <c r="D3" s="45" t="s">
        <v>46</v>
      </c>
      <c r="E3" s="45" t="s">
        <v>47</v>
      </c>
      <c r="F3" s="45" t="s">
        <v>48</v>
      </c>
      <c r="G3" s="45"/>
      <c r="H3" s="45" t="s">
        <v>53</v>
      </c>
      <c r="I3" s="45" t="s">
        <v>50</v>
      </c>
      <c r="J3" s="45" t="s">
        <v>54</v>
      </c>
    </row>
    <row r="4" spans="1:10" ht="24.75" customHeight="1" x14ac:dyDescent="0.25">
      <c r="A4" s="44"/>
      <c r="B4" s="44"/>
      <c r="C4" s="44"/>
      <c r="D4" s="45"/>
      <c r="E4" s="45"/>
      <c r="F4" s="45"/>
      <c r="G4" s="45"/>
      <c r="H4" s="45"/>
      <c r="I4" s="45"/>
      <c r="J4" s="45"/>
    </row>
    <row r="5" spans="1:10" ht="24.75" customHeight="1" x14ac:dyDescent="0.25">
      <c r="A5" s="44"/>
      <c r="B5" s="44"/>
      <c r="C5" s="44"/>
      <c r="D5" s="45"/>
      <c r="E5" s="45"/>
      <c r="F5" s="45"/>
      <c r="G5" s="45"/>
      <c r="H5" s="45"/>
      <c r="I5" s="45"/>
      <c r="J5" s="45"/>
    </row>
    <row r="6" spans="1:10" ht="24.75" customHeight="1" x14ac:dyDescent="0.25">
      <c r="A6" s="44"/>
      <c r="B6" s="44"/>
      <c r="C6" s="44"/>
      <c r="D6" s="45"/>
      <c r="E6" s="45"/>
      <c r="F6" s="45"/>
      <c r="G6" s="45"/>
      <c r="H6" s="45"/>
      <c r="I6" s="45"/>
      <c r="J6" s="45"/>
    </row>
    <row r="7" spans="1:10" ht="24.75" customHeight="1" x14ac:dyDescent="0.25">
      <c r="A7" s="44"/>
      <c r="B7" s="44"/>
      <c r="C7" s="44"/>
      <c r="D7" s="45"/>
      <c r="E7" s="45"/>
      <c r="F7" s="45"/>
      <c r="G7" s="45"/>
      <c r="H7" s="45"/>
      <c r="I7" s="45"/>
      <c r="J7" s="45"/>
    </row>
    <row r="8" spans="1:10" ht="24.75" customHeight="1" x14ac:dyDescent="0.25">
      <c r="A8" s="44"/>
      <c r="B8" s="44"/>
      <c r="C8" s="44"/>
      <c r="D8" s="45"/>
      <c r="E8" s="45"/>
      <c r="F8" s="45"/>
      <c r="G8" s="45"/>
      <c r="H8" s="45"/>
      <c r="I8" s="45"/>
      <c r="J8" s="45"/>
    </row>
    <row r="9" spans="1:10" ht="24.75" customHeight="1" x14ac:dyDescent="0.25">
      <c r="A9" s="44"/>
      <c r="B9" s="44"/>
      <c r="C9" s="44"/>
      <c r="D9" s="45"/>
      <c r="E9" s="45"/>
      <c r="F9" s="45"/>
      <c r="G9" s="45"/>
      <c r="H9" s="45"/>
      <c r="I9" s="45"/>
      <c r="J9" s="45"/>
    </row>
    <row r="10" spans="1:10" ht="24.75" customHeight="1" x14ac:dyDescent="0.25">
      <c r="A10" s="44"/>
      <c r="B10" s="44"/>
      <c r="C10" s="44"/>
      <c r="D10" s="45"/>
      <c r="E10" s="45"/>
      <c r="F10" s="45"/>
      <c r="G10" s="45"/>
      <c r="H10" s="45"/>
      <c r="I10" s="45"/>
      <c r="J10" s="45"/>
    </row>
    <row r="11" spans="1:10" ht="24.75" customHeight="1" x14ac:dyDescent="0.25">
      <c r="A11" s="44"/>
      <c r="B11" s="44"/>
      <c r="C11" s="44"/>
      <c r="D11" s="45"/>
      <c r="E11" s="45"/>
      <c r="F11" s="45"/>
      <c r="G11" s="45"/>
      <c r="H11" s="45"/>
      <c r="I11" s="45"/>
      <c r="J11" s="45"/>
    </row>
    <row r="12" spans="1:10" ht="24.75" customHeight="1" x14ac:dyDescent="0.25">
      <c r="A12" s="44"/>
      <c r="B12" s="44"/>
      <c r="C12" s="44"/>
      <c r="D12" s="45"/>
      <c r="E12" s="45"/>
      <c r="F12" s="45"/>
      <c r="G12" s="45"/>
      <c r="H12" s="45"/>
      <c r="I12" s="45"/>
      <c r="J12" s="45"/>
    </row>
    <row r="13" spans="1:10" ht="24.75" customHeight="1" x14ac:dyDescent="0.25">
      <c r="A13" s="44"/>
      <c r="B13" s="44"/>
      <c r="C13" s="44"/>
      <c r="D13" s="45"/>
      <c r="E13" s="45"/>
      <c r="F13" s="45"/>
      <c r="G13" s="45"/>
      <c r="H13" s="45"/>
      <c r="I13" s="45"/>
      <c r="J13" s="45"/>
    </row>
    <row r="14" spans="1:10" ht="24.75" customHeight="1" x14ac:dyDescent="0.25">
      <c r="A14" s="44"/>
      <c r="B14" s="44"/>
      <c r="C14" s="44"/>
      <c r="D14" s="45"/>
      <c r="E14" s="45"/>
      <c r="F14" s="45"/>
      <c r="G14" s="45"/>
      <c r="H14" s="45"/>
      <c r="I14" s="45"/>
      <c r="J14" s="45"/>
    </row>
    <row r="15" spans="1:10" ht="24.75" customHeight="1" x14ac:dyDescent="0.25">
      <c r="A15" s="44"/>
      <c r="B15" s="44"/>
      <c r="C15" s="44"/>
      <c r="D15" s="45"/>
      <c r="E15" s="45"/>
      <c r="F15" s="45"/>
      <c r="G15" s="45"/>
      <c r="H15" s="45"/>
      <c r="I15" s="45"/>
      <c r="J15" s="45"/>
    </row>
    <row r="16" spans="1:10" ht="24.75" customHeight="1" x14ac:dyDescent="0.25">
      <c r="A16" s="44"/>
      <c r="B16" s="44"/>
      <c r="C16" s="44"/>
      <c r="D16" s="45"/>
      <c r="E16" s="45"/>
      <c r="F16" s="45"/>
      <c r="G16" s="45"/>
      <c r="H16" s="45"/>
      <c r="I16" s="45"/>
      <c r="J16" s="45"/>
    </row>
    <row r="17" spans="1:10" ht="24.75" customHeight="1" x14ac:dyDescent="0.25">
      <c r="A17" s="44"/>
      <c r="B17" s="44"/>
      <c r="C17" s="44"/>
      <c r="D17" s="45"/>
      <c r="E17" s="45"/>
      <c r="F17" s="45"/>
      <c r="G17" s="45"/>
      <c r="H17" s="45"/>
      <c r="I17" s="45"/>
      <c r="J17" s="45"/>
    </row>
    <row r="18" spans="1:10" ht="24.75" customHeight="1" x14ac:dyDescent="0.25">
      <c r="A18" s="44"/>
      <c r="B18" s="44"/>
      <c r="C18" s="44"/>
      <c r="D18" s="45"/>
      <c r="E18" s="45"/>
      <c r="F18" s="45"/>
      <c r="G18" s="45"/>
      <c r="H18" s="45"/>
      <c r="I18" s="45"/>
      <c r="J18" s="45"/>
    </row>
    <row r="19" spans="1:10" ht="24.75" customHeight="1" x14ac:dyDescent="0.25">
      <c r="A19" s="44"/>
      <c r="B19" s="44"/>
      <c r="C19" s="44"/>
      <c r="D19" s="45"/>
      <c r="E19" s="45"/>
      <c r="F19" s="45"/>
      <c r="G19" s="45"/>
      <c r="H19" s="45"/>
      <c r="I19" s="45"/>
      <c r="J19" s="45"/>
    </row>
    <row r="20" spans="1:10" ht="24.75" customHeight="1" x14ac:dyDescent="0.25">
      <c r="A20" s="44"/>
      <c r="B20" s="44"/>
      <c r="C20" s="44"/>
      <c r="D20" s="45"/>
      <c r="E20" s="45"/>
      <c r="F20" s="45"/>
      <c r="G20" s="45"/>
      <c r="H20" s="45"/>
      <c r="I20" s="45"/>
      <c r="J20" s="45"/>
    </row>
    <row r="21" spans="1:10" ht="24.75" customHeight="1" x14ac:dyDescent="0.25">
      <c r="A21" s="44"/>
      <c r="B21" s="44"/>
      <c r="C21" s="44"/>
      <c r="D21" s="45"/>
      <c r="E21" s="45"/>
      <c r="F21" s="45"/>
      <c r="G21" s="45"/>
      <c r="H21" s="45"/>
      <c r="I21" s="45"/>
      <c r="J21" s="45"/>
    </row>
    <row r="22" spans="1:10" ht="24.75" customHeight="1" x14ac:dyDescent="0.25">
      <c r="A22" s="44"/>
      <c r="B22" s="44"/>
      <c r="C22" s="44"/>
      <c r="D22" s="45"/>
      <c r="E22" s="45"/>
      <c r="F22" s="45"/>
      <c r="G22" s="45"/>
      <c r="H22" s="45"/>
      <c r="I22" s="45"/>
      <c r="J22" s="45"/>
    </row>
    <row r="23" spans="1:10" ht="24.75" customHeight="1" x14ac:dyDescent="0.25">
      <c r="A23" s="44"/>
      <c r="B23" s="44"/>
      <c r="C23" s="44"/>
      <c r="D23" s="45"/>
      <c r="E23" s="45"/>
      <c r="F23" s="45"/>
      <c r="G23" s="45"/>
      <c r="H23" s="45"/>
      <c r="I23" s="45"/>
      <c r="J23" s="45"/>
    </row>
    <row r="24" spans="1:10" ht="24.75" customHeight="1" x14ac:dyDescent="0.25">
      <c r="A24" s="44"/>
      <c r="B24" s="44"/>
      <c r="C24" s="44"/>
      <c r="D24" s="45"/>
      <c r="E24" s="45"/>
      <c r="F24" s="45"/>
      <c r="G24" s="45"/>
      <c r="H24" s="45"/>
      <c r="I24" s="45"/>
      <c r="J24" s="45"/>
    </row>
    <row r="25" spans="1:10" ht="24.75" customHeight="1" x14ac:dyDescent="0.25">
      <c r="A25" s="44"/>
      <c r="B25" s="44"/>
      <c r="C25" s="44"/>
      <c r="D25" s="45"/>
      <c r="E25" s="45"/>
      <c r="F25" s="45"/>
      <c r="G25" s="45"/>
      <c r="H25" s="45"/>
      <c r="I25" s="45"/>
      <c r="J25" s="45"/>
    </row>
    <row r="26" spans="1:10" ht="24.75" customHeight="1" x14ac:dyDescent="0.25">
      <c r="A26" s="44"/>
      <c r="B26" s="44"/>
      <c r="C26" s="44"/>
      <c r="D26" s="45"/>
      <c r="E26" s="45"/>
      <c r="F26" s="45"/>
      <c r="G26" s="45"/>
      <c r="H26" s="45"/>
      <c r="I26" s="45"/>
      <c r="J26" s="45"/>
    </row>
    <row r="27" spans="1:10" ht="24.75" customHeight="1" x14ac:dyDescent="0.25">
      <c r="A27" s="44"/>
      <c r="B27" s="44"/>
      <c r="C27" s="44"/>
      <c r="D27" s="45"/>
      <c r="E27" s="45"/>
      <c r="F27" s="45"/>
      <c r="G27" s="45"/>
      <c r="H27" s="45"/>
      <c r="I27" s="45"/>
      <c r="J27" s="45"/>
    </row>
    <row r="28" spans="1:10" ht="24.75" customHeight="1" x14ac:dyDescent="0.25">
      <c r="A28" s="44"/>
      <c r="B28" s="44"/>
      <c r="C28" s="44"/>
      <c r="D28" s="45"/>
      <c r="E28" s="45"/>
      <c r="F28" s="45"/>
      <c r="G28" s="45"/>
      <c r="H28" s="45"/>
      <c r="I28" s="45"/>
      <c r="J28" s="45"/>
    </row>
    <row r="29" spans="1:10" ht="24.75" customHeight="1" x14ac:dyDescent="0.25">
      <c r="A29" s="44"/>
      <c r="B29" s="44"/>
      <c r="C29" s="44"/>
      <c r="D29" s="45"/>
      <c r="E29" s="45"/>
      <c r="F29" s="45"/>
      <c r="G29" s="45"/>
      <c r="H29" s="45"/>
      <c r="I29" s="45"/>
      <c r="J29" s="45"/>
    </row>
    <row r="30" spans="1:10" ht="24.75" customHeight="1" x14ac:dyDescent="0.25">
      <c r="A30" s="44"/>
      <c r="B30" s="44"/>
      <c r="C30" s="44"/>
      <c r="D30" s="45"/>
      <c r="E30" s="45"/>
      <c r="F30" s="45"/>
      <c r="G30" s="45"/>
      <c r="H30" s="45"/>
      <c r="I30" s="45"/>
      <c r="J30" s="45"/>
    </row>
    <row r="31" spans="1:10" ht="24.75" customHeight="1" x14ac:dyDescent="0.25">
      <c r="A31" s="44"/>
      <c r="B31" s="44"/>
      <c r="C31" s="44"/>
      <c r="D31" s="45"/>
      <c r="E31" s="45"/>
      <c r="F31" s="45"/>
      <c r="G31" s="45"/>
      <c r="H31" s="45"/>
      <c r="I31" s="45"/>
      <c r="J31" s="45"/>
    </row>
    <row r="32" spans="1:10" ht="24.75" customHeight="1" x14ac:dyDescent="0.25">
      <c r="A32" s="44"/>
      <c r="B32" s="44"/>
      <c r="C32" s="44"/>
      <c r="D32" s="45"/>
      <c r="E32" s="45"/>
      <c r="F32" s="45"/>
      <c r="G32" s="45"/>
      <c r="H32" s="45"/>
      <c r="I32" s="45"/>
      <c r="J32" s="45"/>
    </row>
    <row r="33" spans="1:10" ht="24.75" customHeight="1" x14ac:dyDescent="0.25">
      <c r="A33" s="44"/>
      <c r="B33" s="44"/>
      <c r="C33" s="44"/>
      <c r="D33" s="45"/>
      <c r="E33" s="45"/>
      <c r="F33" s="45"/>
      <c r="G33" s="45"/>
      <c r="H33" s="45"/>
      <c r="I33" s="45"/>
      <c r="J33" s="45"/>
    </row>
    <row r="34" spans="1:10" ht="24.75" customHeight="1" x14ac:dyDescent="0.25">
      <c r="A34" s="44"/>
      <c r="B34" s="44"/>
      <c r="C34" s="44"/>
      <c r="D34" s="45"/>
      <c r="E34" s="45"/>
      <c r="F34" s="45"/>
      <c r="G34" s="45"/>
      <c r="H34" s="45"/>
      <c r="I34" s="45"/>
      <c r="J34" s="45"/>
    </row>
    <row r="35" spans="1:10" ht="24.75" customHeight="1" x14ac:dyDescent="0.25">
      <c r="A35" s="44"/>
      <c r="B35" s="44"/>
      <c r="C35" s="44"/>
      <c r="D35" s="45"/>
      <c r="E35" s="45"/>
      <c r="F35" s="45"/>
      <c r="G35" s="45"/>
      <c r="H35" s="45"/>
      <c r="I35" s="45"/>
      <c r="J35" s="45"/>
    </row>
    <row r="36" spans="1:10" ht="24.75" customHeight="1" x14ac:dyDescent="0.25">
      <c r="A36" s="44"/>
      <c r="B36" s="44"/>
      <c r="C36" s="44"/>
      <c r="D36" s="45"/>
      <c r="E36" s="45"/>
      <c r="F36" s="45"/>
      <c r="G36" s="45"/>
      <c r="H36" s="45"/>
      <c r="I36" s="45"/>
      <c r="J36" s="45"/>
    </row>
    <row r="37" spans="1:10" ht="24.75" customHeight="1" x14ac:dyDescent="0.25">
      <c r="A37" s="44"/>
      <c r="B37" s="44"/>
      <c r="C37" s="44"/>
      <c r="D37" s="45"/>
      <c r="E37" s="45"/>
      <c r="F37" s="45"/>
      <c r="G37" s="45"/>
      <c r="H37" s="45"/>
      <c r="I37" s="45"/>
      <c r="J37" s="45"/>
    </row>
    <row r="38" spans="1:10" ht="24.75" customHeight="1" x14ac:dyDescent="0.25">
      <c r="A38" s="44"/>
      <c r="B38" s="44"/>
      <c r="C38" s="44"/>
      <c r="D38" s="45"/>
      <c r="E38" s="45"/>
      <c r="F38" s="45"/>
      <c r="G38" s="45"/>
      <c r="H38" s="45"/>
      <c r="I38" s="45"/>
      <c r="J38" s="45"/>
    </row>
    <row r="39" spans="1:10" ht="24.75" customHeight="1" x14ac:dyDescent="0.25">
      <c r="A39" s="44"/>
      <c r="B39" s="44"/>
      <c r="C39" s="44"/>
      <c r="D39" s="45"/>
      <c r="E39" s="45"/>
      <c r="F39" s="45"/>
      <c r="G39" s="45"/>
      <c r="H39" s="45"/>
      <c r="I39" s="45"/>
      <c r="J39" s="45"/>
    </row>
    <row r="40" spans="1:10" ht="24.75" customHeight="1" x14ac:dyDescent="0.25">
      <c r="A40" s="44"/>
      <c r="B40" s="44"/>
      <c r="C40" s="44"/>
      <c r="D40" s="45"/>
      <c r="E40" s="45"/>
      <c r="F40" s="45"/>
      <c r="G40" s="45"/>
      <c r="H40" s="45"/>
      <c r="I40" s="45"/>
      <c r="J40" s="45"/>
    </row>
    <row r="41" spans="1:10" ht="24.75" customHeight="1" x14ac:dyDescent="0.25">
      <c r="A41" s="44"/>
      <c r="B41" s="44"/>
      <c r="C41" s="44"/>
      <c r="D41" s="45"/>
      <c r="E41" s="45"/>
      <c r="F41" s="45"/>
      <c r="G41" s="45"/>
      <c r="H41" s="45"/>
      <c r="I41" s="45"/>
      <c r="J41" s="45"/>
    </row>
    <row r="42" spans="1:10" ht="24.75" customHeight="1" x14ac:dyDescent="0.25">
      <c r="A42" s="44"/>
      <c r="B42" s="44"/>
      <c r="C42" s="44"/>
      <c r="D42" s="45"/>
      <c r="E42" s="45"/>
      <c r="F42" s="45"/>
      <c r="G42" s="45"/>
      <c r="H42" s="45"/>
      <c r="I42" s="45"/>
      <c r="J42" s="45"/>
    </row>
    <row r="43" spans="1:10" ht="24.75" customHeight="1" x14ac:dyDescent="0.25">
      <c r="A43" s="44"/>
      <c r="B43" s="44"/>
      <c r="C43" s="44"/>
      <c r="D43" s="45"/>
      <c r="E43" s="45"/>
      <c r="F43" s="45"/>
      <c r="G43" s="45"/>
      <c r="H43" s="45"/>
      <c r="I43" s="45"/>
      <c r="J43" s="45"/>
    </row>
    <row r="44" spans="1:10" ht="24.75" customHeight="1" x14ac:dyDescent="0.25">
      <c r="A44" s="44"/>
      <c r="B44" s="44"/>
      <c r="C44" s="44"/>
      <c r="D44" s="45"/>
      <c r="E44" s="45"/>
      <c r="F44" s="45"/>
      <c r="G44" s="45"/>
      <c r="H44" s="45"/>
      <c r="I44" s="45"/>
      <c r="J44" s="45"/>
    </row>
    <row r="45" spans="1:10" ht="24.75" customHeight="1" x14ac:dyDescent="0.25">
      <c r="A45" s="44"/>
      <c r="B45" s="44"/>
      <c r="C45" s="44"/>
      <c r="D45" s="45"/>
      <c r="E45" s="45"/>
      <c r="F45" s="45"/>
      <c r="G45" s="45"/>
      <c r="H45" s="45"/>
      <c r="I45" s="45"/>
      <c r="J45" s="45"/>
    </row>
    <row r="46" spans="1:10" ht="24.75" customHeight="1" x14ac:dyDescent="0.25">
      <c r="A46" s="44"/>
      <c r="B46" s="44"/>
      <c r="C46" s="44"/>
      <c r="D46" s="45"/>
      <c r="E46" s="45"/>
      <c r="F46" s="45"/>
      <c r="G46" s="45"/>
      <c r="H46" s="45"/>
      <c r="I46" s="45"/>
      <c r="J46" s="45"/>
    </row>
    <row r="47" spans="1:10" ht="24.75" customHeight="1" x14ac:dyDescent="0.25">
      <c r="A47" s="44"/>
      <c r="B47" s="44"/>
      <c r="C47" s="44"/>
      <c r="D47" s="45"/>
      <c r="E47" s="45"/>
      <c r="F47" s="45"/>
      <c r="G47" s="45"/>
      <c r="H47" s="45"/>
      <c r="I47" s="45"/>
      <c r="J47" s="45"/>
    </row>
    <row r="48" spans="1:10" ht="24.75" customHeight="1" x14ac:dyDescent="0.25">
      <c r="A48" s="44"/>
      <c r="B48" s="44"/>
      <c r="C48" s="44"/>
      <c r="D48" s="45"/>
      <c r="E48" s="45"/>
      <c r="F48" s="45"/>
      <c r="G48" s="45"/>
      <c r="H48" s="45"/>
      <c r="I48" s="45"/>
      <c r="J48" s="45"/>
    </row>
    <row r="49" spans="1:10" ht="24.75" customHeight="1" x14ac:dyDescent="0.25">
      <c r="A49" s="44"/>
      <c r="B49" s="44"/>
      <c r="C49" s="44"/>
      <c r="D49" s="45"/>
      <c r="E49" s="45"/>
      <c r="F49" s="45"/>
      <c r="G49" s="45"/>
      <c r="H49" s="45"/>
      <c r="I49" s="45"/>
      <c r="J49" s="45"/>
    </row>
    <row r="50" spans="1:10" ht="24.75" customHeight="1" x14ac:dyDescent="0.25">
      <c r="A50" s="44"/>
      <c r="B50" s="44"/>
      <c r="C50" s="44"/>
      <c r="D50" s="45"/>
      <c r="E50" s="45"/>
      <c r="F50" s="45"/>
      <c r="G50" s="45"/>
      <c r="H50" s="45"/>
      <c r="I50" s="45"/>
      <c r="J50" s="45"/>
    </row>
    <row r="51" spans="1:10" ht="24.75" customHeight="1" x14ac:dyDescent="0.25">
      <c r="A51" s="44"/>
      <c r="B51" s="44"/>
      <c r="C51" s="44"/>
      <c r="D51" s="45"/>
      <c r="E51" s="45"/>
      <c r="F51" s="45"/>
      <c r="G51" s="45"/>
      <c r="H51" s="45"/>
      <c r="I51" s="45"/>
      <c r="J51" s="45"/>
    </row>
    <row r="52" spans="1:10" ht="24.75" customHeight="1" x14ac:dyDescent="0.25">
      <c r="A52" s="44"/>
      <c r="B52" s="44"/>
      <c r="C52" s="44"/>
      <c r="D52" s="45"/>
      <c r="E52" s="45"/>
      <c r="F52" s="45"/>
      <c r="G52" s="45"/>
      <c r="H52" s="45"/>
      <c r="I52" s="45"/>
      <c r="J52" s="45"/>
    </row>
    <row r="53" spans="1:10" ht="24.75" customHeight="1" x14ac:dyDescent="0.25">
      <c r="A53" s="44"/>
      <c r="B53" s="44"/>
      <c r="C53" s="44"/>
      <c r="D53" s="45"/>
      <c r="E53" s="45"/>
      <c r="F53" s="45"/>
      <c r="G53" s="45"/>
      <c r="H53" s="45"/>
      <c r="I53" s="45"/>
      <c r="J53" s="45"/>
    </row>
    <row r="54" spans="1:10" ht="24.75" customHeight="1" x14ac:dyDescent="0.25">
      <c r="A54" s="44"/>
      <c r="B54" s="44"/>
      <c r="C54" s="44"/>
      <c r="D54" s="45"/>
      <c r="E54" s="45"/>
      <c r="F54" s="45"/>
      <c r="G54" s="45"/>
      <c r="H54" s="45"/>
      <c r="I54" s="45"/>
      <c r="J54" s="45"/>
    </row>
    <row r="55" spans="1:10" ht="24.75" customHeight="1" x14ac:dyDescent="0.25">
      <c r="A55" s="44"/>
      <c r="B55" s="44"/>
      <c r="C55" s="44"/>
      <c r="D55" s="45"/>
      <c r="E55" s="45"/>
      <c r="F55" s="45"/>
      <c r="G55" s="45"/>
      <c r="H55" s="45"/>
      <c r="I55" s="45"/>
      <c r="J55" s="45"/>
    </row>
    <row r="56" spans="1:10" ht="24.75" customHeight="1" x14ac:dyDescent="0.25">
      <c r="A56" s="44"/>
      <c r="B56" s="44"/>
      <c r="C56" s="44"/>
      <c r="D56" s="45"/>
      <c r="E56" s="45"/>
      <c r="F56" s="45"/>
      <c r="G56" s="45"/>
      <c r="H56" s="45"/>
      <c r="I56" s="45"/>
      <c r="J56" s="45"/>
    </row>
    <row r="57" spans="1:10" ht="24.75" customHeight="1" x14ac:dyDescent="0.25">
      <c r="A57" s="44"/>
      <c r="B57" s="44"/>
      <c r="C57" s="44"/>
      <c r="D57" s="45"/>
      <c r="E57" s="45"/>
      <c r="F57" s="45"/>
      <c r="G57" s="45"/>
      <c r="H57" s="45"/>
      <c r="I57" s="45"/>
      <c r="J57" s="45"/>
    </row>
    <row r="58" spans="1:10" ht="24.75" customHeight="1" x14ac:dyDescent="0.25">
      <c r="A58" s="44"/>
      <c r="B58" s="44"/>
      <c r="C58" s="44"/>
      <c r="D58" s="45"/>
      <c r="E58" s="45"/>
      <c r="F58" s="45"/>
      <c r="G58" s="45"/>
      <c r="H58" s="45"/>
      <c r="I58" s="45"/>
      <c r="J58" s="45"/>
    </row>
    <row r="59" spans="1:10" ht="24.75" customHeight="1" x14ac:dyDescent="0.25">
      <c r="A59" s="44"/>
      <c r="B59" s="44"/>
      <c r="C59" s="44"/>
      <c r="D59" s="45"/>
      <c r="E59" s="45"/>
      <c r="F59" s="45"/>
      <c r="G59" s="45"/>
      <c r="H59" s="45"/>
      <c r="I59" s="45"/>
      <c r="J59" s="45"/>
    </row>
    <row r="60" spans="1:10" ht="24.75" customHeight="1" x14ac:dyDescent="0.25">
      <c r="A60" s="44"/>
      <c r="B60" s="44"/>
      <c r="C60" s="44"/>
      <c r="D60" s="45"/>
      <c r="E60" s="45"/>
      <c r="F60" s="45"/>
      <c r="G60" s="45"/>
      <c r="H60" s="45"/>
      <c r="I60" s="45"/>
      <c r="J60" s="45"/>
    </row>
    <row r="61" spans="1:10" ht="24.75" customHeight="1" x14ac:dyDescent="0.25">
      <c r="A61" s="44"/>
      <c r="B61" s="44"/>
      <c r="C61" s="44"/>
      <c r="D61" s="45"/>
      <c r="E61" s="45"/>
      <c r="F61" s="45"/>
      <c r="G61" s="45"/>
      <c r="H61" s="45"/>
      <c r="I61" s="45"/>
      <c r="J61" s="45"/>
    </row>
    <row r="62" spans="1:10" ht="24.75" customHeight="1" x14ac:dyDescent="0.25">
      <c r="A62" s="44"/>
      <c r="B62" s="44"/>
      <c r="C62" s="44"/>
      <c r="D62" s="45"/>
      <c r="E62" s="45"/>
      <c r="F62" s="45"/>
      <c r="G62" s="45"/>
      <c r="H62" s="45"/>
      <c r="I62" s="45"/>
      <c r="J62" s="45"/>
    </row>
    <row r="63" spans="1:10" ht="24.75" customHeight="1" x14ac:dyDescent="0.25">
      <c r="A63" s="44"/>
      <c r="B63" s="44"/>
      <c r="C63" s="44"/>
      <c r="D63" s="45"/>
      <c r="E63" s="45"/>
      <c r="F63" s="45"/>
      <c r="G63" s="45"/>
      <c r="H63" s="45"/>
      <c r="I63" s="45"/>
      <c r="J63" s="45"/>
    </row>
    <row r="64" spans="1:10" ht="24.75" customHeight="1" x14ac:dyDescent="0.25">
      <c r="A64" s="44"/>
      <c r="B64" s="44"/>
      <c r="C64" s="44"/>
      <c r="D64" s="45"/>
      <c r="E64" s="45"/>
      <c r="F64" s="45"/>
      <c r="G64" s="45"/>
      <c r="H64" s="45"/>
      <c r="I64" s="45"/>
      <c r="J64" s="45"/>
    </row>
    <row r="65" spans="1:10" ht="24.75" customHeight="1" x14ac:dyDescent="0.25">
      <c r="A65" s="44"/>
      <c r="B65" s="44"/>
      <c r="C65" s="44"/>
      <c r="D65" s="45"/>
      <c r="E65" s="45"/>
      <c r="F65" s="45"/>
      <c r="G65" s="45"/>
      <c r="H65" s="45"/>
      <c r="I65" s="45"/>
      <c r="J65" s="45"/>
    </row>
    <row r="66" spans="1:10" ht="24.75" customHeight="1" x14ac:dyDescent="0.25">
      <c r="A66" s="44"/>
      <c r="B66" s="44"/>
      <c r="C66" s="44"/>
      <c r="D66" s="45"/>
      <c r="E66" s="45"/>
      <c r="F66" s="45"/>
      <c r="G66" s="45"/>
      <c r="H66" s="45"/>
      <c r="I66" s="45"/>
      <c r="J66" s="45"/>
    </row>
    <row r="67" spans="1:10" ht="24.75" customHeight="1" x14ac:dyDescent="0.25">
      <c r="A67" s="44"/>
      <c r="B67" s="44"/>
      <c r="C67" s="44"/>
      <c r="D67" s="45"/>
      <c r="E67" s="45"/>
      <c r="F67" s="45"/>
      <c r="G67" s="45"/>
      <c r="H67" s="45"/>
      <c r="I67" s="45"/>
      <c r="J67" s="45"/>
    </row>
    <row r="68" spans="1:10" ht="24.75" customHeight="1" x14ac:dyDescent="0.25">
      <c r="A68" s="44"/>
      <c r="B68" s="44"/>
      <c r="C68" s="44"/>
      <c r="D68" s="45"/>
      <c r="E68" s="45"/>
      <c r="F68" s="45"/>
      <c r="G68" s="45"/>
      <c r="H68" s="45"/>
      <c r="I68" s="45"/>
      <c r="J68" s="45"/>
    </row>
    <row r="69" spans="1:10" ht="24.75" customHeight="1" x14ac:dyDescent="0.25">
      <c r="A69" s="44"/>
      <c r="B69" s="44"/>
      <c r="C69" s="44"/>
      <c r="D69" s="45"/>
      <c r="E69" s="45"/>
      <c r="F69" s="45"/>
      <c r="G69" s="45"/>
      <c r="H69" s="45"/>
      <c r="I69" s="45"/>
      <c r="J69" s="45"/>
    </row>
  </sheetData>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MJ71"/>
  <sheetViews>
    <sheetView zoomScaleNormal="100" workbookViewId="0">
      <pane ySplit="1" topLeftCell="A2" activePane="bottomLeft" state="frozen"/>
      <selection pane="bottomLeft" activeCell="D14" sqref="D14"/>
    </sheetView>
  </sheetViews>
  <sheetFormatPr defaultColWidth="9.109375" defaultRowHeight="13.2" x14ac:dyDescent="0.25"/>
  <cols>
    <col min="1" max="1" width="19.44140625" style="13" customWidth="1"/>
    <col min="2" max="3" width="25" style="13" customWidth="1"/>
    <col min="4" max="4" width="102.88671875" style="13" customWidth="1"/>
    <col min="5" max="1024" width="9.109375" style="13"/>
  </cols>
  <sheetData>
    <row r="1" spans="1:4" s="43" customFormat="1" ht="22.5" customHeight="1" x14ac:dyDescent="0.25">
      <c r="A1" s="46" t="s">
        <v>34</v>
      </c>
      <c r="B1" s="46" t="s">
        <v>35</v>
      </c>
      <c r="C1" s="47" t="s">
        <v>55</v>
      </c>
      <c r="D1" s="42" t="s">
        <v>56</v>
      </c>
    </row>
    <row r="2" spans="1:4" ht="24.75" customHeight="1" x14ac:dyDescent="0.25">
      <c r="A2" s="44" t="s">
        <v>44</v>
      </c>
      <c r="B2" s="44" t="s">
        <v>45</v>
      </c>
      <c r="C2" s="44" t="s">
        <v>57</v>
      </c>
      <c r="D2" s="45" t="s">
        <v>58</v>
      </c>
    </row>
    <row r="3" spans="1:4" ht="24.75" customHeight="1" x14ac:dyDescent="0.25">
      <c r="A3" s="44" t="s">
        <v>44</v>
      </c>
      <c r="B3" s="44" t="s">
        <v>45</v>
      </c>
      <c r="C3" s="44" t="s">
        <v>59</v>
      </c>
      <c r="D3" s="45" t="s">
        <v>60</v>
      </c>
    </row>
    <row r="4" spans="1:4" ht="24.75" customHeight="1" x14ac:dyDescent="0.25">
      <c r="A4" s="44" t="s">
        <v>44</v>
      </c>
      <c r="B4" s="44" t="s">
        <v>45</v>
      </c>
      <c r="C4" s="44" t="s">
        <v>61</v>
      </c>
      <c r="D4" s="45" t="s">
        <v>62</v>
      </c>
    </row>
    <row r="5" spans="1:4" ht="24.75" customHeight="1" x14ac:dyDescent="0.25">
      <c r="A5" s="44" t="s">
        <v>44</v>
      </c>
      <c r="B5" s="44" t="s">
        <v>52</v>
      </c>
      <c r="C5" s="44" t="s">
        <v>57</v>
      </c>
      <c r="D5" s="45" t="s">
        <v>58</v>
      </c>
    </row>
    <row r="6" spans="1:4" ht="24.75" customHeight="1" x14ac:dyDescent="0.25">
      <c r="A6" s="44" t="s">
        <v>44</v>
      </c>
      <c r="B6" s="44" t="s">
        <v>52</v>
      </c>
      <c r="C6" s="44" t="s">
        <v>59</v>
      </c>
      <c r="D6" s="45" t="s">
        <v>60</v>
      </c>
    </row>
    <row r="7" spans="1:4" ht="24.75" customHeight="1" x14ac:dyDescent="0.25">
      <c r="A7" s="44" t="s">
        <v>44</v>
      </c>
      <c r="B7" s="44" t="s">
        <v>52</v>
      </c>
      <c r="C7" s="44" t="s">
        <v>61</v>
      </c>
      <c r="D7" s="45" t="s">
        <v>62</v>
      </c>
    </row>
    <row r="8" spans="1:4" ht="24.75" customHeight="1" x14ac:dyDescent="0.25">
      <c r="A8" s="44" t="s">
        <v>44</v>
      </c>
      <c r="B8" s="44" t="s">
        <v>52</v>
      </c>
      <c r="C8" s="44" t="s">
        <v>63</v>
      </c>
      <c r="D8" s="45" t="s">
        <v>64</v>
      </c>
    </row>
    <row r="9" spans="1:4" ht="24.75" customHeight="1" x14ac:dyDescent="0.25">
      <c r="A9" s="44" t="s">
        <v>44</v>
      </c>
      <c r="B9" s="44" t="s">
        <v>52</v>
      </c>
      <c r="C9" s="44" t="s">
        <v>65</v>
      </c>
      <c r="D9" s="45" t="s">
        <v>478</v>
      </c>
    </row>
    <row r="10" spans="1:4" ht="24.75" customHeight="1" x14ac:dyDescent="0.25">
      <c r="A10" s="44"/>
      <c r="B10" s="44"/>
      <c r="C10" s="44"/>
      <c r="D10" s="45"/>
    </row>
    <row r="11" spans="1:4" ht="24.75" customHeight="1" x14ac:dyDescent="0.25">
      <c r="A11" s="44"/>
      <c r="B11" s="44"/>
      <c r="C11" s="44"/>
      <c r="D11" s="45"/>
    </row>
    <row r="12" spans="1:4" ht="24.75" customHeight="1" x14ac:dyDescent="0.25">
      <c r="A12" s="44"/>
      <c r="B12" s="44"/>
      <c r="C12" s="44"/>
      <c r="D12" s="45"/>
    </row>
    <row r="13" spans="1:4" ht="24.75" customHeight="1" x14ac:dyDescent="0.25">
      <c r="A13" s="44"/>
      <c r="B13" s="44"/>
      <c r="C13" s="44"/>
      <c r="D13" s="45"/>
    </row>
    <row r="14" spans="1:4" ht="24.75" customHeight="1" x14ac:dyDescent="0.25">
      <c r="A14" s="44"/>
      <c r="B14" s="44"/>
      <c r="C14" s="44"/>
      <c r="D14" s="45"/>
    </row>
    <row r="15" spans="1:4" ht="24.75" customHeight="1" x14ac:dyDescent="0.25">
      <c r="A15" s="44"/>
      <c r="B15" s="44"/>
      <c r="C15" s="44"/>
      <c r="D15" s="45"/>
    </row>
    <row r="16" spans="1:4" ht="24.75" customHeight="1" x14ac:dyDescent="0.25">
      <c r="A16" s="44"/>
      <c r="B16" s="44"/>
      <c r="C16" s="44"/>
      <c r="D16" s="45"/>
    </row>
    <row r="17" spans="1:4" ht="24.75" customHeight="1" x14ac:dyDescent="0.25">
      <c r="A17" s="44"/>
      <c r="B17" s="44"/>
      <c r="C17" s="44"/>
      <c r="D17" s="45"/>
    </row>
    <row r="18" spans="1:4" ht="24.75" customHeight="1" x14ac:dyDescent="0.25">
      <c r="A18" s="44"/>
      <c r="B18" s="44"/>
      <c r="C18" s="44"/>
      <c r="D18" s="45"/>
    </row>
    <row r="19" spans="1:4" ht="24.75" customHeight="1" x14ac:dyDescent="0.25">
      <c r="A19" s="44"/>
      <c r="B19" s="44"/>
      <c r="C19" s="44"/>
      <c r="D19" s="45"/>
    </row>
    <row r="20" spans="1:4" ht="24.75" customHeight="1" x14ac:dyDescent="0.25">
      <c r="A20" s="44"/>
      <c r="B20" s="44"/>
      <c r="C20" s="44"/>
      <c r="D20" s="45"/>
    </row>
    <row r="21" spans="1:4" ht="24.75" customHeight="1" x14ac:dyDescent="0.25">
      <c r="A21" s="44"/>
      <c r="B21" s="44"/>
      <c r="C21" s="44"/>
      <c r="D21" s="45"/>
    </row>
    <row r="22" spans="1:4" ht="24.75" customHeight="1" x14ac:dyDescent="0.25">
      <c r="A22" s="44"/>
      <c r="B22" s="44"/>
      <c r="C22" s="44"/>
      <c r="D22" s="45"/>
    </row>
    <row r="23" spans="1:4" ht="24.75" customHeight="1" x14ac:dyDescent="0.25">
      <c r="A23" s="44"/>
      <c r="B23" s="44"/>
      <c r="C23" s="44"/>
      <c r="D23" s="45"/>
    </row>
    <row r="24" spans="1:4" ht="24.75" customHeight="1" x14ac:dyDescent="0.25">
      <c r="A24" s="44"/>
      <c r="B24" s="44"/>
      <c r="C24" s="44"/>
      <c r="D24" s="45"/>
    </row>
    <row r="25" spans="1:4" ht="24.75" customHeight="1" x14ac:dyDescent="0.25">
      <c r="A25" s="44"/>
      <c r="B25" s="44"/>
      <c r="C25" s="44"/>
      <c r="D25" s="45"/>
    </row>
    <row r="26" spans="1:4" ht="24.75" customHeight="1" x14ac:dyDescent="0.25">
      <c r="A26" s="44"/>
      <c r="B26" s="44"/>
      <c r="C26" s="44"/>
      <c r="D26" s="45"/>
    </row>
    <row r="27" spans="1:4" ht="24.75" customHeight="1" x14ac:dyDescent="0.25">
      <c r="A27" s="44"/>
      <c r="B27" s="44"/>
      <c r="C27" s="44"/>
      <c r="D27" s="45"/>
    </row>
    <row r="28" spans="1:4" ht="24.75" customHeight="1" x14ac:dyDescent="0.25">
      <c r="A28" s="44"/>
      <c r="B28" s="44"/>
      <c r="C28" s="44"/>
      <c r="D28" s="45"/>
    </row>
    <row r="29" spans="1:4" ht="24.75" customHeight="1" x14ac:dyDescent="0.25">
      <c r="A29" s="44"/>
      <c r="B29" s="44"/>
      <c r="C29" s="44"/>
      <c r="D29" s="45"/>
    </row>
    <row r="30" spans="1:4" ht="24.75" customHeight="1" x14ac:dyDescent="0.25">
      <c r="A30" s="44"/>
      <c r="B30" s="44"/>
      <c r="C30" s="44"/>
      <c r="D30" s="45"/>
    </row>
    <row r="31" spans="1:4" ht="24.75" customHeight="1" x14ac:dyDescent="0.25">
      <c r="A31" s="44"/>
      <c r="B31" s="44"/>
      <c r="C31" s="44"/>
      <c r="D31" s="45"/>
    </row>
    <row r="32" spans="1:4" ht="24.75" customHeight="1" x14ac:dyDescent="0.25">
      <c r="A32" s="44"/>
      <c r="B32" s="44"/>
      <c r="C32" s="44"/>
      <c r="D32" s="45"/>
    </row>
    <row r="33" spans="1:4" ht="24.75" customHeight="1" x14ac:dyDescent="0.25">
      <c r="A33" s="44"/>
      <c r="B33" s="44"/>
      <c r="C33" s="44"/>
      <c r="D33" s="45"/>
    </row>
    <row r="34" spans="1:4" ht="24.75" customHeight="1" x14ac:dyDescent="0.25">
      <c r="A34" s="44"/>
      <c r="B34" s="44"/>
      <c r="C34" s="44"/>
      <c r="D34" s="45"/>
    </row>
    <row r="35" spans="1:4" ht="24.75" customHeight="1" x14ac:dyDescent="0.25">
      <c r="A35" s="44"/>
      <c r="B35" s="44"/>
      <c r="C35" s="44"/>
      <c r="D35" s="45"/>
    </row>
    <row r="36" spans="1:4" ht="24.75" customHeight="1" x14ac:dyDescent="0.25">
      <c r="A36" s="44"/>
      <c r="B36" s="44"/>
      <c r="C36" s="44"/>
      <c r="D36" s="45"/>
    </row>
    <row r="37" spans="1:4" ht="24.75" customHeight="1" x14ac:dyDescent="0.25">
      <c r="A37" s="44"/>
      <c r="B37" s="44"/>
      <c r="C37" s="44"/>
      <c r="D37" s="45"/>
    </row>
    <row r="38" spans="1:4" ht="24.75" customHeight="1" x14ac:dyDescent="0.25">
      <c r="A38" s="44"/>
      <c r="B38" s="44"/>
      <c r="C38" s="44"/>
      <c r="D38" s="45"/>
    </row>
    <row r="39" spans="1:4" ht="24.75" customHeight="1" x14ac:dyDescent="0.25">
      <c r="A39" s="44"/>
      <c r="B39" s="44"/>
      <c r="C39" s="44"/>
      <c r="D39" s="45"/>
    </row>
    <row r="40" spans="1:4" ht="24.75" customHeight="1" x14ac:dyDescent="0.25">
      <c r="A40" s="44"/>
      <c r="B40" s="44"/>
      <c r="C40" s="44"/>
      <c r="D40" s="45"/>
    </row>
    <row r="41" spans="1:4" ht="24.75" customHeight="1" x14ac:dyDescent="0.25">
      <c r="A41" s="44"/>
      <c r="B41" s="44"/>
      <c r="C41" s="44"/>
      <c r="D41" s="45"/>
    </row>
    <row r="42" spans="1:4" ht="24.75" customHeight="1" x14ac:dyDescent="0.25">
      <c r="A42" s="44"/>
      <c r="B42" s="44"/>
      <c r="C42" s="44"/>
      <c r="D42" s="45"/>
    </row>
    <row r="43" spans="1:4" ht="24.75" customHeight="1" x14ac:dyDescent="0.25">
      <c r="A43" s="44"/>
      <c r="B43" s="44"/>
      <c r="C43" s="44"/>
      <c r="D43" s="45"/>
    </row>
    <row r="44" spans="1:4" ht="24.75" customHeight="1" x14ac:dyDescent="0.25">
      <c r="A44" s="44"/>
      <c r="B44" s="44"/>
      <c r="C44" s="44"/>
      <c r="D44" s="45"/>
    </row>
    <row r="45" spans="1:4" ht="24.75" customHeight="1" x14ac:dyDescent="0.25">
      <c r="A45" s="44"/>
      <c r="B45" s="44"/>
      <c r="C45" s="44"/>
      <c r="D45" s="45"/>
    </row>
    <row r="46" spans="1:4" ht="24.75" customHeight="1" x14ac:dyDescent="0.25">
      <c r="A46" s="44"/>
      <c r="B46" s="44"/>
      <c r="C46" s="44"/>
      <c r="D46" s="45"/>
    </row>
    <row r="47" spans="1:4" ht="24.75" customHeight="1" x14ac:dyDescent="0.25">
      <c r="A47" s="44"/>
      <c r="B47" s="44"/>
      <c r="C47" s="44"/>
      <c r="D47" s="45"/>
    </row>
    <row r="48" spans="1:4" ht="24.75" customHeight="1" x14ac:dyDescent="0.25">
      <c r="A48" s="44"/>
      <c r="B48" s="44"/>
      <c r="C48" s="44"/>
      <c r="D48" s="45"/>
    </row>
    <row r="49" spans="1:4" ht="24.75" customHeight="1" x14ac:dyDescent="0.25">
      <c r="A49" s="44"/>
      <c r="B49" s="44"/>
      <c r="C49" s="44"/>
      <c r="D49" s="45"/>
    </row>
    <row r="50" spans="1:4" ht="24.75" customHeight="1" x14ac:dyDescent="0.25">
      <c r="A50" s="44"/>
      <c r="B50" s="44"/>
      <c r="C50" s="44"/>
      <c r="D50" s="45"/>
    </row>
    <row r="51" spans="1:4" ht="24.75" customHeight="1" x14ac:dyDescent="0.25">
      <c r="A51" s="44"/>
      <c r="B51" s="44"/>
      <c r="C51" s="44"/>
      <c r="D51" s="45"/>
    </row>
    <row r="52" spans="1:4" ht="24.75" customHeight="1" x14ac:dyDescent="0.25">
      <c r="A52" s="44"/>
      <c r="B52" s="44"/>
      <c r="C52" s="44"/>
      <c r="D52" s="45"/>
    </row>
    <row r="53" spans="1:4" ht="24.75" customHeight="1" x14ac:dyDescent="0.25">
      <c r="A53" s="44"/>
      <c r="B53" s="44"/>
      <c r="C53" s="44"/>
      <c r="D53" s="45"/>
    </row>
    <row r="54" spans="1:4" ht="24.75" customHeight="1" x14ac:dyDescent="0.25">
      <c r="A54" s="44"/>
      <c r="B54" s="44"/>
      <c r="C54" s="44"/>
      <c r="D54" s="45"/>
    </row>
    <row r="55" spans="1:4" ht="24.75" customHeight="1" x14ac:dyDescent="0.25">
      <c r="A55" s="44"/>
      <c r="B55" s="44"/>
      <c r="C55" s="44"/>
      <c r="D55" s="45"/>
    </row>
    <row r="56" spans="1:4" ht="24.75" customHeight="1" x14ac:dyDescent="0.25">
      <c r="A56" s="44"/>
      <c r="B56" s="44"/>
      <c r="C56" s="44"/>
      <c r="D56" s="45"/>
    </row>
    <row r="57" spans="1:4" ht="24.75" customHeight="1" x14ac:dyDescent="0.25">
      <c r="A57" s="44"/>
      <c r="B57" s="44"/>
      <c r="C57" s="44"/>
      <c r="D57" s="45"/>
    </row>
    <row r="58" spans="1:4" ht="24.75" customHeight="1" x14ac:dyDescent="0.25">
      <c r="A58" s="44"/>
      <c r="B58" s="44"/>
      <c r="C58" s="44"/>
      <c r="D58" s="45"/>
    </row>
    <row r="59" spans="1:4" ht="24.75" customHeight="1" x14ac:dyDescent="0.25">
      <c r="A59" s="44"/>
      <c r="B59" s="44"/>
      <c r="C59" s="44"/>
      <c r="D59" s="45"/>
    </row>
    <row r="60" spans="1:4" ht="24.75" customHeight="1" x14ac:dyDescent="0.25">
      <c r="A60" s="44"/>
      <c r="B60" s="44"/>
      <c r="C60" s="44"/>
      <c r="D60" s="45"/>
    </row>
    <row r="61" spans="1:4" ht="24.75" customHeight="1" x14ac:dyDescent="0.25">
      <c r="A61" s="44"/>
      <c r="B61" s="44"/>
      <c r="C61" s="44"/>
      <c r="D61" s="45"/>
    </row>
    <row r="62" spans="1:4" ht="24.75" customHeight="1" x14ac:dyDescent="0.25">
      <c r="A62" s="44"/>
      <c r="B62" s="44"/>
      <c r="C62" s="44"/>
      <c r="D62" s="45"/>
    </row>
    <row r="63" spans="1:4" ht="24.75" customHeight="1" x14ac:dyDescent="0.25">
      <c r="A63" s="44"/>
      <c r="B63" s="44"/>
      <c r="C63" s="44"/>
      <c r="D63" s="45"/>
    </row>
    <row r="64" spans="1:4" ht="24.75" customHeight="1" x14ac:dyDescent="0.25">
      <c r="A64" s="44"/>
      <c r="B64" s="44"/>
      <c r="C64" s="44"/>
      <c r="D64" s="45"/>
    </row>
    <row r="65" spans="1:4" ht="24.75" customHeight="1" x14ac:dyDescent="0.25">
      <c r="A65" s="44"/>
      <c r="B65" s="44"/>
      <c r="C65" s="44"/>
      <c r="D65" s="45"/>
    </row>
    <row r="66" spans="1:4" ht="24.75" customHeight="1" x14ac:dyDescent="0.25">
      <c r="A66" s="44"/>
      <c r="B66" s="44"/>
      <c r="C66" s="44"/>
      <c r="D66" s="45"/>
    </row>
    <row r="67" spans="1:4" ht="24.75" customHeight="1" x14ac:dyDescent="0.25">
      <c r="A67" s="44"/>
      <c r="B67" s="44"/>
      <c r="C67" s="44"/>
      <c r="D67" s="45"/>
    </row>
    <row r="68" spans="1:4" ht="24.75" customHeight="1" x14ac:dyDescent="0.25">
      <c r="A68" s="44"/>
      <c r="B68" s="44"/>
      <c r="C68" s="44"/>
      <c r="D68" s="45"/>
    </row>
    <row r="69" spans="1:4" ht="24.75" customHeight="1" x14ac:dyDescent="0.25">
      <c r="A69" s="44"/>
      <c r="B69" s="44"/>
      <c r="C69" s="44"/>
      <c r="D69" s="45"/>
    </row>
    <row r="70" spans="1:4" ht="24.75" customHeight="1" x14ac:dyDescent="0.25">
      <c r="A70" s="44"/>
      <c r="B70" s="44"/>
      <c r="C70" s="44"/>
      <c r="D70" s="45"/>
    </row>
    <row r="71" spans="1:4" ht="24.75" customHeight="1" x14ac:dyDescent="0.25">
      <c r="A71" s="44"/>
      <c r="B71" s="44"/>
      <c r="C71" s="44"/>
      <c r="D71" s="45"/>
    </row>
  </sheetData>
  <pageMargins left="0.7" right="0.7" top="0.75" bottom="0.75" header="0.511811023622047" footer="0.511811023622047"/>
  <pageSetup paperSize="9" orientation="portrait" horizontalDpi="300" verticalDpi="300"/>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LT1004"/>
  <sheetViews>
    <sheetView zoomScale="80" zoomScaleNormal="80" workbookViewId="0">
      <pane xSplit="5" ySplit="4" topLeftCell="F5" activePane="bottomRight" state="frozen"/>
      <selection pane="topRight" activeCell="AQ1" sqref="AQ1"/>
      <selection pane="bottomLeft" activeCell="A5" sqref="A5"/>
      <selection pane="bottomRight" activeCell="C5" sqref="C5"/>
    </sheetView>
  </sheetViews>
  <sheetFormatPr defaultColWidth="9.109375" defaultRowHeight="13.2" x14ac:dyDescent="0.25"/>
  <cols>
    <col min="1" max="1" width="15.5546875" style="13" customWidth="1"/>
    <col min="2" max="3" width="11.88671875" style="13" customWidth="1"/>
    <col min="4" max="4" width="9.5546875" style="13" customWidth="1"/>
    <col min="5" max="5" width="13.88671875" style="13" customWidth="1"/>
    <col min="6" max="6" width="9.33203125" style="13" customWidth="1"/>
    <col min="7" max="7" width="12.33203125" style="13" customWidth="1"/>
    <col min="8" max="8" width="12.88671875" style="13" customWidth="1"/>
    <col min="9" max="10" width="13.5546875" style="13" customWidth="1"/>
    <col min="11" max="11" width="13.44140625" style="48" customWidth="1"/>
    <col min="12" max="13" width="6.5546875" customWidth="1"/>
    <col min="14" max="14" width="7.6640625" customWidth="1"/>
    <col min="15" max="15" width="7.88671875" customWidth="1"/>
    <col min="16" max="16" width="17.44140625" customWidth="1"/>
    <col min="17" max="17" width="13.5546875" style="13" customWidth="1"/>
    <col min="18" max="18" width="15.44140625" style="13" customWidth="1"/>
    <col min="19" max="19" width="11.33203125" style="13" customWidth="1"/>
    <col min="20" max="20" width="8" style="13" customWidth="1"/>
    <col min="21" max="21" width="13.5546875" style="13" customWidth="1"/>
    <col min="22" max="22" width="10.5546875" style="13" customWidth="1"/>
    <col min="23" max="23" width="15.109375" style="13" customWidth="1"/>
    <col min="24" max="24" width="9.109375" style="13"/>
    <col min="25" max="25" width="8" style="13" customWidth="1"/>
    <col min="26" max="26" width="8.44140625" style="13" customWidth="1"/>
    <col min="27" max="27" width="11.88671875" style="13" customWidth="1"/>
    <col min="28" max="28" width="20.33203125" style="13" customWidth="1"/>
    <col min="29" max="29" width="21.109375" style="13" customWidth="1"/>
    <col min="30" max="30" width="17" style="13" customWidth="1"/>
    <col min="31" max="31" width="15" style="13" customWidth="1"/>
    <col min="32" max="32" width="7.6640625" style="13" customWidth="1"/>
    <col min="33" max="34" width="7.5546875" style="13" customWidth="1"/>
    <col min="35" max="36" width="9.109375" style="13"/>
    <col min="37" max="37" width="8.6640625" style="13" customWidth="1"/>
    <col min="38" max="39" width="8.109375" style="13" customWidth="1"/>
    <col min="40" max="40" width="19.5546875" style="13" customWidth="1"/>
    <col min="41" max="41" width="23" style="13" customWidth="1"/>
    <col min="42" max="42" width="26.33203125" style="13" customWidth="1"/>
    <col min="43" max="43" width="9.88671875" style="13" customWidth="1"/>
    <col min="44" max="44" width="9.5546875" style="13" customWidth="1"/>
    <col min="45" max="45" width="13" style="13" customWidth="1"/>
    <col min="46" max="46" width="22.109375" style="13" customWidth="1"/>
    <col min="47" max="47" width="14.5546875" style="13" customWidth="1"/>
    <col min="48" max="48" width="17" style="13" customWidth="1"/>
    <col min="49" max="49" width="9.33203125" style="13" customWidth="1"/>
    <col min="50" max="50" width="9.44140625" style="13" customWidth="1"/>
    <col min="51" max="51" width="12.6640625" style="13" customWidth="1"/>
    <col min="52" max="54" width="15.5546875" style="13" customWidth="1"/>
    <col min="55" max="55" width="58.88671875" style="13" customWidth="1"/>
    <col min="56" max="1008" width="9.109375" style="13"/>
    <col min="1009" max="1024" width="11.5546875" customWidth="1"/>
  </cols>
  <sheetData>
    <row r="1" spans="1:55" x14ac:dyDescent="0.25">
      <c r="A1" s="12" t="s">
        <v>66</v>
      </c>
      <c r="B1" s="12"/>
      <c r="C1" s="12"/>
      <c r="D1" s="12"/>
      <c r="E1" s="12"/>
      <c r="F1" s="49"/>
      <c r="G1" s="11" t="s">
        <v>67</v>
      </c>
      <c r="H1" s="11"/>
      <c r="I1" s="11"/>
      <c r="J1" s="11"/>
      <c r="K1" s="10" t="s">
        <v>68</v>
      </c>
      <c r="L1" s="10"/>
      <c r="M1" s="10"/>
      <c r="N1" s="10"/>
      <c r="O1" s="10"/>
      <c r="P1" s="10"/>
      <c r="Q1" s="10"/>
      <c r="R1" s="10"/>
      <c r="S1" s="10"/>
      <c r="T1" s="10"/>
      <c r="U1" s="10"/>
      <c r="V1" s="10"/>
      <c r="W1" s="10"/>
      <c r="X1" s="11" t="s">
        <v>69</v>
      </c>
      <c r="Y1" s="11"/>
      <c r="Z1" s="11"/>
      <c r="AA1" s="11"/>
      <c r="AB1" s="11"/>
      <c r="AC1" s="11"/>
      <c r="AD1" s="11"/>
      <c r="AE1" s="11"/>
      <c r="AF1" s="11"/>
      <c r="AG1" s="11"/>
      <c r="AH1" s="11"/>
      <c r="AI1" s="11"/>
      <c r="AJ1" s="11"/>
      <c r="AK1" s="11"/>
      <c r="AL1" s="11"/>
      <c r="AM1" s="11"/>
      <c r="AN1" s="11" t="s">
        <v>70</v>
      </c>
      <c r="AO1" s="11"/>
      <c r="AP1" s="11"/>
      <c r="AQ1" s="11"/>
      <c r="AR1" s="11"/>
      <c r="AS1" s="11"/>
      <c r="AT1" s="11"/>
      <c r="AU1" s="11"/>
      <c r="AV1" s="11"/>
      <c r="AW1" s="11"/>
      <c r="AX1" s="11"/>
      <c r="AY1" s="11" t="s">
        <v>71</v>
      </c>
      <c r="AZ1" s="11"/>
      <c r="BA1" s="11"/>
      <c r="BB1" s="11"/>
      <c r="BC1" s="51" t="s">
        <v>72</v>
      </c>
    </row>
    <row r="2" spans="1:55" x14ac:dyDescent="0.25">
      <c r="A2" s="52" t="s">
        <v>73</v>
      </c>
      <c r="B2" s="52" t="s">
        <v>74</v>
      </c>
      <c r="C2" s="52" t="s">
        <v>75</v>
      </c>
      <c r="D2" s="52" t="s">
        <v>76</v>
      </c>
      <c r="E2" s="52" t="s">
        <v>77</v>
      </c>
      <c r="F2" s="52" t="s">
        <v>78</v>
      </c>
      <c r="G2" s="52" t="s">
        <v>79</v>
      </c>
      <c r="H2" s="52" t="s">
        <v>80</v>
      </c>
      <c r="I2" s="52" t="s">
        <v>81</v>
      </c>
      <c r="J2" s="52" t="s">
        <v>82</v>
      </c>
      <c r="K2" s="53" t="s">
        <v>83</v>
      </c>
      <c r="L2" s="54" t="s">
        <v>84</v>
      </c>
      <c r="M2" s="54" t="s">
        <v>85</v>
      </c>
      <c r="N2" s="54" t="s">
        <v>86</v>
      </c>
      <c r="O2" s="54" t="s">
        <v>87</v>
      </c>
      <c r="P2" s="54" t="s">
        <v>88</v>
      </c>
      <c r="Q2" s="55" t="s">
        <v>89</v>
      </c>
      <c r="R2" s="55" t="s">
        <v>89</v>
      </c>
      <c r="S2" s="56" t="s">
        <v>90</v>
      </c>
      <c r="T2" s="56" t="s">
        <v>90</v>
      </c>
      <c r="U2" s="55" t="s">
        <v>91</v>
      </c>
      <c r="V2" s="55" t="s">
        <v>92</v>
      </c>
      <c r="W2" s="55" t="s">
        <v>93</v>
      </c>
      <c r="X2" s="57" t="s">
        <v>94</v>
      </c>
      <c r="Y2" s="57" t="s">
        <v>94</v>
      </c>
      <c r="Z2" s="52" t="s">
        <v>95</v>
      </c>
      <c r="AA2" s="57" t="s">
        <v>96</v>
      </c>
      <c r="AB2" s="52" t="s">
        <v>97</v>
      </c>
      <c r="AC2" s="57" t="s">
        <v>98</v>
      </c>
      <c r="AD2" s="57" t="s">
        <v>99</v>
      </c>
      <c r="AE2" s="57" t="s">
        <v>100</v>
      </c>
      <c r="AF2" s="57" t="s">
        <v>101</v>
      </c>
      <c r="AG2" s="57" t="s">
        <v>102</v>
      </c>
      <c r="AH2" s="52" t="s">
        <v>103</v>
      </c>
      <c r="AI2" s="52" t="s">
        <v>104</v>
      </c>
      <c r="AJ2" s="52" t="s">
        <v>105</v>
      </c>
      <c r="AK2" s="52" t="s">
        <v>106</v>
      </c>
      <c r="AL2" s="52" t="s">
        <v>107</v>
      </c>
      <c r="AM2" s="52" t="s">
        <v>108</v>
      </c>
      <c r="AN2" s="58" t="s">
        <v>109</v>
      </c>
      <c r="AO2" s="58" t="s">
        <v>109</v>
      </c>
      <c r="AP2" s="52" t="s">
        <v>109</v>
      </c>
      <c r="AQ2" s="9" t="s">
        <v>110</v>
      </c>
      <c r="AR2" s="9"/>
      <c r="AS2" s="52" t="s">
        <v>111</v>
      </c>
      <c r="AT2" s="57" t="s">
        <v>112</v>
      </c>
      <c r="AU2" s="57" t="s">
        <v>113</v>
      </c>
      <c r="AV2" s="57" t="s">
        <v>114</v>
      </c>
      <c r="AW2" s="57" t="s">
        <v>115</v>
      </c>
      <c r="AX2" s="52" t="s">
        <v>115</v>
      </c>
      <c r="AY2" s="52" t="s">
        <v>92</v>
      </c>
      <c r="AZ2" s="52" t="s">
        <v>116</v>
      </c>
      <c r="BA2" s="57" t="s">
        <v>117</v>
      </c>
      <c r="BB2" s="57" t="s">
        <v>118</v>
      </c>
      <c r="BC2" s="59"/>
    </row>
    <row r="3" spans="1:55" ht="16.2" x14ac:dyDescent="0.3">
      <c r="A3" s="55" t="s">
        <v>119</v>
      </c>
      <c r="B3" s="55" t="s">
        <v>119</v>
      </c>
      <c r="C3" s="55" t="s">
        <v>119</v>
      </c>
      <c r="D3" s="56" t="s">
        <v>120</v>
      </c>
      <c r="E3" s="55" t="s">
        <v>120</v>
      </c>
      <c r="F3" s="60" t="s">
        <v>121</v>
      </c>
      <c r="G3" s="55" t="s">
        <v>122</v>
      </c>
      <c r="H3" s="55" t="s">
        <v>123</v>
      </c>
      <c r="I3" s="55"/>
      <c r="J3" s="56"/>
      <c r="K3" s="53" t="s">
        <v>124</v>
      </c>
      <c r="L3" s="54" t="s">
        <v>125</v>
      </c>
      <c r="M3" s="54" t="s">
        <v>125</v>
      </c>
      <c r="N3" s="54" t="s">
        <v>125</v>
      </c>
      <c r="O3" s="54" t="s">
        <v>126</v>
      </c>
      <c r="P3" s="61" t="s">
        <v>127</v>
      </c>
      <c r="Q3" s="56" t="s">
        <v>128</v>
      </c>
      <c r="R3" s="56" t="s">
        <v>129</v>
      </c>
      <c r="S3" s="55" t="s">
        <v>130</v>
      </c>
      <c r="T3" s="56" t="s">
        <v>108</v>
      </c>
      <c r="U3" s="55" t="s">
        <v>131</v>
      </c>
      <c r="V3" s="55" t="s">
        <v>132</v>
      </c>
      <c r="W3" s="55" t="s">
        <v>133</v>
      </c>
      <c r="X3" s="60" t="s">
        <v>134</v>
      </c>
      <c r="Y3" s="60" t="s">
        <v>135</v>
      </c>
      <c r="Z3" s="56"/>
      <c r="AA3" s="60"/>
      <c r="AB3" s="56"/>
      <c r="AC3" s="55" t="s">
        <v>136</v>
      </c>
      <c r="AD3" s="55" t="s">
        <v>137</v>
      </c>
      <c r="AE3" s="55" t="s">
        <v>138</v>
      </c>
      <c r="AF3" s="55" t="s">
        <v>126</v>
      </c>
      <c r="AG3" s="55" t="s">
        <v>139</v>
      </c>
      <c r="AH3" s="56" t="s">
        <v>140</v>
      </c>
      <c r="AI3" s="56" t="s">
        <v>140</v>
      </c>
      <c r="AJ3" s="56" t="s">
        <v>141</v>
      </c>
      <c r="AK3" s="56" t="s">
        <v>140</v>
      </c>
      <c r="AL3" s="56" t="s">
        <v>142</v>
      </c>
      <c r="AM3" s="56"/>
      <c r="AN3" s="62" t="s">
        <v>143</v>
      </c>
      <c r="AO3" s="62" t="s">
        <v>144</v>
      </c>
      <c r="AP3" s="55" t="s">
        <v>145</v>
      </c>
      <c r="AQ3" s="55" t="s">
        <v>146</v>
      </c>
      <c r="AR3" s="55" t="s">
        <v>147</v>
      </c>
      <c r="AS3" s="55" t="s">
        <v>145</v>
      </c>
      <c r="AT3" s="55" t="s">
        <v>148</v>
      </c>
      <c r="AU3" s="55" t="s">
        <v>149</v>
      </c>
      <c r="AV3" s="55" t="s">
        <v>150</v>
      </c>
      <c r="AW3" s="55" t="s">
        <v>124</v>
      </c>
      <c r="AX3" s="55" t="s">
        <v>151</v>
      </c>
      <c r="AY3" s="56" t="s">
        <v>152</v>
      </c>
      <c r="AZ3" s="56" t="s">
        <v>153</v>
      </c>
      <c r="BA3" s="55" t="s">
        <v>154</v>
      </c>
      <c r="BB3" s="55" t="s">
        <v>155</v>
      </c>
      <c r="BC3" s="59"/>
    </row>
    <row r="4" spans="1:55" ht="15.6" x14ac:dyDescent="0.25">
      <c r="A4" s="56" t="s">
        <v>156</v>
      </c>
      <c r="B4" s="56" t="s">
        <v>156</v>
      </c>
      <c r="C4" s="56" t="s">
        <v>156</v>
      </c>
      <c r="D4" s="56" t="s">
        <v>157</v>
      </c>
      <c r="E4" s="56" t="s">
        <v>157</v>
      </c>
      <c r="F4" s="56"/>
      <c r="G4" s="56"/>
      <c r="H4" s="63"/>
      <c r="I4" s="56"/>
      <c r="J4" s="64"/>
      <c r="K4" s="53" t="s">
        <v>158</v>
      </c>
      <c r="L4" s="65"/>
      <c r="M4" s="65"/>
      <c r="N4" s="54"/>
      <c r="O4" s="54" t="s">
        <v>159</v>
      </c>
      <c r="P4" s="66" t="s">
        <v>160</v>
      </c>
      <c r="Q4" s="56" t="s">
        <v>161</v>
      </c>
      <c r="R4" s="56" t="s">
        <v>162</v>
      </c>
      <c r="S4" s="53"/>
      <c r="T4" s="64"/>
      <c r="U4" s="67" t="s">
        <v>163</v>
      </c>
      <c r="V4" s="67" t="s">
        <v>164</v>
      </c>
      <c r="W4" s="67" t="s">
        <v>165</v>
      </c>
      <c r="X4" s="56"/>
      <c r="Y4" s="56"/>
      <c r="Z4" s="56"/>
      <c r="AA4" s="56"/>
      <c r="AB4" s="56"/>
      <c r="AC4" s="55" t="s">
        <v>166</v>
      </c>
      <c r="AD4" s="55" t="s">
        <v>166</v>
      </c>
      <c r="AE4" s="55" t="s">
        <v>167</v>
      </c>
      <c r="AF4" s="55" t="s">
        <v>168</v>
      </c>
      <c r="AG4" s="55" t="s">
        <v>168</v>
      </c>
      <c r="AH4" s="56"/>
      <c r="AI4" s="56"/>
      <c r="AJ4" s="56"/>
      <c r="AK4" s="56"/>
      <c r="AL4" s="56"/>
      <c r="AM4" s="56"/>
      <c r="AN4" s="62" t="s">
        <v>169</v>
      </c>
      <c r="AO4" s="62" t="s">
        <v>169</v>
      </c>
      <c r="AP4" s="56"/>
      <c r="AQ4" s="55"/>
      <c r="AR4" s="56"/>
      <c r="AS4" s="56"/>
      <c r="AT4" s="55" t="s">
        <v>170</v>
      </c>
      <c r="AU4" s="55" t="s">
        <v>171</v>
      </c>
      <c r="AV4" s="55" t="s">
        <v>153</v>
      </c>
      <c r="AW4" s="55" t="s">
        <v>153</v>
      </c>
      <c r="AX4" s="55" t="s">
        <v>153</v>
      </c>
      <c r="AY4" s="56"/>
      <c r="AZ4" s="56"/>
      <c r="BA4" s="55" t="s">
        <v>172</v>
      </c>
      <c r="BB4" s="55" t="s">
        <v>173</v>
      </c>
      <c r="BC4" s="59"/>
    </row>
    <row r="5" spans="1:55" s="13" customFormat="1" x14ac:dyDescent="0.25">
      <c r="A5" s="44" t="s">
        <v>44</v>
      </c>
      <c r="B5" s="68" t="s">
        <v>45</v>
      </c>
      <c r="C5" s="68" t="s">
        <v>174</v>
      </c>
      <c r="D5" s="69" t="s">
        <v>175</v>
      </c>
      <c r="E5" s="70">
        <v>1</v>
      </c>
      <c r="F5" s="71">
        <v>0.38</v>
      </c>
      <c r="G5" s="72">
        <v>56.293394999999997</v>
      </c>
      <c r="H5" s="73">
        <v>9.3338300000000007</v>
      </c>
      <c r="I5" s="74" t="s">
        <v>176</v>
      </c>
      <c r="J5" s="75" t="s">
        <v>177</v>
      </c>
      <c r="K5" s="68" t="s">
        <v>178</v>
      </c>
      <c r="L5" s="76">
        <v>9</v>
      </c>
      <c r="M5" s="76">
        <v>24</v>
      </c>
      <c r="N5" s="76">
        <v>65</v>
      </c>
      <c r="O5" s="71"/>
      <c r="P5" s="70"/>
      <c r="Q5" s="71">
        <v>0.18</v>
      </c>
      <c r="R5" s="71"/>
      <c r="S5" s="70"/>
      <c r="T5" s="71">
        <v>5.8</v>
      </c>
      <c r="U5" s="71">
        <v>1.5</v>
      </c>
      <c r="V5" s="75" t="s">
        <v>179</v>
      </c>
      <c r="W5" s="69" t="s">
        <v>180</v>
      </c>
      <c r="X5" s="69" t="s">
        <v>181</v>
      </c>
      <c r="Y5" s="69"/>
      <c r="Z5" s="69"/>
      <c r="AA5" s="69" t="s">
        <v>182</v>
      </c>
      <c r="AB5" s="69" t="s">
        <v>183</v>
      </c>
      <c r="AC5" s="69"/>
      <c r="AD5" s="69"/>
      <c r="AE5" s="76"/>
      <c r="AF5" s="71">
        <v>7.23</v>
      </c>
      <c r="AG5" s="71">
        <v>81.900000000000006</v>
      </c>
      <c r="AH5" s="71">
        <v>3.88</v>
      </c>
      <c r="AI5" s="71">
        <v>2.13</v>
      </c>
      <c r="AJ5" s="71"/>
      <c r="AK5" s="71"/>
      <c r="AL5" s="71">
        <v>12.35</v>
      </c>
      <c r="AM5" s="71">
        <v>6.26</v>
      </c>
      <c r="AN5" s="68"/>
      <c r="AO5" s="68"/>
      <c r="AP5" s="70" t="s">
        <v>184</v>
      </c>
      <c r="AQ5" s="71">
        <v>29</v>
      </c>
      <c r="AR5" s="77" t="s">
        <v>185</v>
      </c>
      <c r="AS5" s="70" t="s">
        <v>186</v>
      </c>
      <c r="AT5" s="68"/>
      <c r="AU5" s="70"/>
      <c r="AV5" s="70"/>
      <c r="AW5" s="71"/>
      <c r="AX5" s="71"/>
      <c r="AY5" s="70" t="s">
        <v>187</v>
      </c>
      <c r="AZ5" s="76"/>
      <c r="BA5" s="76"/>
      <c r="BB5" s="76"/>
      <c r="BC5" s="78" t="s">
        <v>188</v>
      </c>
    </row>
    <row r="6" spans="1:55" x14ac:dyDescent="0.25">
      <c r="A6" s="44" t="s">
        <v>44</v>
      </c>
      <c r="B6" s="68" t="s">
        <v>45</v>
      </c>
      <c r="C6" s="68" t="s">
        <v>174</v>
      </c>
      <c r="D6" s="69" t="s">
        <v>189</v>
      </c>
      <c r="E6" s="70">
        <v>2</v>
      </c>
      <c r="F6" s="71">
        <v>0.38</v>
      </c>
      <c r="G6" s="72">
        <v>56.293394999999997</v>
      </c>
      <c r="H6" s="73">
        <v>9.3338300000000007</v>
      </c>
      <c r="I6" s="74" t="s">
        <v>176</v>
      </c>
      <c r="J6" s="75" t="s">
        <v>177</v>
      </c>
      <c r="K6" s="68" t="s">
        <v>178</v>
      </c>
      <c r="L6" s="76">
        <v>9</v>
      </c>
      <c r="M6" s="76">
        <v>24</v>
      </c>
      <c r="N6" s="76">
        <v>65</v>
      </c>
      <c r="O6" s="71"/>
      <c r="P6" s="70"/>
      <c r="Q6" s="71">
        <v>0.18</v>
      </c>
      <c r="R6" s="71"/>
      <c r="S6" s="70"/>
      <c r="T6" s="71">
        <v>5.8</v>
      </c>
      <c r="U6" s="71">
        <v>1.5</v>
      </c>
      <c r="V6" s="75" t="s">
        <v>179</v>
      </c>
      <c r="W6" s="69" t="s">
        <v>180</v>
      </c>
      <c r="X6" s="69" t="s">
        <v>181</v>
      </c>
      <c r="Y6" s="69"/>
      <c r="Z6" s="69"/>
      <c r="AA6" s="69" t="s">
        <v>182</v>
      </c>
      <c r="AB6" s="69" t="s">
        <v>183</v>
      </c>
      <c r="AC6" s="69"/>
      <c r="AD6" s="69"/>
      <c r="AE6" s="76"/>
      <c r="AF6" s="71">
        <v>7.23</v>
      </c>
      <c r="AG6" s="71">
        <v>81.900000000000006</v>
      </c>
      <c r="AH6" s="71">
        <v>3.88</v>
      </c>
      <c r="AI6" s="71">
        <v>2.13</v>
      </c>
      <c r="AJ6" s="71"/>
      <c r="AK6" s="71"/>
      <c r="AL6" s="71">
        <v>12.35</v>
      </c>
      <c r="AM6" s="71">
        <v>6.26</v>
      </c>
      <c r="AN6" s="68"/>
      <c r="AO6" s="68"/>
      <c r="AP6" s="70" t="s">
        <v>184</v>
      </c>
      <c r="AQ6" s="71">
        <v>29</v>
      </c>
      <c r="AR6" s="77" t="s">
        <v>185</v>
      </c>
      <c r="AS6" s="70" t="s">
        <v>186</v>
      </c>
      <c r="AT6" s="68"/>
      <c r="AU6" s="70"/>
      <c r="AV6" s="70"/>
      <c r="AW6" s="71"/>
      <c r="AX6" s="71"/>
      <c r="AY6" s="70" t="s">
        <v>187</v>
      </c>
      <c r="AZ6" s="76"/>
      <c r="BA6" s="76"/>
      <c r="BB6" s="76"/>
      <c r="BC6" s="78"/>
    </row>
    <row r="7" spans="1:55" x14ac:dyDescent="0.25">
      <c r="A7" s="44" t="s">
        <v>44</v>
      </c>
      <c r="B7" s="68" t="s">
        <v>45</v>
      </c>
      <c r="C7" s="68" t="s">
        <v>174</v>
      </c>
      <c r="D7" s="69" t="s">
        <v>190</v>
      </c>
      <c r="E7" s="70">
        <v>3</v>
      </c>
      <c r="F7" s="71">
        <v>0.38</v>
      </c>
      <c r="G7" s="72">
        <v>56.293394999999997</v>
      </c>
      <c r="H7" s="73">
        <v>9.3338300000000007</v>
      </c>
      <c r="I7" s="74" t="s">
        <v>176</v>
      </c>
      <c r="J7" s="75" t="s">
        <v>177</v>
      </c>
      <c r="K7" s="68" t="s">
        <v>178</v>
      </c>
      <c r="L7" s="76">
        <v>9</v>
      </c>
      <c r="M7" s="76">
        <v>24</v>
      </c>
      <c r="N7" s="76">
        <v>65</v>
      </c>
      <c r="O7" s="71"/>
      <c r="P7" s="70"/>
      <c r="Q7" s="71">
        <v>0.18</v>
      </c>
      <c r="R7" s="71"/>
      <c r="S7" s="70"/>
      <c r="T7" s="71">
        <v>5.8</v>
      </c>
      <c r="U7" s="71">
        <v>1.5</v>
      </c>
      <c r="V7" s="75" t="s">
        <v>179</v>
      </c>
      <c r="W7" s="69" t="s">
        <v>180</v>
      </c>
      <c r="X7" s="69" t="s">
        <v>181</v>
      </c>
      <c r="Y7" s="69"/>
      <c r="Z7" s="69"/>
      <c r="AA7" s="69" t="s">
        <v>182</v>
      </c>
      <c r="AB7" s="69" t="s">
        <v>183</v>
      </c>
      <c r="AC7" s="69"/>
      <c r="AD7" s="69"/>
      <c r="AE7" s="76"/>
      <c r="AF7" s="71">
        <v>7.23</v>
      </c>
      <c r="AG7" s="71">
        <v>81.900000000000006</v>
      </c>
      <c r="AH7" s="71">
        <v>3.88</v>
      </c>
      <c r="AI7" s="71">
        <v>2.13</v>
      </c>
      <c r="AJ7" s="71"/>
      <c r="AK7" s="71"/>
      <c r="AL7" s="71">
        <v>12.35</v>
      </c>
      <c r="AM7" s="71">
        <v>6.26</v>
      </c>
      <c r="AN7" s="68"/>
      <c r="AO7" s="68"/>
      <c r="AP7" s="70" t="s">
        <v>184</v>
      </c>
      <c r="AQ7" s="71">
        <v>29</v>
      </c>
      <c r="AR7" s="77" t="s">
        <v>185</v>
      </c>
      <c r="AS7" s="70" t="s">
        <v>186</v>
      </c>
      <c r="AT7" s="68"/>
      <c r="AU7" s="70"/>
      <c r="AV7" s="70"/>
      <c r="AW7" s="71"/>
      <c r="AX7" s="71"/>
      <c r="AY7" s="70" t="s">
        <v>187</v>
      </c>
      <c r="AZ7" s="76"/>
      <c r="BA7" s="76"/>
      <c r="BB7" s="76"/>
      <c r="BC7" s="78"/>
    </row>
    <row r="8" spans="1:55" x14ac:dyDescent="0.25">
      <c r="A8" s="44" t="s">
        <v>44</v>
      </c>
      <c r="B8" s="68" t="s">
        <v>45</v>
      </c>
      <c r="C8" s="68" t="s">
        <v>174</v>
      </c>
      <c r="D8" s="69" t="s">
        <v>191</v>
      </c>
      <c r="E8" s="70">
        <v>1</v>
      </c>
      <c r="F8" s="71">
        <v>0.38</v>
      </c>
      <c r="G8" s="72">
        <v>56.293394999999997</v>
      </c>
      <c r="H8" s="73">
        <v>9.3338300000000007</v>
      </c>
      <c r="I8" s="74" t="s">
        <v>176</v>
      </c>
      <c r="J8" s="75" t="s">
        <v>177</v>
      </c>
      <c r="K8" s="68" t="s">
        <v>178</v>
      </c>
      <c r="L8" s="76">
        <v>9</v>
      </c>
      <c r="M8" s="76">
        <v>24</v>
      </c>
      <c r="N8" s="76">
        <v>65</v>
      </c>
      <c r="O8" s="71"/>
      <c r="P8" s="70"/>
      <c r="Q8" s="71">
        <v>0.18</v>
      </c>
      <c r="R8" s="71"/>
      <c r="S8" s="70"/>
      <c r="T8" s="71">
        <v>5.8</v>
      </c>
      <c r="U8" s="71">
        <v>1.5</v>
      </c>
      <c r="V8" s="75" t="s">
        <v>179</v>
      </c>
      <c r="W8" s="69" t="s">
        <v>180</v>
      </c>
      <c r="X8" s="69" t="s">
        <v>181</v>
      </c>
      <c r="Y8" s="69"/>
      <c r="Z8" s="69"/>
      <c r="AA8" s="69" t="s">
        <v>182</v>
      </c>
      <c r="AB8" s="69" t="s">
        <v>183</v>
      </c>
      <c r="AC8" s="69"/>
      <c r="AD8" s="69"/>
      <c r="AE8" s="76"/>
      <c r="AF8" s="71">
        <v>7.25</v>
      </c>
      <c r="AG8" s="71">
        <v>80.38</v>
      </c>
      <c r="AH8" s="71">
        <v>3.87</v>
      </c>
      <c r="AI8" s="71">
        <v>2.16</v>
      </c>
      <c r="AJ8" s="71"/>
      <c r="AK8" s="71"/>
      <c r="AL8" s="71">
        <v>9.1999999999999993</v>
      </c>
      <c r="AM8" s="71">
        <v>6.25</v>
      </c>
      <c r="AN8" s="68"/>
      <c r="AO8" s="68"/>
      <c r="AP8" s="70" t="s">
        <v>184</v>
      </c>
      <c r="AQ8" s="71">
        <v>29</v>
      </c>
      <c r="AR8" s="77" t="s">
        <v>185</v>
      </c>
      <c r="AS8" s="70" t="s">
        <v>186</v>
      </c>
      <c r="AT8" s="68"/>
      <c r="AU8" s="70"/>
      <c r="AV8" s="70"/>
      <c r="AW8" s="71"/>
      <c r="AX8" s="71"/>
      <c r="AY8" s="70" t="s">
        <v>187</v>
      </c>
      <c r="AZ8" s="76"/>
      <c r="BA8" s="76"/>
      <c r="BB8" s="76"/>
      <c r="BC8" s="78"/>
    </row>
    <row r="9" spans="1:55" x14ac:dyDescent="0.25">
      <c r="A9" s="44" t="s">
        <v>44</v>
      </c>
      <c r="B9" s="68" t="s">
        <v>45</v>
      </c>
      <c r="C9" s="68" t="s">
        <v>174</v>
      </c>
      <c r="D9" s="69" t="s">
        <v>192</v>
      </c>
      <c r="E9" s="70">
        <v>2</v>
      </c>
      <c r="F9" s="71">
        <v>0.38</v>
      </c>
      <c r="G9" s="72">
        <v>56.293394999999997</v>
      </c>
      <c r="H9" s="73">
        <v>9.3338300000000007</v>
      </c>
      <c r="I9" s="74" t="s">
        <v>176</v>
      </c>
      <c r="J9" s="75" t="s">
        <v>177</v>
      </c>
      <c r="K9" s="68" t="s">
        <v>178</v>
      </c>
      <c r="L9" s="76">
        <v>9</v>
      </c>
      <c r="M9" s="76">
        <v>24</v>
      </c>
      <c r="N9" s="76">
        <v>65</v>
      </c>
      <c r="O9" s="71"/>
      <c r="P9" s="70"/>
      <c r="Q9" s="71">
        <v>0.18</v>
      </c>
      <c r="R9" s="71"/>
      <c r="S9" s="70"/>
      <c r="T9" s="71">
        <v>5.8</v>
      </c>
      <c r="U9" s="71">
        <v>1.5</v>
      </c>
      <c r="V9" s="75" t="s">
        <v>179</v>
      </c>
      <c r="W9" s="69" t="s">
        <v>180</v>
      </c>
      <c r="X9" s="69" t="s">
        <v>181</v>
      </c>
      <c r="Y9" s="69"/>
      <c r="Z9" s="69"/>
      <c r="AA9" s="69" t="s">
        <v>182</v>
      </c>
      <c r="AB9" s="69" t="s">
        <v>183</v>
      </c>
      <c r="AC9" s="69"/>
      <c r="AD9" s="69"/>
      <c r="AE9" s="76"/>
      <c r="AF9" s="71">
        <v>7.25</v>
      </c>
      <c r="AG9" s="71">
        <v>80.38</v>
      </c>
      <c r="AH9" s="71">
        <v>3.87</v>
      </c>
      <c r="AI9" s="71">
        <v>2.16</v>
      </c>
      <c r="AJ9" s="71"/>
      <c r="AK9" s="71"/>
      <c r="AL9" s="71">
        <v>9.1999999999999993</v>
      </c>
      <c r="AM9" s="71">
        <v>6.25</v>
      </c>
      <c r="AN9" s="68"/>
      <c r="AO9" s="68"/>
      <c r="AP9" s="70" t="s">
        <v>184</v>
      </c>
      <c r="AQ9" s="71">
        <v>29</v>
      </c>
      <c r="AR9" s="77" t="s">
        <v>185</v>
      </c>
      <c r="AS9" s="70" t="s">
        <v>186</v>
      </c>
      <c r="AT9" s="68"/>
      <c r="AU9" s="70"/>
      <c r="AV9" s="70"/>
      <c r="AW9" s="71"/>
      <c r="AX9" s="71"/>
      <c r="AY9" s="70" t="s">
        <v>187</v>
      </c>
      <c r="AZ9" s="76"/>
      <c r="BA9" s="76"/>
      <c r="BB9" s="76"/>
      <c r="BC9" s="78"/>
    </row>
    <row r="10" spans="1:55" x14ac:dyDescent="0.25">
      <c r="A10" s="44" t="s">
        <v>44</v>
      </c>
      <c r="B10" s="68" t="s">
        <v>45</v>
      </c>
      <c r="C10" s="68" t="s">
        <v>174</v>
      </c>
      <c r="D10" s="69" t="s">
        <v>193</v>
      </c>
      <c r="E10" s="70">
        <v>3</v>
      </c>
      <c r="F10" s="71">
        <v>0.38</v>
      </c>
      <c r="G10" s="72">
        <v>56.293394999999997</v>
      </c>
      <c r="H10" s="73">
        <v>9.3338300000000007</v>
      </c>
      <c r="I10" s="74" t="s">
        <v>176</v>
      </c>
      <c r="J10" s="75" t="s">
        <v>177</v>
      </c>
      <c r="K10" s="68" t="s">
        <v>178</v>
      </c>
      <c r="L10" s="76">
        <v>9</v>
      </c>
      <c r="M10" s="76">
        <v>24</v>
      </c>
      <c r="N10" s="76">
        <v>65</v>
      </c>
      <c r="O10" s="71"/>
      <c r="P10" s="70"/>
      <c r="Q10" s="71">
        <v>0.18</v>
      </c>
      <c r="R10" s="71"/>
      <c r="S10" s="70"/>
      <c r="T10" s="71">
        <v>5.8</v>
      </c>
      <c r="U10" s="71">
        <v>1.5</v>
      </c>
      <c r="V10" s="75" t="s">
        <v>179</v>
      </c>
      <c r="W10" s="69" t="s">
        <v>180</v>
      </c>
      <c r="X10" s="69" t="s">
        <v>181</v>
      </c>
      <c r="Y10" s="69"/>
      <c r="Z10" s="69"/>
      <c r="AA10" s="69" t="s">
        <v>182</v>
      </c>
      <c r="AB10" s="69" t="s">
        <v>183</v>
      </c>
      <c r="AC10" s="69"/>
      <c r="AD10" s="69"/>
      <c r="AE10" s="76"/>
      <c r="AF10" s="71">
        <v>7.25</v>
      </c>
      <c r="AG10" s="71">
        <v>80.38</v>
      </c>
      <c r="AH10" s="71">
        <v>3.87</v>
      </c>
      <c r="AI10" s="71">
        <v>2.16</v>
      </c>
      <c r="AJ10" s="71"/>
      <c r="AK10" s="71"/>
      <c r="AL10" s="71">
        <v>9.1999999999999993</v>
      </c>
      <c r="AM10" s="71">
        <v>6.25</v>
      </c>
      <c r="AN10" s="68"/>
      <c r="AO10" s="68"/>
      <c r="AP10" s="70" t="s">
        <v>184</v>
      </c>
      <c r="AQ10" s="71">
        <v>29</v>
      </c>
      <c r="AR10" s="77" t="s">
        <v>185</v>
      </c>
      <c r="AS10" s="70" t="s">
        <v>186</v>
      </c>
      <c r="AT10" s="68"/>
      <c r="AU10" s="70"/>
      <c r="AV10" s="70"/>
      <c r="AW10" s="71"/>
      <c r="AX10" s="71"/>
      <c r="AY10" s="70" t="s">
        <v>187</v>
      </c>
      <c r="AZ10" s="76"/>
      <c r="BA10" s="76"/>
      <c r="BB10" s="76"/>
      <c r="BC10" s="78"/>
    </row>
    <row r="11" spans="1:55" x14ac:dyDescent="0.25">
      <c r="A11" s="44" t="s">
        <v>44</v>
      </c>
      <c r="B11" s="68" t="s">
        <v>45</v>
      </c>
      <c r="C11" s="68" t="s">
        <v>174</v>
      </c>
      <c r="D11" s="69" t="s">
        <v>194</v>
      </c>
      <c r="E11" s="70">
        <v>1</v>
      </c>
      <c r="F11" s="71">
        <v>0.38</v>
      </c>
      <c r="G11" s="72">
        <v>56.293394999999997</v>
      </c>
      <c r="H11" s="73">
        <v>9.3338300000000007</v>
      </c>
      <c r="I11" s="74" t="s">
        <v>176</v>
      </c>
      <c r="J11" s="75" t="s">
        <v>177</v>
      </c>
      <c r="K11" s="68" t="s">
        <v>178</v>
      </c>
      <c r="L11" s="76">
        <v>9</v>
      </c>
      <c r="M11" s="76">
        <v>24</v>
      </c>
      <c r="N11" s="76">
        <v>65</v>
      </c>
      <c r="O11" s="71"/>
      <c r="P11" s="70"/>
      <c r="Q11" s="71">
        <v>0.18</v>
      </c>
      <c r="R11" s="71"/>
      <c r="S11" s="70"/>
      <c r="T11" s="71">
        <v>5.8</v>
      </c>
      <c r="U11" s="71">
        <v>1.5</v>
      </c>
      <c r="V11" s="75" t="s">
        <v>179</v>
      </c>
      <c r="W11" s="69" t="s">
        <v>180</v>
      </c>
      <c r="X11" s="69" t="s">
        <v>181</v>
      </c>
      <c r="Y11" s="69"/>
      <c r="Z11" s="69"/>
      <c r="AA11" s="69" t="s">
        <v>182</v>
      </c>
      <c r="AB11" s="69" t="s">
        <v>186</v>
      </c>
      <c r="AC11" s="69"/>
      <c r="AD11" s="69"/>
      <c r="AE11" s="76"/>
      <c r="AF11" s="71">
        <v>7.42</v>
      </c>
      <c r="AG11" s="71">
        <v>81.97</v>
      </c>
      <c r="AH11" s="71">
        <v>3.59</v>
      </c>
      <c r="AI11" s="71">
        <v>2.16</v>
      </c>
      <c r="AJ11" s="71"/>
      <c r="AK11" s="71"/>
      <c r="AL11" s="71">
        <v>9.32</v>
      </c>
      <c r="AM11" s="71">
        <v>6.91</v>
      </c>
      <c r="AN11" s="68"/>
      <c r="AO11" s="68"/>
      <c r="AP11" s="70" t="s">
        <v>184</v>
      </c>
      <c r="AQ11" s="71">
        <v>29</v>
      </c>
      <c r="AR11" s="77" t="s">
        <v>185</v>
      </c>
      <c r="AS11" s="70" t="s">
        <v>186</v>
      </c>
      <c r="AT11" s="68"/>
      <c r="AU11" s="70"/>
      <c r="AV11" s="70"/>
      <c r="AW11" s="71"/>
      <c r="AX11" s="71"/>
      <c r="AY11" s="70" t="s">
        <v>187</v>
      </c>
      <c r="AZ11" s="76"/>
      <c r="BA11" s="76"/>
      <c r="BB11" s="76"/>
      <c r="BC11" s="78"/>
    </row>
    <row r="12" spans="1:55" x14ac:dyDescent="0.25">
      <c r="A12" s="44" t="s">
        <v>44</v>
      </c>
      <c r="B12" s="68" t="s">
        <v>45</v>
      </c>
      <c r="C12" s="68" t="s">
        <v>174</v>
      </c>
      <c r="D12" s="69" t="s">
        <v>195</v>
      </c>
      <c r="E12" s="70">
        <v>2</v>
      </c>
      <c r="F12" s="71">
        <v>0.38</v>
      </c>
      <c r="G12" s="72">
        <v>56.293394999999997</v>
      </c>
      <c r="H12" s="73">
        <v>9.3338300000000007</v>
      </c>
      <c r="I12" s="74" t="s">
        <v>176</v>
      </c>
      <c r="J12" s="75" t="s">
        <v>177</v>
      </c>
      <c r="K12" s="68" t="s">
        <v>178</v>
      </c>
      <c r="L12" s="76">
        <v>9</v>
      </c>
      <c r="M12" s="76">
        <v>24</v>
      </c>
      <c r="N12" s="76">
        <v>65</v>
      </c>
      <c r="O12" s="71"/>
      <c r="P12" s="70"/>
      <c r="Q12" s="71">
        <v>0.18</v>
      </c>
      <c r="R12" s="71"/>
      <c r="S12" s="70"/>
      <c r="T12" s="71">
        <v>5.8</v>
      </c>
      <c r="U12" s="71">
        <v>1.5</v>
      </c>
      <c r="V12" s="75" t="s">
        <v>179</v>
      </c>
      <c r="W12" s="69" t="s">
        <v>180</v>
      </c>
      <c r="X12" s="69" t="s">
        <v>181</v>
      </c>
      <c r="Y12" s="69"/>
      <c r="Z12" s="69"/>
      <c r="AA12" s="69" t="s">
        <v>182</v>
      </c>
      <c r="AB12" s="69" t="s">
        <v>186</v>
      </c>
      <c r="AC12" s="69"/>
      <c r="AD12" s="69"/>
      <c r="AE12" s="76"/>
      <c r="AF12" s="71">
        <v>7.42</v>
      </c>
      <c r="AG12" s="71">
        <v>81.97</v>
      </c>
      <c r="AH12" s="71">
        <v>3.59</v>
      </c>
      <c r="AI12" s="71">
        <v>2.16</v>
      </c>
      <c r="AJ12" s="71"/>
      <c r="AK12" s="71"/>
      <c r="AL12" s="71">
        <v>9.32</v>
      </c>
      <c r="AM12" s="71">
        <v>6.91</v>
      </c>
      <c r="AN12" s="68"/>
      <c r="AO12" s="68"/>
      <c r="AP12" s="70" t="s">
        <v>184</v>
      </c>
      <c r="AQ12" s="71">
        <v>29</v>
      </c>
      <c r="AR12" s="77" t="s">
        <v>185</v>
      </c>
      <c r="AS12" s="70" t="s">
        <v>186</v>
      </c>
      <c r="AT12" s="68"/>
      <c r="AU12" s="70"/>
      <c r="AV12" s="70"/>
      <c r="AW12" s="71"/>
      <c r="AX12" s="71"/>
      <c r="AY12" s="70" t="s">
        <v>187</v>
      </c>
      <c r="AZ12" s="76"/>
      <c r="BA12" s="76"/>
      <c r="BB12" s="76"/>
      <c r="BC12" s="78"/>
    </row>
    <row r="13" spans="1:55" x14ac:dyDescent="0.25">
      <c r="A13" s="44" t="s">
        <v>44</v>
      </c>
      <c r="B13" s="68" t="s">
        <v>45</v>
      </c>
      <c r="C13" s="68" t="s">
        <v>174</v>
      </c>
      <c r="D13" s="69" t="s">
        <v>196</v>
      </c>
      <c r="E13" s="70">
        <v>3</v>
      </c>
      <c r="F13" s="71">
        <v>0.38</v>
      </c>
      <c r="G13" s="72">
        <v>56.293394999999997</v>
      </c>
      <c r="H13" s="73">
        <v>9.3338300000000007</v>
      </c>
      <c r="I13" s="74" t="s">
        <v>176</v>
      </c>
      <c r="J13" s="75" t="s">
        <v>177</v>
      </c>
      <c r="K13" s="68" t="s">
        <v>178</v>
      </c>
      <c r="L13" s="76">
        <v>9</v>
      </c>
      <c r="M13" s="76">
        <v>24</v>
      </c>
      <c r="N13" s="76">
        <v>65</v>
      </c>
      <c r="O13" s="71"/>
      <c r="P13" s="70"/>
      <c r="Q13" s="71">
        <v>0.18</v>
      </c>
      <c r="R13" s="71"/>
      <c r="S13" s="70"/>
      <c r="T13" s="71">
        <v>5.8</v>
      </c>
      <c r="U13" s="71">
        <v>1.5</v>
      </c>
      <c r="V13" s="75" t="s">
        <v>179</v>
      </c>
      <c r="W13" s="69" t="s">
        <v>180</v>
      </c>
      <c r="X13" s="69" t="s">
        <v>181</v>
      </c>
      <c r="Y13" s="69"/>
      <c r="Z13" s="69"/>
      <c r="AA13" s="69" t="s">
        <v>182</v>
      </c>
      <c r="AB13" s="69" t="s">
        <v>186</v>
      </c>
      <c r="AC13" s="69"/>
      <c r="AD13" s="69"/>
      <c r="AE13" s="76"/>
      <c r="AF13" s="71">
        <v>7.42</v>
      </c>
      <c r="AG13" s="71">
        <v>81.97</v>
      </c>
      <c r="AH13" s="71">
        <v>3.59</v>
      </c>
      <c r="AI13" s="71">
        <v>2.16</v>
      </c>
      <c r="AJ13" s="71"/>
      <c r="AK13" s="71"/>
      <c r="AL13" s="71">
        <v>9.32</v>
      </c>
      <c r="AM13" s="71">
        <v>6.91</v>
      </c>
      <c r="AN13" s="68"/>
      <c r="AO13" s="68"/>
      <c r="AP13" s="70" t="s">
        <v>184</v>
      </c>
      <c r="AQ13" s="71">
        <v>29</v>
      </c>
      <c r="AR13" s="77" t="s">
        <v>185</v>
      </c>
      <c r="AS13" s="70" t="s">
        <v>186</v>
      </c>
      <c r="AT13" s="68"/>
      <c r="AU13" s="70"/>
      <c r="AV13" s="70"/>
      <c r="AW13" s="71"/>
      <c r="AX13" s="71"/>
      <c r="AY13" s="70" t="s">
        <v>187</v>
      </c>
      <c r="AZ13" s="76"/>
      <c r="BA13" s="76"/>
      <c r="BB13" s="76"/>
      <c r="BC13" s="78"/>
    </row>
    <row r="14" spans="1:55" x14ac:dyDescent="0.25">
      <c r="A14" s="44" t="s">
        <v>44</v>
      </c>
      <c r="B14" s="68" t="s">
        <v>52</v>
      </c>
      <c r="C14" s="68" t="s">
        <v>174</v>
      </c>
      <c r="D14" s="69" t="s">
        <v>197</v>
      </c>
      <c r="E14" s="70">
        <v>1</v>
      </c>
      <c r="F14" s="71">
        <v>0.38</v>
      </c>
      <c r="G14" s="72">
        <v>56.293394999999997</v>
      </c>
      <c r="H14" s="73">
        <v>9.3338300000000007</v>
      </c>
      <c r="I14" s="74" t="s">
        <v>176</v>
      </c>
      <c r="J14" s="75" t="s">
        <v>177</v>
      </c>
      <c r="K14" s="68" t="s">
        <v>178</v>
      </c>
      <c r="L14" s="76">
        <v>9</v>
      </c>
      <c r="M14" s="76">
        <v>24</v>
      </c>
      <c r="N14" s="76">
        <v>65</v>
      </c>
      <c r="O14" s="71"/>
      <c r="P14" s="70"/>
      <c r="Q14" s="71">
        <v>0.22</v>
      </c>
      <c r="R14" s="71"/>
      <c r="S14" s="70"/>
      <c r="T14" s="71">
        <v>5.8</v>
      </c>
      <c r="U14" s="71">
        <v>1.45</v>
      </c>
      <c r="V14" s="75" t="s">
        <v>179</v>
      </c>
      <c r="W14" s="69" t="s">
        <v>180</v>
      </c>
      <c r="X14" s="69" t="s">
        <v>198</v>
      </c>
      <c r="Y14" s="69"/>
      <c r="Z14" s="69"/>
      <c r="AA14" s="69" t="s">
        <v>182</v>
      </c>
      <c r="AB14" s="69" t="s">
        <v>186</v>
      </c>
      <c r="AC14" s="69"/>
      <c r="AD14" s="69"/>
      <c r="AE14" s="76"/>
      <c r="AF14" s="71">
        <v>5.5</v>
      </c>
      <c r="AG14" s="71">
        <v>77.42</v>
      </c>
      <c r="AH14" s="71">
        <v>5.0199999999999996</v>
      </c>
      <c r="AI14" s="71">
        <v>3.65</v>
      </c>
      <c r="AJ14" s="71"/>
      <c r="AK14" s="71"/>
      <c r="AL14" s="71">
        <v>17.739999999999998</v>
      </c>
      <c r="AM14" s="71">
        <v>6.83</v>
      </c>
      <c r="AN14" s="68"/>
      <c r="AO14" s="68"/>
      <c r="AP14" s="70" t="s">
        <v>199</v>
      </c>
      <c r="AQ14" s="71">
        <v>17</v>
      </c>
      <c r="AR14" s="77" t="s">
        <v>185</v>
      </c>
      <c r="AS14" s="70" t="s">
        <v>186</v>
      </c>
      <c r="AT14" s="68"/>
      <c r="AU14" s="70"/>
      <c r="AV14" s="70">
        <v>25</v>
      </c>
      <c r="AW14" s="71">
        <v>5</v>
      </c>
      <c r="AX14" s="71"/>
      <c r="AY14" s="70" t="s">
        <v>187</v>
      </c>
      <c r="AZ14" s="76"/>
      <c r="BA14" s="76"/>
      <c r="BB14" s="76"/>
      <c r="BC14" s="78"/>
    </row>
    <row r="15" spans="1:55" x14ac:dyDescent="0.25">
      <c r="A15" s="44" t="s">
        <v>44</v>
      </c>
      <c r="B15" s="68" t="s">
        <v>52</v>
      </c>
      <c r="C15" s="68" t="s">
        <v>174</v>
      </c>
      <c r="D15" s="69" t="s">
        <v>200</v>
      </c>
      <c r="E15" s="70">
        <v>2</v>
      </c>
      <c r="F15" s="71">
        <v>0.38</v>
      </c>
      <c r="G15" s="72">
        <v>56.293394999999997</v>
      </c>
      <c r="H15" s="73">
        <v>9.3338300000000007</v>
      </c>
      <c r="I15" s="74" t="s">
        <v>176</v>
      </c>
      <c r="J15" s="75" t="s">
        <v>177</v>
      </c>
      <c r="K15" s="68" t="s">
        <v>178</v>
      </c>
      <c r="L15" s="76">
        <v>9</v>
      </c>
      <c r="M15" s="76">
        <v>24</v>
      </c>
      <c r="N15" s="76">
        <v>65</v>
      </c>
      <c r="O15" s="71"/>
      <c r="P15" s="70"/>
      <c r="Q15" s="71">
        <v>0.22</v>
      </c>
      <c r="R15" s="71"/>
      <c r="S15" s="70"/>
      <c r="T15" s="71">
        <v>5.8</v>
      </c>
      <c r="U15" s="71">
        <v>1.45</v>
      </c>
      <c r="V15" s="75" t="s">
        <v>179</v>
      </c>
      <c r="W15" s="69" t="s">
        <v>180</v>
      </c>
      <c r="X15" s="69" t="s">
        <v>198</v>
      </c>
      <c r="Y15" s="69"/>
      <c r="Z15" s="69"/>
      <c r="AA15" s="69" t="s">
        <v>182</v>
      </c>
      <c r="AB15" s="69" t="s">
        <v>186</v>
      </c>
      <c r="AC15" s="69"/>
      <c r="AD15" s="69"/>
      <c r="AE15" s="76"/>
      <c r="AF15" s="71">
        <v>5.5</v>
      </c>
      <c r="AG15" s="71">
        <v>77.42</v>
      </c>
      <c r="AH15" s="71">
        <v>5.0199999999999996</v>
      </c>
      <c r="AI15" s="71">
        <v>3.65</v>
      </c>
      <c r="AJ15" s="71"/>
      <c r="AK15" s="71"/>
      <c r="AL15" s="71">
        <v>17.739999999999998</v>
      </c>
      <c r="AM15" s="71">
        <v>6.83</v>
      </c>
      <c r="AN15" s="68"/>
      <c r="AO15" s="68"/>
      <c r="AP15" s="70" t="s">
        <v>199</v>
      </c>
      <c r="AQ15" s="71">
        <v>17</v>
      </c>
      <c r="AR15" s="77" t="s">
        <v>185</v>
      </c>
      <c r="AS15" s="70" t="s">
        <v>186</v>
      </c>
      <c r="AT15" s="68"/>
      <c r="AU15" s="70"/>
      <c r="AV15" s="70">
        <v>25</v>
      </c>
      <c r="AW15" s="71">
        <v>5</v>
      </c>
      <c r="AX15" s="71"/>
      <c r="AY15" s="70" t="s">
        <v>187</v>
      </c>
      <c r="AZ15" s="76"/>
      <c r="BA15" s="76"/>
      <c r="BB15" s="76"/>
      <c r="BC15" s="78"/>
    </row>
    <row r="16" spans="1:55" x14ac:dyDescent="0.25">
      <c r="A16" s="44" t="s">
        <v>44</v>
      </c>
      <c r="B16" s="68" t="s">
        <v>52</v>
      </c>
      <c r="C16" s="68" t="s">
        <v>174</v>
      </c>
      <c r="D16" s="69" t="s">
        <v>201</v>
      </c>
      <c r="E16" s="70">
        <v>3</v>
      </c>
      <c r="F16" s="71">
        <v>0.38</v>
      </c>
      <c r="G16" s="72">
        <v>56.293394999999997</v>
      </c>
      <c r="H16" s="73">
        <v>9.3338300000000007</v>
      </c>
      <c r="I16" s="74" t="s">
        <v>176</v>
      </c>
      <c r="J16" s="75" t="s">
        <v>177</v>
      </c>
      <c r="K16" s="68" t="s">
        <v>178</v>
      </c>
      <c r="L16" s="76">
        <v>9</v>
      </c>
      <c r="M16" s="76">
        <v>24</v>
      </c>
      <c r="N16" s="76">
        <v>65</v>
      </c>
      <c r="O16" s="71"/>
      <c r="P16" s="70"/>
      <c r="Q16" s="71">
        <v>0.22</v>
      </c>
      <c r="R16" s="71"/>
      <c r="S16" s="70"/>
      <c r="T16" s="71">
        <v>5.8</v>
      </c>
      <c r="U16" s="71">
        <v>1.45</v>
      </c>
      <c r="V16" s="75" t="s">
        <v>179</v>
      </c>
      <c r="W16" s="69" t="s">
        <v>180</v>
      </c>
      <c r="X16" s="69" t="s">
        <v>198</v>
      </c>
      <c r="Y16" s="69"/>
      <c r="Z16" s="69"/>
      <c r="AA16" s="69" t="s">
        <v>182</v>
      </c>
      <c r="AB16" s="69" t="s">
        <v>186</v>
      </c>
      <c r="AC16" s="69"/>
      <c r="AD16" s="69"/>
      <c r="AE16" s="76"/>
      <c r="AF16" s="71">
        <v>5.5</v>
      </c>
      <c r="AG16" s="71">
        <v>77.42</v>
      </c>
      <c r="AH16" s="71">
        <v>5.0199999999999996</v>
      </c>
      <c r="AI16" s="71">
        <v>3.65</v>
      </c>
      <c r="AJ16" s="71"/>
      <c r="AK16" s="71"/>
      <c r="AL16" s="71">
        <v>17.739999999999998</v>
      </c>
      <c r="AM16" s="71">
        <v>6.83</v>
      </c>
      <c r="AN16" s="68"/>
      <c r="AO16" s="68"/>
      <c r="AP16" s="70" t="s">
        <v>199</v>
      </c>
      <c r="AQ16" s="71">
        <v>17</v>
      </c>
      <c r="AR16" s="77" t="s">
        <v>185</v>
      </c>
      <c r="AS16" s="70" t="s">
        <v>186</v>
      </c>
      <c r="AT16" s="68"/>
      <c r="AU16" s="70"/>
      <c r="AV16" s="70">
        <v>25</v>
      </c>
      <c r="AW16" s="71">
        <v>5</v>
      </c>
      <c r="AX16" s="71"/>
      <c r="AY16" s="70" t="s">
        <v>187</v>
      </c>
      <c r="AZ16" s="76"/>
      <c r="BA16" s="76"/>
      <c r="BB16" s="76"/>
      <c r="BC16" s="78"/>
    </row>
    <row r="17" spans="1:55" x14ac:dyDescent="0.25">
      <c r="A17" s="44" t="s">
        <v>44</v>
      </c>
      <c r="B17" s="68" t="s">
        <v>52</v>
      </c>
      <c r="C17" s="68" t="s">
        <v>174</v>
      </c>
      <c r="D17" s="69" t="s">
        <v>202</v>
      </c>
      <c r="E17" s="70">
        <v>1</v>
      </c>
      <c r="F17" s="71">
        <v>0.38</v>
      </c>
      <c r="G17" s="72">
        <v>56.293394999999997</v>
      </c>
      <c r="H17" s="73">
        <v>9.3338300000000007</v>
      </c>
      <c r="I17" s="74" t="s">
        <v>176</v>
      </c>
      <c r="J17" s="75" t="s">
        <v>177</v>
      </c>
      <c r="K17" s="68" t="s">
        <v>178</v>
      </c>
      <c r="L17" s="76">
        <v>9</v>
      </c>
      <c r="M17" s="76">
        <v>24</v>
      </c>
      <c r="N17" s="76">
        <v>65</v>
      </c>
      <c r="O17" s="71"/>
      <c r="P17" s="70"/>
      <c r="Q17" s="71">
        <v>0.22</v>
      </c>
      <c r="R17" s="71"/>
      <c r="S17" s="70"/>
      <c r="T17" s="71">
        <v>5.8</v>
      </c>
      <c r="U17" s="71">
        <v>1.45</v>
      </c>
      <c r="V17" s="75" t="s">
        <v>179</v>
      </c>
      <c r="W17" s="69" t="s">
        <v>180</v>
      </c>
      <c r="X17" s="69" t="s">
        <v>198</v>
      </c>
      <c r="Y17" s="69"/>
      <c r="Z17" s="69"/>
      <c r="AA17" s="69" t="s">
        <v>182</v>
      </c>
      <c r="AB17" s="69" t="s">
        <v>186</v>
      </c>
      <c r="AC17" s="69"/>
      <c r="AD17" s="69"/>
      <c r="AE17" s="76"/>
      <c r="AF17" s="71">
        <v>5.5</v>
      </c>
      <c r="AG17" s="71">
        <v>77.42</v>
      </c>
      <c r="AH17" s="71">
        <v>5.0199999999999996</v>
      </c>
      <c r="AI17" s="71">
        <v>3.65</v>
      </c>
      <c r="AJ17" s="71"/>
      <c r="AK17" s="71"/>
      <c r="AL17" s="71">
        <v>17.739999999999998</v>
      </c>
      <c r="AM17" s="71">
        <v>6.83</v>
      </c>
      <c r="AN17" s="68"/>
      <c r="AO17" s="68"/>
      <c r="AP17" s="70" t="s">
        <v>184</v>
      </c>
      <c r="AQ17" s="71">
        <v>17</v>
      </c>
      <c r="AR17" s="77" t="s">
        <v>185</v>
      </c>
      <c r="AS17" s="70" t="s">
        <v>186</v>
      </c>
      <c r="AT17" s="68"/>
      <c r="AU17" s="70"/>
      <c r="AV17" s="70"/>
      <c r="AW17" s="71"/>
      <c r="AX17" s="71"/>
      <c r="AY17" s="70" t="s">
        <v>187</v>
      </c>
      <c r="AZ17" s="76"/>
      <c r="BA17" s="76"/>
      <c r="BB17" s="76"/>
      <c r="BC17" s="78"/>
    </row>
    <row r="18" spans="1:55" x14ac:dyDescent="0.25">
      <c r="A18" s="44" t="s">
        <v>44</v>
      </c>
      <c r="B18" s="68" t="s">
        <v>52</v>
      </c>
      <c r="C18" s="68" t="s">
        <v>174</v>
      </c>
      <c r="D18" s="69" t="s">
        <v>203</v>
      </c>
      <c r="E18" s="70">
        <v>2</v>
      </c>
      <c r="F18" s="71">
        <v>0.38</v>
      </c>
      <c r="G18" s="72">
        <v>56.293394999999997</v>
      </c>
      <c r="H18" s="73">
        <v>9.3338300000000007</v>
      </c>
      <c r="I18" s="74" t="s">
        <v>176</v>
      </c>
      <c r="J18" s="75" t="s">
        <v>177</v>
      </c>
      <c r="K18" s="68" t="s">
        <v>178</v>
      </c>
      <c r="L18" s="76">
        <v>9</v>
      </c>
      <c r="M18" s="76">
        <v>24</v>
      </c>
      <c r="N18" s="76">
        <v>65</v>
      </c>
      <c r="O18" s="71"/>
      <c r="P18" s="70"/>
      <c r="Q18" s="71">
        <v>0.22</v>
      </c>
      <c r="R18" s="71"/>
      <c r="S18" s="70"/>
      <c r="T18" s="71">
        <v>5.8</v>
      </c>
      <c r="U18" s="71">
        <v>1.45</v>
      </c>
      <c r="V18" s="75" t="s">
        <v>179</v>
      </c>
      <c r="W18" s="69" t="s">
        <v>180</v>
      </c>
      <c r="X18" s="69" t="s">
        <v>198</v>
      </c>
      <c r="Y18" s="69"/>
      <c r="Z18" s="69"/>
      <c r="AA18" s="69" t="s">
        <v>182</v>
      </c>
      <c r="AB18" s="69" t="s">
        <v>186</v>
      </c>
      <c r="AC18" s="69"/>
      <c r="AD18" s="69"/>
      <c r="AE18" s="76"/>
      <c r="AF18" s="71">
        <v>5.5</v>
      </c>
      <c r="AG18" s="71">
        <v>77.42</v>
      </c>
      <c r="AH18" s="71">
        <v>5.0199999999999996</v>
      </c>
      <c r="AI18" s="71">
        <v>3.65</v>
      </c>
      <c r="AJ18" s="71"/>
      <c r="AK18" s="71"/>
      <c r="AL18" s="71">
        <v>17.739999999999998</v>
      </c>
      <c r="AM18" s="71">
        <v>6.83</v>
      </c>
      <c r="AN18" s="68"/>
      <c r="AO18" s="68"/>
      <c r="AP18" s="70" t="s">
        <v>184</v>
      </c>
      <c r="AQ18" s="71">
        <v>17</v>
      </c>
      <c r="AR18" s="77" t="s">
        <v>185</v>
      </c>
      <c r="AS18" s="70" t="s">
        <v>186</v>
      </c>
      <c r="AT18" s="68"/>
      <c r="AU18" s="70"/>
      <c r="AV18" s="70"/>
      <c r="AW18" s="71"/>
      <c r="AX18" s="71"/>
      <c r="AY18" s="70" t="s">
        <v>187</v>
      </c>
      <c r="AZ18" s="76"/>
      <c r="BA18" s="76"/>
      <c r="BB18" s="76"/>
      <c r="BC18" s="78"/>
    </row>
    <row r="19" spans="1:55" x14ac:dyDescent="0.25">
      <c r="A19" s="44" t="s">
        <v>44</v>
      </c>
      <c r="B19" s="68" t="s">
        <v>52</v>
      </c>
      <c r="C19" s="68" t="s">
        <v>174</v>
      </c>
      <c r="D19" s="69" t="s">
        <v>204</v>
      </c>
      <c r="E19" s="70">
        <v>3</v>
      </c>
      <c r="F19" s="71">
        <v>0.38</v>
      </c>
      <c r="G19" s="72">
        <v>56.293394999999997</v>
      </c>
      <c r="H19" s="73">
        <v>9.3338300000000007</v>
      </c>
      <c r="I19" s="74" t="s">
        <v>176</v>
      </c>
      <c r="J19" s="75" t="s">
        <v>177</v>
      </c>
      <c r="K19" s="68" t="s">
        <v>178</v>
      </c>
      <c r="L19" s="76">
        <v>9</v>
      </c>
      <c r="M19" s="76">
        <v>24</v>
      </c>
      <c r="N19" s="76">
        <v>65</v>
      </c>
      <c r="O19" s="71"/>
      <c r="P19" s="70"/>
      <c r="Q19" s="71">
        <v>0.22</v>
      </c>
      <c r="R19" s="71"/>
      <c r="S19" s="70"/>
      <c r="T19" s="71">
        <v>5.8</v>
      </c>
      <c r="U19" s="71">
        <v>1.45</v>
      </c>
      <c r="V19" s="75" t="s">
        <v>179</v>
      </c>
      <c r="W19" s="69" t="s">
        <v>180</v>
      </c>
      <c r="X19" s="69" t="s">
        <v>198</v>
      </c>
      <c r="Y19" s="69"/>
      <c r="Z19" s="69"/>
      <c r="AA19" s="69" t="s">
        <v>182</v>
      </c>
      <c r="AB19" s="69" t="s">
        <v>186</v>
      </c>
      <c r="AC19" s="69"/>
      <c r="AD19" s="69"/>
      <c r="AE19" s="76"/>
      <c r="AF19" s="71">
        <v>5.5</v>
      </c>
      <c r="AG19" s="71">
        <v>77.42</v>
      </c>
      <c r="AH19" s="71">
        <v>5.0199999999999996</v>
      </c>
      <c r="AI19" s="71">
        <v>3.65</v>
      </c>
      <c r="AJ19" s="71"/>
      <c r="AK19" s="71"/>
      <c r="AL19" s="71">
        <v>17.739999999999998</v>
      </c>
      <c r="AM19" s="71">
        <v>6.83</v>
      </c>
      <c r="AN19" s="68"/>
      <c r="AO19" s="68"/>
      <c r="AP19" s="70" t="s">
        <v>184</v>
      </c>
      <c r="AQ19" s="71">
        <v>17</v>
      </c>
      <c r="AR19" s="77" t="s">
        <v>185</v>
      </c>
      <c r="AS19" s="70" t="s">
        <v>186</v>
      </c>
      <c r="AT19" s="68"/>
      <c r="AU19" s="70"/>
      <c r="AV19" s="70"/>
      <c r="AW19" s="71"/>
      <c r="AX19" s="71"/>
      <c r="AY19" s="70" t="s">
        <v>187</v>
      </c>
      <c r="AZ19" s="76"/>
      <c r="BA19" s="76"/>
      <c r="BB19" s="76"/>
      <c r="BC19" s="78"/>
    </row>
    <row r="20" spans="1:55" x14ac:dyDescent="0.25">
      <c r="A20" s="44" t="s">
        <v>44</v>
      </c>
      <c r="B20" s="68" t="s">
        <v>52</v>
      </c>
      <c r="C20" s="68" t="s">
        <v>174</v>
      </c>
      <c r="D20" s="79" t="s">
        <v>205</v>
      </c>
      <c r="E20" s="70">
        <v>1</v>
      </c>
      <c r="F20" s="71">
        <v>0.38</v>
      </c>
      <c r="G20" s="72">
        <v>56.293394999999997</v>
      </c>
      <c r="H20" s="73">
        <v>9.3338300000000007</v>
      </c>
      <c r="I20" s="74" t="s">
        <v>176</v>
      </c>
      <c r="J20" s="75" t="s">
        <v>177</v>
      </c>
      <c r="K20" s="68" t="s">
        <v>178</v>
      </c>
      <c r="L20" s="76">
        <v>9</v>
      </c>
      <c r="M20" s="76">
        <v>24</v>
      </c>
      <c r="N20" s="76">
        <v>65</v>
      </c>
      <c r="O20" s="71"/>
      <c r="P20" s="70"/>
      <c r="Q20" s="71">
        <v>0.24</v>
      </c>
      <c r="R20" s="71"/>
      <c r="S20" s="70"/>
      <c r="T20" s="71">
        <v>5.8</v>
      </c>
      <c r="U20" s="71">
        <v>1.48</v>
      </c>
      <c r="V20" s="75" t="s">
        <v>179</v>
      </c>
      <c r="W20" s="69" t="s">
        <v>180</v>
      </c>
      <c r="X20" s="69" t="s">
        <v>198</v>
      </c>
      <c r="Y20" s="69"/>
      <c r="Z20" s="69"/>
      <c r="AA20" s="69" t="s">
        <v>182</v>
      </c>
      <c r="AB20" s="69" t="s">
        <v>183</v>
      </c>
      <c r="AC20" s="69"/>
      <c r="AD20" s="69"/>
      <c r="AE20" s="76"/>
      <c r="AF20" s="71">
        <v>5.96</v>
      </c>
      <c r="AG20" s="71">
        <v>77.39</v>
      </c>
      <c r="AH20" s="71">
        <v>4.54</v>
      </c>
      <c r="AI20" s="71">
        <v>3.66</v>
      </c>
      <c r="AJ20" s="71"/>
      <c r="AK20" s="71"/>
      <c r="AL20" s="71">
        <v>20.37</v>
      </c>
      <c r="AM20" s="71">
        <v>6.02</v>
      </c>
      <c r="AN20" s="68"/>
      <c r="AO20" s="68"/>
      <c r="AP20" s="70" t="s">
        <v>184</v>
      </c>
      <c r="AQ20" s="71">
        <v>17</v>
      </c>
      <c r="AR20" s="77" t="s">
        <v>185</v>
      </c>
      <c r="AS20" s="70" t="s">
        <v>186</v>
      </c>
      <c r="AT20" s="68"/>
      <c r="AU20" s="70"/>
      <c r="AV20" s="70"/>
      <c r="AW20" s="71"/>
      <c r="AX20" s="71"/>
      <c r="AY20" s="70" t="s">
        <v>187</v>
      </c>
      <c r="AZ20" s="76"/>
      <c r="BA20" s="76"/>
      <c r="BB20" s="76"/>
      <c r="BC20" s="78"/>
    </row>
    <row r="21" spans="1:55" x14ac:dyDescent="0.25">
      <c r="A21" s="44" t="s">
        <v>44</v>
      </c>
      <c r="B21" s="68" t="s">
        <v>52</v>
      </c>
      <c r="C21" s="68" t="s">
        <v>174</v>
      </c>
      <c r="D21" s="69" t="s">
        <v>206</v>
      </c>
      <c r="E21" s="70">
        <v>2</v>
      </c>
      <c r="F21" s="71">
        <v>0.38</v>
      </c>
      <c r="G21" s="72">
        <v>56.293394999999997</v>
      </c>
      <c r="H21" s="73">
        <v>9.3338300000000007</v>
      </c>
      <c r="I21" s="74" t="s">
        <v>176</v>
      </c>
      <c r="J21" s="75" t="s">
        <v>177</v>
      </c>
      <c r="K21" s="68" t="s">
        <v>178</v>
      </c>
      <c r="L21" s="76">
        <v>9</v>
      </c>
      <c r="M21" s="76">
        <v>24</v>
      </c>
      <c r="N21" s="76">
        <v>65</v>
      </c>
      <c r="O21" s="71"/>
      <c r="P21" s="70"/>
      <c r="Q21" s="71">
        <v>0.24</v>
      </c>
      <c r="R21" s="71"/>
      <c r="S21" s="70"/>
      <c r="T21" s="71">
        <v>5.8</v>
      </c>
      <c r="U21" s="71">
        <v>1.48</v>
      </c>
      <c r="V21" s="75" t="s">
        <v>179</v>
      </c>
      <c r="W21" s="69" t="s">
        <v>180</v>
      </c>
      <c r="X21" s="69" t="s">
        <v>198</v>
      </c>
      <c r="Y21" s="69"/>
      <c r="Z21" s="69"/>
      <c r="AA21" s="69" t="s">
        <v>182</v>
      </c>
      <c r="AB21" s="69" t="s">
        <v>183</v>
      </c>
      <c r="AC21" s="69"/>
      <c r="AD21" s="69"/>
      <c r="AE21" s="76"/>
      <c r="AF21" s="71">
        <v>5.96</v>
      </c>
      <c r="AG21" s="71">
        <v>77.39</v>
      </c>
      <c r="AH21" s="71">
        <v>4.54</v>
      </c>
      <c r="AI21" s="71">
        <v>3.66</v>
      </c>
      <c r="AJ21" s="71"/>
      <c r="AK21" s="71"/>
      <c r="AL21" s="71">
        <v>20.37</v>
      </c>
      <c r="AM21" s="71">
        <v>6.02</v>
      </c>
      <c r="AN21" s="68"/>
      <c r="AO21" s="68"/>
      <c r="AP21" s="70" t="s">
        <v>184</v>
      </c>
      <c r="AQ21" s="71">
        <v>17</v>
      </c>
      <c r="AR21" s="77" t="s">
        <v>185</v>
      </c>
      <c r="AS21" s="70" t="s">
        <v>186</v>
      </c>
      <c r="AT21" s="68"/>
      <c r="AU21" s="70"/>
      <c r="AV21" s="70"/>
      <c r="AW21" s="71"/>
      <c r="AX21" s="71"/>
      <c r="AY21" s="70" t="s">
        <v>187</v>
      </c>
      <c r="AZ21" s="76"/>
      <c r="BA21" s="76"/>
      <c r="BB21" s="76"/>
      <c r="BC21" s="78"/>
    </row>
    <row r="22" spans="1:55" x14ac:dyDescent="0.25">
      <c r="A22" s="44" t="s">
        <v>44</v>
      </c>
      <c r="B22" s="68" t="s">
        <v>52</v>
      </c>
      <c r="C22" s="68" t="s">
        <v>174</v>
      </c>
      <c r="D22" s="69" t="s">
        <v>190</v>
      </c>
      <c r="E22" s="70">
        <v>3</v>
      </c>
      <c r="F22" s="71">
        <v>0.38</v>
      </c>
      <c r="G22" s="72">
        <v>56.293394999999997</v>
      </c>
      <c r="H22" s="73">
        <v>9.3338300000000007</v>
      </c>
      <c r="I22" s="74" t="s">
        <v>176</v>
      </c>
      <c r="J22" s="75" t="s">
        <v>177</v>
      </c>
      <c r="K22" s="68" t="s">
        <v>178</v>
      </c>
      <c r="L22" s="76">
        <v>9</v>
      </c>
      <c r="M22" s="76">
        <v>24</v>
      </c>
      <c r="N22" s="76">
        <v>65</v>
      </c>
      <c r="O22" s="71"/>
      <c r="P22" s="70"/>
      <c r="Q22" s="71">
        <v>0.24</v>
      </c>
      <c r="R22" s="71"/>
      <c r="S22" s="70"/>
      <c r="T22" s="71">
        <v>5.8</v>
      </c>
      <c r="U22" s="71">
        <v>1.48</v>
      </c>
      <c r="V22" s="75" t="s">
        <v>179</v>
      </c>
      <c r="W22" s="69" t="s">
        <v>180</v>
      </c>
      <c r="X22" s="69" t="s">
        <v>198</v>
      </c>
      <c r="Y22" s="69"/>
      <c r="Z22" s="69"/>
      <c r="AA22" s="69" t="s">
        <v>182</v>
      </c>
      <c r="AB22" s="69" t="s">
        <v>183</v>
      </c>
      <c r="AC22" s="69"/>
      <c r="AD22" s="69"/>
      <c r="AE22" s="76"/>
      <c r="AF22" s="71">
        <v>5.96</v>
      </c>
      <c r="AG22" s="71">
        <v>77.39</v>
      </c>
      <c r="AH22" s="71">
        <v>4.54</v>
      </c>
      <c r="AI22" s="71">
        <v>3.66</v>
      </c>
      <c r="AJ22" s="71"/>
      <c r="AK22" s="71"/>
      <c r="AL22" s="71">
        <v>20.37</v>
      </c>
      <c r="AM22" s="71">
        <v>6.02</v>
      </c>
      <c r="AN22" s="68"/>
      <c r="AO22" s="68"/>
      <c r="AP22" s="70" t="s">
        <v>184</v>
      </c>
      <c r="AQ22" s="71">
        <v>17</v>
      </c>
      <c r="AR22" s="77" t="s">
        <v>185</v>
      </c>
      <c r="AS22" s="70" t="s">
        <v>186</v>
      </c>
      <c r="AT22" s="68"/>
      <c r="AU22" s="70"/>
      <c r="AV22" s="70"/>
      <c r="AW22" s="71"/>
      <c r="AX22" s="71"/>
      <c r="AY22" s="70" t="s">
        <v>187</v>
      </c>
      <c r="AZ22" s="76"/>
      <c r="BA22" s="76"/>
      <c r="BB22" s="76"/>
      <c r="BC22" s="78"/>
    </row>
    <row r="23" spans="1:55" x14ac:dyDescent="0.25">
      <c r="A23" s="44" t="s">
        <v>44</v>
      </c>
      <c r="B23" s="68" t="s">
        <v>52</v>
      </c>
      <c r="C23" s="68" t="s">
        <v>174</v>
      </c>
      <c r="D23" s="69" t="s">
        <v>191</v>
      </c>
      <c r="E23" s="70">
        <v>1</v>
      </c>
      <c r="F23" s="71">
        <v>0.38</v>
      </c>
      <c r="G23" s="72">
        <v>56.293394999999997</v>
      </c>
      <c r="H23" s="73">
        <v>9.3338300000000007</v>
      </c>
      <c r="I23" s="74" t="s">
        <v>176</v>
      </c>
      <c r="J23" s="75" t="s">
        <v>177</v>
      </c>
      <c r="K23" s="68" t="s">
        <v>178</v>
      </c>
      <c r="L23" s="76">
        <v>9</v>
      </c>
      <c r="M23" s="76">
        <v>24</v>
      </c>
      <c r="N23" s="76">
        <v>65</v>
      </c>
      <c r="O23" s="71"/>
      <c r="P23" s="70"/>
      <c r="Q23" s="71">
        <v>0.24</v>
      </c>
      <c r="R23" s="71"/>
      <c r="S23" s="70"/>
      <c r="T23" s="71">
        <v>5.8</v>
      </c>
      <c r="U23" s="71">
        <v>1.48</v>
      </c>
      <c r="V23" s="75" t="s">
        <v>179</v>
      </c>
      <c r="W23" s="69" t="s">
        <v>180</v>
      </c>
      <c r="X23" s="69" t="s">
        <v>198</v>
      </c>
      <c r="Y23" s="69"/>
      <c r="Z23" s="69"/>
      <c r="AA23" s="69" t="s">
        <v>182</v>
      </c>
      <c r="AB23" s="69" t="s">
        <v>183</v>
      </c>
      <c r="AC23" s="69"/>
      <c r="AD23" s="69"/>
      <c r="AE23" s="76"/>
      <c r="AF23" s="71">
        <v>6.05</v>
      </c>
      <c r="AG23" s="71">
        <v>75.209999999999994</v>
      </c>
      <c r="AH23" s="71">
        <v>5.42</v>
      </c>
      <c r="AI23" s="71">
        <v>3.6</v>
      </c>
      <c r="AJ23" s="71"/>
      <c r="AK23" s="71"/>
      <c r="AL23" s="71">
        <v>18.010000000000002</v>
      </c>
      <c r="AM23" s="71">
        <v>5.96</v>
      </c>
      <c r="AN23" s="68"/>
      <c r="AO23" s="68"/>
      <c r="AP23" s="70" t="s">
        <v>184</v>
      </c>
      <c r="AQ23" s="71">
        <v>17</v>
      </c>
      <c r="AR23" s="77" t="s">
        <v>185</v>
      </c>
      <c r="AS23" s="70" t="s">
        <v>186</v>
      </c>
      <c r="AT23" s="68"/>
      <c r="AU23" s="70"/>
      <c r="AV23" s="70"/>
      <c r="AW23" s="71"/>
      <c r="AX23" s="71"/>
      <c r="AY23" s="70" t="s">
        <v>187</v>
      </c>
      <c r="AZ23" s="76"/>
      <c r="BA23" s="76"/>
      <c r="BB23" s="76"/>
      <c r="BC23" s="78"/>
    </row>
    <row r="24" spans="1:55" x14ac:dyDescent="0.25">
      <c r="A24" s="44" t="s">
        <v>44</v>
      </c>
      <c r="B24" s="68" t="s">
        <v>52</v>
      </c>
      <c r="C24" s="68" t="s">
        <v>174</v>
      </c>
      <c r="D24" s="69" t="s">
        <v>207</v>
      </c>
      <c r="E24" s="70">
        <v>2</v>
      </c>
      <c r="F24" s="71">
        <v>0.38</v>
      </c>
      <c r="G24" s="72">
        <v>56.293394999999997</v>
      </c>
      <c r="H24" s="73">
        <v>9.3338300000000007</v>
      </c>
      <c r="I24" s="74" t="s">
        <v>176</v>
      </c>
      <c r="J24" s="75" t="s">
        <v>177</v>
      </c>
      <c r="K24" s="68" t="s">
        <v>178</v>
      </c>
      <c r="L24" s="76">
        <v>9</v>
      </c>
      <c r="M24" s="76">
        <v>24</v>
      </c>
      <c r="N24" s="76">
        <v>65</v>
      </c>
      <c r="O24" s="71"/>
      <c r="P24" s="70"/>
      <c r="Q24" s="71">
        <v>0.24</v>
      </c>
      <c r="R24" s="71"/>
      <c r="S24" s="70"/>
      <c r="T24" s="71">
        <v>5.8</v>
      </c>
      <c r="U24" s="71">
        <v>1.48</v>
      </c>
      <c r="V24" s="75" t="s">
        <v>179</v>
      </c>
      <c r="W24" s="69" t="s">
        <v>180</v>
      </c>
      <c r="X24" s="69" t="s">
        <v>198</v>
      </c>
      <c r="Y24" s="69"/>
      <c r="Z24" s="69"/>
      <c r="AA24" s="69" t="s">
        <v>182</v>
      </c>
      <c r="AB24" s="69" t="s">
        <v>183</v>
      </c>
      <c r="AC24" s="69"/>
      <c r="AD24" s="69"/>
      <c r="AE24" s="76"/>
      <c r="AF24" s="71">
        <v>6.05</v>
      </c>
      <c r="AG24" s="71">
        <v>75.209999999999994</v>
      </c>
      <c r="AH24" s="71">
        <v>5.42</v>
      </c>
      <c r="AI24" s="71">
        <v>3.6</v>
      </c>
      <c r="AJ24" s="71"/>
      <c r="AK24" s="71"/>
      <c r="AL24" s="71">
        <v>18.010000000000002</v>
      </c>
      <c r="AM24" s="80">
        <v>5.96</v>
      </c>
      <c r="AN24" s="68"/>
      <c r="AO24" s="68"/>
      <c r="AP24" s="70" t="s">
        <v>184</v>
      </c>
      <c r="AQ24" s="71">
        <v>17</v>
      </c>
      <c r="AR24" s="77" t="s">
        <v>185</v>
      </c>
      <c r="AS24" s="70" t="s">
        <v>186</v>
      </c>
      <c r="AT24" s="68"/>
      <c r="AU24" s="70"/>
      <c r="AV24" s="70"/>
      <c r="AW24" s="71"/>
      <c r="AX24" s="71"/>
      <c r="AY24" s="70" t="s">
        <v>187</v>
      </c>
      <c r="AZ24" s="76"/>
      <c r="BA24" s="76"/>
      <c r="BB24" s="76"/>
      <c r="BC24" s="78"/>
    </row>
    <row r="25" spans="1:55" x14ac:dyDescent="0.25">
      <c r="A25" s="44" t="s">
        <v>44</v>
      </c>
      <c r="B25" s="68" t="s">
        <v>52</v>
      </c>
      <c r="C25" s="68" t="s">
        <v>174</v>
      </c>
      <c r="D25" s="69" t="s">
        <v>193</v>
      </c>
      <c r="E25" s="70">
        <v>3</v>
      </c>
      <c r="F25" s="71">
        <v>0.38</v>
      </c>
      <c r="G25" s="72">
        <v>56.293394999999997</v>
      </c>
      <c r="H25" s="73">
        <v>9.3338300000000007</v>
      </c>
      <c r="I25" s="74" t="s">
        <v>176</v>
      </c>
      <c r="J25" s="75" t="s">
        <v>177</v>
      </c>
      <c r="K25" s="68" t="s">
        <v>178</v>
      </c>
      <c r="L25" s="76">
        <v>9</v>
      </c>
      <c r="M25" s="76">
        <v>24</v>
      </c>
      <c r="N25" s="76">
        <v>65</v>
      </c>
      <c r="O25" s="71"/>
      <c r="P25" s="70"/>
      <c r="Q25" s="71">
        <v>0.24</v>
      </c>
      <c r="R25" s="71"/>
      <c r="S25" s="70"/>
      <c r="T25" s="71">
        <v>5.8</v>
      </c>
      <c r="U25" s="71">
        <v>1.48</v>
      </c>
      <c r="V25" s="75" t="s">
        <v>179</v>
      </c>
      <c r="W25" s="69" t="s">
        <v>180</v>
      </c>
      <c r="X25" s="69" t="s">
        <v>198</v>
      </c>
      <c r="Y25" s="69"/>
      <c r="Z25" s="69"/>
      <c r="AA25" s="69" t="s">
        <v>182</v>
      </c>
      <c r="AB25" s="69" t="s">
        <v>183</v>
      </c>
      <c r="AC25" s="69"/>
      <c r="AD25" s="69"/>
      <c r="AE25" s="76"/>
      <c r="AF25" s="71">
        <v>6.05</v>
      </c>
      <c r="AG25" s="71">
        <v>75.209999999999994</v>
      </c>
      <c r="AH25" s="71">
        <v>5.42</v>
      </c>
      <c r="AI25" s="71">
        <v>3.6</v>
      </c>
      <c r="AJ25" s="71"/>
      <c r="AK25" s="71"/>
      <c r="AL25" s="71">
        <v>18.010000000000002</v>
      </c>
      <c r="AM25" s="71">
        <v>5.96</v>
      </c>
      <c r="AN25" s="68"/>
      <c r="AO25" s="68"/>
      <c r="AP25" s="70" t="s">
        <v>184</v>
      </c>
      <c r="AQ25" s="71">
        <v>17</v>
      </c>
      <c r="AR25" s="77" t="s">
        <v>185</v>
      </c>
      <c r="AS25" s="70" t="s">
        <v>186</v>
      </c>
      <c r="AT25" s="68"/>
      <c r="AU25" s="70"/>
      <c r="AV25" s="70"/>
      <c r="AW25" s="71"/>
      <c r="AX25" s="71"/>
      <c r="AY25" s="70" t="s">
        <v>187</v>
      </c>
      <c r="AZ25" s="76"/>
      <c r="BA25" s="76"/>
      <c r="BB25" s="76"/>
      <c r="BC25" s="78"/>
    </row>
    <row r="26" spans="1:55" x14ac:dyDescent="0.25">
      <c r="A26" s="44" t="s">
        <v>44</v>
      </c>
      <c r="B26" s="68" t="s">
        <v>52</v>
      </c>
      <c r="C26" s="68" t="s">
        <v>174</v>
      </c>
      <c r="D26" s="69" t="s">
        <v>208</v>
      </c>
      <c r="E26" s="70">
        <v>1</v>
      </c>
      <c r="F26" s="71">
        <v>0.38</v>
      </c>
      <c r="G26" s="72">
        <v>56.293394999999997</v>
      </c>
      <c r="H26" s="73">
        <v>9.3338300000000007</v>
      </c>
      <c r="I26" s="74" t="s">
        <v>176</v>
      </c>
      <c r="J26" s="75" t="s">
        <v>177</v>
      </c>
      <c r="K26" s="68" t="s">
        <v>178</v>
      </c>
      <c r="L26" s="76">
        <v>9</v>
      </c>
      <c r="M26" s="76">
        <v>24</v>
      </c>
      <c r="N26" s="76">
        <v>65</v>
      </c>
      <c r="O26" s="71"/>
      <c r="P26" s="70"/>
      <c r="Q26" s="71">
        <v>0.24</v>
      </c>
      <c r="R26" s="71"/>
      <c r="S26" s="70"/>
      <c r="T26" s="71">
        <v>5.8</v>
      </c>
      <c r="U26" s="71">
        <v>1.48</v>
      </c>
      <c r="V26" s="75" t="s">
        <v>179</v>
      </c>
      <c r="W26" s="69" t="s">
        <v>180</v>
      </c>
      <c r="X26" s="69" t="s">
        <v>198</v>
      </c>
      <c r="Y26" s="69"/>
      <c r="Z26" s="69"/>
      <c r="AA26" s="69" t="s">
        <v>182</v>
      </c>
      <c r="AB26" s="69" t="s">
        <v>186</v>
      </c>
      <c r="AC26" s="69"/>
      <c r="AD26" s="69"/>
      <c r="AE26" s="76"/>
      <c r="AF26" s="71">
        <v>5.96</v>
      </c>
      <c r="AG26" s="71">
        <v>77.53</v>
      </c>
      <c r="AH26" s="71">
        <v>4.87</v>
      </c>
      <c r="AI26" s="71">
        <v>3.68</v>
      </c>
      <c r="AJ26" s="71"/>
      <c r="AK26" s="71"/>
      <c r="AL26" s="71">
        <v>18.23</v>
      </c>
      <c r="AM26" s="71">
        <v>6.51</v>
      </c>
      <c r="AN26" s="68"/>
      <c r="AO26" s="68"/>
      <c r="AP26" s="70" t="s">
        <v>184</v>
      </c>
      <c r="AQ26" s="71">
        <v>17</v>
      </c>
      <c r="AR26" s="77" t="s">
        <v>185</v>
      </c>
      <c r="AS26" s="70" t="s">
        <v>186</v>
      </c>
      <c r="AT26" s="68"/>
      <c r="AU26" s="70"/>
      <c r="AV26" s="70"/>
      <c r="AW26" s="71"/>
      <c r="AX26" s="71"/>
      <c r="AY26" s="70" t="s">
        <v>187</v>
      </c>
      <c r="AZ26" s="76"/>
      <c r="BA26" s="76"/>
      <c r="BB26" s="76"/>
      <c r="BC26" s="78"/>
    </row>
    <row r="27" spans="1:55" x14ac:dyDescent="0.25">
      <c r="A27" s="44" t="s">
        <v>44</v>
      </c>
      <c r="B27" s="68" t="s">
        <v>52</v>
      </c>
      <c r="C27" s="68" t="s">
        <v>174</v>
      </c>
      <c r="D27" s="69" t="s">
        <v>209</v>
      </c>
      <c r="E27" s="70">
        <v>2</v>
      </c>
      <c r="F27" s="71">
        <v>0.38</v>
      </c>
      <c r="G27" s="72">
        <v>56.293394999999997</v>
      </c>
      <c r="H27" s="73">
        <v>9.3338300000000007</v>
      </c>
      <c r="I27" s="74" t="s">
        <v>176</v>
      </c>
      <c r="J27" s="75" t="s">
        <v>177</v>
      </c>
      <c r="K27" s="68" t="s">
        <v>178</v>
      </c>
      <c r="L27" s="76">
        <v>9</v>
      </c>
      <c r="M27" s="76">
        <v>24</v>
      </c>
      <c r="N27" s="76">
        <v>65</v>
      </c>
      <c r="O27" s="71"/>
      <c r="P27" s="70"/>
      <c r="Q27" s="71">
        <v>0.24</v>
      </c>
      <c r="R27" s="71"/>
      <c r="S27" s="70"/>
      <c r="T27" s="71">
        <v>5.8</v>
      </c>
      <c r="U27" s="71">
        <v>1.48</v>
      </c>
      <c r="V27" s="75" t="s">
        <v>179</v>
      </c>
      <c r="W27" s="69" t="s">
        <v>180</v>
      </c>
      <c r="X27" s="69" t="s">
        <v>198</v>
      </c>
      <c r="Y27" s="69"/>
      <c r="Z27" s="69"/>
      <c r="AA27" s="69" t="s">
        <v>182</v>
      </c>
      <c r="AB27" s="69" t="s">
        <v>186</v>
      </c>
      <c r="AC27" s="69"/>
      <c r="AD27" s="69"/>
      <c r="AE27" s="76"/>
      <c r="AF27" s="71">
        <v>5.96</v>
      </c>
      <c r="AG27" s="71">
        <v>77.53</v>
      </c>
      <c r="AH27" s="71">
        <v>4.87</v>
      </c>
      <c r="AI27" s="71">
        <v>3.68</v>
      </c>
      <c r="AJ27" s="71"/>
      <c r="AK27" s="71"/>
      <c r="AL27" s="71">
        <v>18.23</v>
      </c>
      <c r="AM27" s="71">
        <v>6.51</v>
      </c>
      <c r="AN27" s="68"/>
      <c r="AO27" s="68"/>
      <c r="AP27" s="70" t="s">
        <v>184</v>
      </c>
      <c r="AQ27" s="71">
        <v>17</v>
      </c>
      <c r="AR27" s="77" t="s">
        <v>185</v>
      </c>
      <c r="AS27" s="70" t="s">
        <v>186</v>
      </c>
      <c r="AT27" s="68"/>
      <c r="AU27" s="70"/>
      <c r="AV27" s="70"/>
      <c r="AW27" s="71"/>
      <c r="AX27" s="71"/>
      <c r="AY27" s="70" t="s">
        <v>187</v>
      </c>
      <c r="AZ27" s="76"/>
      <c r="BA27" s="76"/>
      <c r="BB27" s="76"/>
      <c r="BC27" s="78"/>
    </row>
    <row r="28" spans="1:55" x14ac:dyDescent="0.25">
      <c r="A28" s="44" t="s">
        <v>44</v>
      </c>
      <c r="B28" s="68" t="s">
        <v>52</v>
      </c>
      <c r="C28" s="68" t="s">
        <v>174</v>
      </c>
      <c r="D28" s="69" t="s">
        <v>196</v>
      </c>
      <c r="E28" s="70">
        <v>3</v>
      </c>
      <c r="F28" s="71">
        <v>0.38</v>
      </c>
      <c r="G28" s="72">
        <v>56.293394999999997</v>
      </c>
      <c r="H28" s="73">
        <v>9.3338300000000007</v>
      </c>
      <c r="I28" s="74" t="s">
        <v>176</v>
      </c>
      <c r="J28" s="75" t="s">
        <v>177</v>
      </c>
      <c r="K28" s="68" t="s">
        <v>178</v>
      </c>
      <c r="L28" s="76">
        <v>9</v>
      </c>
      <c r="M28" s="76">
        <v>24</v>
      </c>
      <c r="N28" s="76">
        <v>65</v>
      </c>
      <c r="O28" s="71"/>
      <c r="P28" s="70"/>
      <c r="Q28" s="71">
        <v>0.24</v>
      </c>
      <c r="R28" s="71"/>
      <c r="S28" s="70"/>
      <c r="T28" s="71">
        <v>5.8</v>
      </c>
      <c r="U28" s="71">
        <v>1.48</v>
      </c>
      <c r="V28" s="75" t="s">
        <v>179</v>
      </c>
      <c r="W28" s="69" t="s">
        <v>180</v>
      </c>
      <c r="X28" s="69" t="s">
        <v>198</v>
      </c>
      <c r="Y28" s="69"/>
      <c r="Z28" s="69"/>
      <c r="AA28" s="69" t="s">
        <v>182</v>
      </c>
      <c r="AB28" s="69" t="s">
        <v>186</v>
      </c>
      <c r="AC28" s="69"/>
      <c r="AD28" s="69"/>
      <c r="AE28" s="76"/>
      <c r="AF28" s="71">
        <v>5.96</v>
      </c>
      <c r="AG28" s="71">
        <v>77.53</v>
      </c>
      <c r="AH28" s="71">
        <v>4.7</v>
      </c>
      <c r="AI28" s="71">
        <v>3.68</v>
      </c>
      <c r="AJ28" s="71"/>
      <c r="AK28" s="71"/>
      <c r="AL28" s="71">
        <v>18.23</v>
      </c>
      <c r="AM28" s="71">
        <v>6.51</v>
      </c>
      <c r="AN28" s="68"/>
      <c r="AO28" s="68"/>
      <c r="AP28" s="70" t="s">
        <v>184</v>
      </c>
      <c r="AQ28" s="71">
        <v>17</v>
      </c>
      <c r="AR28" s="77" t="s">
        <v>185</v>
      </c>
      <c r="AS28" s="70" t="s">
        <v>186</v>
      </c>
      <c r="AT28" s="68"/>
      <c r="AU28" s="70"/>
      <c r="AV28" s="70"/>
      <c r="AW28" s="71"/>
      <c r="AX28" s="71"/>
      <c r="AY28" s="70" t="s">
        <v>187</v>
      </c>
      <c r="AZ28" s="76"/>
      <c r="BA28" s="76"/>
      <c r="BB28" s="76"/>
      <c r="BC28" s="78"/>
    </row>
    <row r="29" spans="1:55" x14ac:dyDescent="0.25">
      <c r="A29" s="68"/>
      <c r="B29" s="68"/>
      <c r="C29" s="68"/>
      <c r="D29" s="70"/>
      <c r="E29" s="70"/>
      <c r="F29" s="70"/>
      <c r="G29" s="72"/>
      <c r="H29" s="74"/>
      <c r="I29" s="74"/>
      <c r="J29" s="75"/>
      <c r="K29" s="81"/>
      <c r="L29" s="76"/>
      <c r="M29" s="76"/>
      <c r="N29" s="76"/>
      <c r="O29" s="71"/>
      <c r="P29" s="70"/>
      <c r="Q29" s="71"/>
      <c r="R29" s="71"/>
      <c r="S29" s="70"/>
      <c r="T29" s="71"/>
      <c r="U29" s="71"/>
      <c r="V29" s="75"/>
      <c r="W29" s="69"/>
      <c r="X29" s="69"/>
      <c r="Y29" s="69"/>
      <c r="Z29" s="69"/>
      <c r="AA29" s="69"/>
      <c r="AB29" s="69"/>
      <c r="AC29" s="69"/>
      <c r="AD29" s="69"/>
      <c r="AE29" s="76"/>
      <c r="AF29" s="71"/>
      <c r="AG29" s="71"/>
      <c r="AH29" s="71"/>
      <c r="AI29" s="71"/>
      <c r="AJ29" s="71"/>
      <c r="AK29" s="71"/>
      <c r="AL29" s="71"/>
      <c r="AM29" s="71"/>
      <c r="AN29" s="68"/>
      <c r="AO29" s="68"/>
      <c r="AP29" s="70"/>
      <c r="AQ29" s="71"/>
      <c r="AR29" s="77"/>
      <c r="AS29" s="70"/>
      <c r="AT29" s="68"/>
      <c r="AU29" s="70"/>
      <c r="AV29" s="70"/>
      <c r="AW29" s="71"/>
      <c r="AX29" s="71"/>
      <c r="AY29" s="70"/>
      <c r="AZ29" s="76"/>
      <c r="BA29" s="76"/>
      <c r="BB29" s="76"/>
      <c r="BC29" s="78"/>
    </row>
    <row r="30" spans="1:55" x14ac:dyDescent="0.25">
      <c r="A30" s="68"/>
      <c r="B30" s="68"/>
      <c r="C30" s="68"/>
      <c r="D30" s="70"/>
      <c r="E30" s="70"/>
      <c r="F30" s="70"/>
      <c r="G30" s="72"/>
      <c r="H30" s="74"/>
      <c r="I30" s="74"/>
      <c r="J30" s="75"/>
      <c r="K30" s="81"/>
      <c r="L30" s="76"/>
      <c r="M30" s="76"/>
      <c r="N30" s="76"/>
      <c r="O30" s="71"/>
      <c r="P30" s="70"/>
      <c r="Q30" s="71"/>
      <c r="R30" s="71"/>
      <c r="S30" s="70"/>
      <c r="T30" s="71"/>
      <c r="U30" s="71"/>
      <c r="V30" s="75"/>
      <c r="W30" s="69"/>
      <c r="X30" s="69"/>
      <c r="Y30" s="69"/>
      <c r="Z30" s="69"/>
      <c r="AA30" s="69"/>
      <c r="AB30" s="69"/>
      <c r="AC30" s="69"/>
      <c r="AD30" s="69"/>
      <c r="AE30" s="76"/>
      <c r="AF30" s="71"/>
      <c r="AG30" s="71"/>
      <c r="AH30" s="71"/>
      <c r="AI30" s="71"/>
      <c r="AJ30" s="71"/>
      <c r="AK30" s="71"/>
      <c r="AL30" s="71"/>
      <c r="AM30" s="71"/>
      <c r="AN30" s="68"/>
      <c r="AO30" s="68"/>
      <c r="AP30" s="70"/>
      <c r="AQ30" s="71"/>
      <c r="AR30" s="77"/>
      <c r="AS30" s="70"/>
      <c r="AT30" s="68"/>
      <c r="AU30" s="70"/>
      <c r="AV30" s="70"/>
      <c r="AW30" s="71"/>
      <c r="AX30" s="71"/>
      <c r="AY30" s="70"/>
      <c r="AZ30" s="76"/>
      <c r="BA30" s="76"/>
      <c r="BB30" s="76"/>
      <c r="BC30" s="78"/>
    </row>
    <row r="31" spans="1:55" x14ac:dyDescent="0.25">
      <c r="A31" s="68"/>
      <c r="B31" s="68"/>
      <c r="C31" s="68"/>
      <c r="D31" s="70"/>
      <c r="E31" s="70"/>
      <c r="F31" s="70"/>
      <c r="G31" s="72"/>
      <c r="H31" s="74"/>
      <c r="I31" s="74"/>
      <c r="J31" s="75"/>
      <c r="K31" s="81"/>
      <c r="L31" s="76"/>
      <c r="M31" s="76"/>
      <c r="N31" s="76"/>
      <c r="O31" s="71"/>
      <c r="P31" s="70"/>
      <c r="Q31" s="71"/>
      <c r="R31" s="71"/>
      <c r="S31" s="70"/>
      <c r="T31" s="71"/>
      <c r="U31" s="71"/>
      <c r="V31" s="75"/>
      <c r="W31" s="69"/>
      <c r="X31" s="69"/>
      <c r="Y31" s="69"/>
      <c r="Z31" s="69"/>
      <c r="AA31" s="69"/>
      <c r="AB31" s="69"/>
      <c r="AC31" s="69"/>
      <c r="AD31" s="69"/>
      <c r="AE31" s="76"/>
      <c r="AF31" s="71"/>
      <c r="AG31" s="71"/>
      <c r="AH31" s="71"/>
      <c r="AI31" s="71"/>
      <c r="AJ31" s="71"/>
      <c r="AK31" s="71"/>
      <c r="AL31" s="71"/>
      <c r="AM31" s="71"/>
      <c r="AN31" s="68"/>
      <c r="AO31" s="68"/>
      <c r="AP31" s="70"/>
      <c r="AQ31" s="71"/>
      <c r="AR31" s="77"/>
      <c r="AS31" s="70"/>
      <c r="AT31" s="68"/>
      <c r="AU31" s="70"/>
      <c r="AV31" s="70"/>
      <c r="AW31" s="71"/>
      <c r="AX31" s="71"/>
      <c r="AY31" s="70"/>
      <c r="AZ31" s="76"/>
      <c r="BA31" s="76"/>
      <c r="BB31" s="76"/>
      <c r="BC31" s="78"/>
    </row>
    <row r="32" spans="1:55" x14ac:dyDescent="0.25">
      <c r="A32" s="68"/>
      <c r="B32" s="68"/>
      <c r="C32" s="68"/>
      <c r="D32" s="70"/>
      <c r="E32" s="70"/>
      <c r="F32" s="70"/>
      <c r="G32" s="72"/>
      <c r="H32" s="74"/>
      <c r="I32" s="74"/>
      <c r="J32" s="75"/>
      <c r="K32" s="81"/>
      <c r="L32" s="76"/>
      <c r="M32" s="76"/>
      <c r="N32" s="76"/>
      <c r="O32" s="71"/>
      <c r="P32" s="70"/>
      <c r="Q32" s="71"/>
      <c r="R32" s="71"/>
      <c r="S32" s="70"/>
      <c r="T32" s="71"/>
      <c r="U32" s="71"/>
      <c r="V32" s="75"/>
      <c r="W32" s="69"/>
      <c r="X32" s="69"/>
      <c r="Y32" s="69"/>
      <c r="Z32" s="69"/>
      <c r="AA32" s="69"/>
      <c r="AB32" s="69"/>
      <c r="AC32" s="69"/>
      <c r="AD32" s="69"/>
      <c r="AE32" s="76"/>
      <c r="AF32" s="71"/>
      <c r="AG32" s="71"/>
      <c r="AH32" s="71"/>
      <c r="AI32" s="71"/>
      <c r="AJ32" s="71"/>
      <c r="AK32" s="71"/>
      <c r="AL32" s="71"/>
      <c r="AM32" s="71"/>
      <c r="AN32" s="68"/>
      <c r="AO32" s="68"/>
      <c r="AP32" s="70"/>
      <c r="AQ32" s="71"/>
      <c r="AR32" s="77"/>
      <c r="AS32" s="70"/>
      <c r="AT32" s="68"/>
      <c r="AU32" s="70"/>
      <c r="AV32" s="70"/>
      <c r="AW32" s="71"/>
      <c r="AX32" s="71"/>
      <c r="AY32" s="70"/>
      <c r="AZ32" s="76"/>
      <c r="BA32" s="76"/>
      <c r="BB32" s="76"/>
      <c r="BC32" s="78"/>
    </row>
    <row r="33" spans="1:55" x14ac:dyDescent="0.25">
      <c r="A33" s="68"/>
      <c r="B33" s="68"/>
      <c r="C33" s="68"/>
      <c r="D33" s="70"/>
      <c r="E33" s="70"/>
      <c r="F33" s="70"/>
      <c r="G33" s="72"/>
      <c r="H33" s="74"/>
      <c r="I33" s="74"/>
      <c r="J33" s="75"/>
      <c r="K33" s="81"/>
      <c r="L33" s="76"/>
      <c r="M33" s="76"/>
      <c r="N33" s="76"/>
      <c r="O33" s="71"/>
      <c r="P33" s="70"/>
      <c r="Q33" s="71"/>
      <c r="R33" s="71"/>
      <c r="S33" s="70"/>
      <c r="T33" s="71"/>
      <c r="U33" s="71"/>
      <c r="V33" s="75"/>
      <c r="W33" s="69"/>
      <c r="X33" s="69"/>
      <c r="Y33" s="69"/>
      <c r="Z33" s="69"/>
      <c r="AA33" s="69"/>
      <c r="AB33" s="69"/>
      <c r="AC33" s="69"/>
      <c r="AD33" s="69"/>
      <c r="AE33" s="76"/>
      <c r="AF33" s="71"/>
      <c r="AG33" s="71"/>
      <c r="AH33" s="71"/>
      <c r="AI33" s="71"/>
      <c r="AJ33" s="71"/>
      <c r="AK33" s="71"/>
      <c r="AL33" s="71"/>
      <c r="AM33" s="71"/>
      <c r="AN33" s="68"/>
      <c r="AO33" s="68"/>
      <c r="AP33" s="70"/>
      <c r="AQ33" s="71"/>
      <c r="AR33" s="77"/>
      <c r="AS33" s="70"/>
      <c r="AT33" s="68"/>
      <c r="AU33" s="70"/>
      <c r="AV33" s="70"/>
      <c r="AW33" s="71"/>
      <c r="AX33" s="71"/>
      <c r="AY33" s="70"/>
      <c r="AZ33" s="76"/>
      <c r="BA33" s="76"/>
      <c r="BB33" s="76"/>
      <c r="BC33" s="78"/>
    </row>
    <row r="34" spans="1:55" x14ac:dyDescent="0.25">
      <c r="A34" s="68"/>
      <c r="B34" s="68"/>
      <c r="C34" s="68"/>
      <c r="D34" s="70"/>
      <c r="E34" s="70"/>
      <c r="F34" s="70"/>
      <c r="G34" s="72"/>
      <c r="H34" s="74"/>
      <c r="I34" s="74"/>
      <c r="J34" s="75"/>
      <c r="K34" s="81"/>
      <c r="L34" s="76"/>
      <c r="M34" s="76"/>
      <c r="N34" s="76"/>
      <c r="O34" s="71"/>
      <c r="P34" s="70"/>
      <c r="Q34" s="71"/>
      <c r="R34" s="71"/>
      <c r="S34" s="70"/>
      <c r="T34" s="71"/>
      <c r="U34" s="71"/>
      <c r="V34" s="75"/>
      <c r="W34" s="69"/>
      <c r="X34" s="69"/>
      <c r="Y34" s="69"/>
      <c r="Z34" s="69"/>
      <c r="AA34" s="69"/>
      <c r="AB34" s="69"/>
      <c r="AC34" s="69"/>
      <c r="AD34" s="69"/>
      <c r="AE34" s="76"/>
      <c r="AF34" s="71"/>
      <c r="AG34" s="71"/>
      <c r="AH34" s="71"/>
      <c r="AI34" s="71"/>
      <c r="AJ34" s="71"/>
      <c r="AK34" s="71"/>
      <c r="AL34" s="71"/>
      <c r="AM34" s="71"/>
      <c r="AN34" s="68"/>
      <c r="AO34" s="68"/>
      <c r="AP34" s="70"/>
      <c r="AQ34" s="71"/>
      <c r="AR34" s="77"/>
      <c r="AS34" s="70"/>
      <c r="AT34" s="68"/>
      <c r="AU34" s="70"/>
      <c r="AV34" s="70"/>
      <c r="AW34" s="71"/>
      <c r="AX34" s="71"/>
      <c r="AY34" s="70"/>
      <c r="AZ34" s="76"/>
      <c r="BA34" s="76"/>
      <c r="BB34" s="76"/>
      <c r="BC34" s="78"/>
    </row>
    <row r="35" spans="1:55" x14ac:dyDescent="0.25">
      <c r="A35" s="68"/>
      <c r="B35" s="68"/>
      <c r="C35" s="68"/>
      <c r="D35" s="70"/>
      <c r="E35" s="70"/>
      <c r="F35" s="70"/>
      <c r="G35" s="72"/>
      <c r="H35" s="74"/>
      <c r="I35" s="74"/>
      <c r="J35" s="75"/>
      <c r="K35" s="81"/>
      <c r="L35" s="76"/>
      <c r="M35" s="76"/>
      <c r="N35" s="76"/>
      <c r="O35" s="71"/>
      <c r="P35" s="70"/>
      <c r="Q35" s="71"/>
      <c r="R35" s="71"/>
      <c r="S35" s="70"/>
      <c r="T35" s="71"/>
      <c r="U35" s="71"/>
      <c r="V35" s="75"/>
      <c r="W35" s="69"/>
      <c r="X35" s="69"/>
      <c r="Y35" s="69"/>
      <c r="Z35" s="69"/>
      <c r="AA35" s="69"/>
      <c r="AB35" s="69"/>
      <c r="AC35" s="69"/>
      <c r="AD35" s="69"/>
      <c r="AE35" s="76"/>
      <c r="AF35" s="71"/>
      <c r="AG35" s="71"/>
      <c r="AH35" s="71"/>
      <c r="AI35" s="71"/>
      <c r="AJ35" s="71"/>
      <c r="AK35" s="71"/>
      <c r="AL35" s="71"/>
      <c r="AM35" s="71"/>
      <c r="AN35" s="68"/>
      <c r="AO35" s="68"/>
      <c r="AP35" s="70"/>
      <c r="AQ35" s="71"/>
      <c r="AR35" s="77"/>
      <c r="AS35" s="70"/>
      <c r="AT35" s="68"/>
      <c r="AU35" s="70"/>
      <c r="AV35" s="70"/>
      <c r="AW35" s="71"/>
      <c r="AX35" s="71"/>
      <c r="AY35" s="70"/>
      <c r="AZ35" s="76"/>
      <c r="BA35" s="76"/>
      <c r="BB35" s="76"/>
      <c r="BC35" s="78"/>
    </row>
    <row r="36" spans="1:55" x14ac:dyDescent="0.25">
      <c r="A36" s="68"/>
      <c r="B36" s="68"/>
      <c r="C36" s="68"/>
      <c r="D36" s="70"/>
      <c r="E36" s="70"/>
      <c r="F36" s="70"/>
      <c r="G36" s="72"/>
      <c r="H36" s="74"/>
      <c r="I36" s="74"/>
      <c r="J36" s="75"/>
      <c r="K36" s="81"/>
      <c r="L36" s="76"/>
      <c r="M36" s="76"/>
      <c r="N36" s="76"/>
      <c r="O36" s="71"/>
      <c r="P36" s="70"/>
      <c r="Q36" s="71"/>
      <c r="R36" s="71"/>
      <c r="S36" s="70"/>
      <c r="T36" s="71"/>
      <c r="U36" s="71"/>
      <c r="V36" s="75"/>
      <c r="W36" s="69"/>
      <c r="X36" s="69"/>
      <c r="Y36" s="69"/>
      <c r="Z36" s="69"/>
      <c r="AA36" s="69"/>
      <c r="AB36" s="69"/>
      <c r="AC36" s="69"/>
      <c r="AD36" s="69"/>
      <c r="AE36" s="76"/>
      <c r="AF36" s="71"/>
      <c r="AG36" s="71"/>
      <c r="AH36" s="71"/>
      <c r="AI36" s="71"/>
      <c r="AJ36" s="71"/>
      <c r="AK36" s="71"/>
      <c r="AL36" s="71"/>
      <c r="AM36" s="71"/>
      <c r="AN36" s="68"/>
      <c r="AO36" s="68"/>
      <c r="AP36" s="70"/>
      <c r="AQ36" s="71"/>
      <c r="AR36" s="77"/>
      <c r="AS36" s="70"/>
      <c r="AT36" s="68"/>
      <c r="AU36" s="70"/>
      <c r="AV36" s="70"/>
      <c r="AW36" s="71"/>
      <c r="AX36" s="71"/>
      <c r="AY36" s="70"/>
      <c r="AZ36" s="76"/>
      <c r="BA36" s="76"/>
      <c r="BB36" s="76"/>
      <c r="BC36" s="78"/>
    </row>
    <row r="37" spans="1:55" x14ac:dyDescent="0.25">
      <c r="A37" s="68"/>
      <c r="B37" s="68"/>
      <c r="C37" s="68"/>
      <c r="D37" s="70"/>
      <c r="E37" s="70"/>
      <c r="F37" s="70"/>
      <c r="G37" s="72"/>
      <c r="H37" s="74"/>
      <c r="I37" s="74"/>
      <c r="J37" s="75"/>
      <c r="K37" s="81"/>
      <c r="L37" s="76"/>
      <c r="M37" s="76"/>
      <c r="N37" s="76"/>
      <c r="O37" s="71"/>
      <c r="P37" s="70"/>
      <c r="Q37" s="71"/>
      <c r="R37" s="71"/>
      <c r="S37" s="70"/>
      <c r="T37" s="71"/>
      <c r="U37" s="71"/>
      <c r="V37" s="75"/>
      <c r="W37" s="69"/>
      <c r="X37" s="69"/>
      <c r="Y37" s="69"/>
      <c r="Z37" s="69"/>
      <c r="AA37" s="69"/>
      <c r="AB37" s="69"/>
      <c r="AC37" s="69"/>
      <c r="AD37" s="69"/>
      <c r="AE37" s="76"/>
      <c r="AF37" s="71"/>
      <c r="AG37" s="71"/>
      <c r="AH37" s="71"/>
      <c r="AI37" s="71"/>
      <c r="AJ37" s="71"/>
      <c r="AK37" s="71"/>
      <c r="AL37" s="71"/>
      <c r="AM37" s="71"/>
      <c r="AN37" s="68"/>
      <c r="AO37" s="68"/>
      <c r="AP37" s="70"/>
      <c r="AQ37" s="71"/>
      <c r="AR37" s="77"/>
      <c r="AS37" s="70"/>
      <c r="AT37" s="68"/>
      <c r="AU37" s="70"/>
      <c r="AV37" s="70"/>
      <c r="AW37" s="71"/>
      <c r="AX37" s="71"/>
      <c r="AY37" s="70"/>
      <c r="AZ37" s="76"/>
      <c r="BA37" s="76"/>
      <c r="BB37" s="76"/>
      <c r="BC37" s="78"/>
    </row>
    <row r="38" spans="1:55" x14ac:dyDescent="0.25">
      <c r="A38" s="68"/>
      <c r="B38" s="68"/>
      <c r="C38" s="68"/>
      <c r="D38" s="70"/>
      <c r="E38" s="70"/>
      <c r="F38" s="70"/>
      <c r="G38" s="72"/>
      <c r="H38" s="74"/>
      <c r="I38" s="74"/>
      <c r="J38" s="75"/>
      <c r="K38" s="81"/>
      <c r="L38" s="76"/>
      <c r="M38" s="76"/>
      <c r="N38" s="76"/>
      <c r="O38" s="71"/>
      <c r="P38" s="70"/>
      <c r="Q38" s="71"/>
      <c r="R38" s="71"/>
      <c r="S38" s="70"/>
      <c r="T38" s="71"/>
      <c r="U38" s="71"/>
      <c r="V38" s="75"/>
      <c r="W38" s="69"/>
      <c r="X38" s="69"/>
      <c r="Y38" s="69"/>
      <c r="Z38" s="69"/>
      <c r="AA38" s="69"/>
      <c r="AB38" s="69"/>
      <c r="AC38" s="69"/>
      <c r="AD38" s="69"/>
      <c r="AE38" s="76"/>
      <c r="AF38" s="71"/>
      <c r="AG38" s="71"/>
      <c r="AH38" s="71"/>
      <c r="AI38" s="71"/>
      <c r="AJ38" s="71"/>
      <c r="AK38" s="71"/>
      <c r="AL38" s="71"/>
      <c r="AM38" s="71"/>
      <c r="AN38" s="68"/>
      <c r="AO38" s="68"/>
      <c r="AP38" s="70"/>
      <c r="AQ38" s="71"/>
      <c r="AR38" s="77"/>
      <c r="AS38" s="70"/>
      <c r="AT38" s="68"/>
      <c r="AU38" s="70"/>
      <c r="AV38" s="70"/>
      <c r="AW38" s="71"/>
      <c r="AX38" s="71"/>
      <c r="AY38" s="70"/>
      <c r="AZ38" s="76"/>
      <c r="BA38" s="76"/>
      <c r="BB38" s="76"/>
      <c r="BC38" s="78"/>
    </row>
    <row r="39" spans="1:55" x14ac:dyDescent="0.25">
      <c r="A39" s="68"/>
      <c r="B39" s="68"/>
      <c r="C39" s="68"/>
      <c r="D39" s="70"/>
      <c r="E39" s="70"/>
      <c r="F39" s="70"/>
      <c r="G39" s="72"/>
      <c r="H39" s="74"/>
      <c r="I39" s="74"/>
      <c r="J39" s="75"/>
      <c r="K39" s="81"/>
      <c r="L39" s="76"/>
      <c r="M39" s="76"/>
      <c r="N39" s="76"/>
      <c r="O39" s="71"/>
      <c r="P39" s="70"/>
      <c r="Q39" s="71"/>
      <c r="R39" s="71"/>
      <c r="S39" s="70"/>
      <c r="T39" s="71"/>
      <c r="U39" s="71"/>
      <c r="V39" s="75"/>
      <c r="W39" s="69"/>
      <c r="X39" s="69"/>
      <c r="Y39" s="69"/>
      <c r="Z39" s="69"/>
      <c r="AA39" s="69"/>
      <c r="AB39" s="69"/>
      <c r="AC39" s="69"/>
      <c r="AD39" s="69"/>
      <c r="AE39" s="76"/>
      <c r="AF39" s="71"/>
      <c r="AG39" s="71"/>
      <c r="AH39" s="71"/>
      <c r="AI39" s="71"/>
      <c r="AJ39" s="71"/>
      <c r="AK39" s="71"/>
      <c r="AL39" s="71"/>
      <c r="AM39" s="71"/>
      <c r="AN39" s="68"/>
      <c r="AO39" s="68"/>
      <c r="AP39" s="70"/>
      <c r="AQ39" s="71"/>
      <c r="AR39" s="77"/>
      <c r="AS39" s="70"/>
      <c r="AT39" s="68"/>
      <c r="AU39" s="70"/>
      <c r="AV39" s="70"/>
      <c r="AW39" s="71"/>
      <c r="AX39" s="71"/>
      <c r="AY39" s="70"/>
      <c r="AZ39" s="76"/>
      <c r="BA39" s="76"/>
      <c r="BB39" s="76"/>
      <c r="BC39" s="78"/>
    </row>
    <row r="40" spans="1:55" x14ac:dyDescent="0.25">
      <c r="A40" s="68"/>
      <c r="B40" s="68"/>
      <c r="C40" s="68"/>
      <c r="D40" s="70"/>
      <c r="E40" s="70"/>
      <c r="F40" s="70"/>
      <c r="G40" s="72"/>
      <c r="H40" s="74"/>
      <c r="I40" s="74"/>
      <c r="J40" s="75"/>
      <c r="K40" s="81"/>
      <c r="L40" s="76"/>
      <c r="M40" s="76"/>
      <c r="N40" s="76"/>
      <c r="O40" s="71"/>
      <c r="P40" s="70"/>
      <c r="Q40" s="71"/>
      <c r="R40" s="71"/>
      <c r="S40" s="70"/>
      <c r="T40" s="71"/>
      <c r="U40" s="71"/>
      <c r="V40" s="75"/>
      <c r="W40" s="69"/>
      <c r="X40" s="69"/>
      <c r="Y40" s="69"/>
      <c r="Z40" s="69"/>
      <c r="AA40" s="69"/>
      <c r="AB40" s="69"/>
      <c r="AC40" s="69"/>
      <c r="AD40" s="69"/>
      <c r="AE40" s="76"/>
      <c r="AF40" s="71"/>
      <c r="AG40" s="71"/>
      <c r="AH40" s="71"/>
      <c r="AI40" s="71"/>
      <c r="AJ40" s="71"/>
      <c r="AK40" s="71"/>
      <c r="AL40" s="71"/>
      <c r="AM40" s="71"/>
      <c r="AN40" s="68"/>
      <c r="AO40" s="68"/>
      <c r="AP40" s="70"/>
      <c r="AQ40" s="71"/>
      <c r="AR40" s="77"/>
      <c r="AS40" s="70"/>
      <c r="AT40" s="68"/>
      <c r="AU40" s="70"/>
      <c r="AV40" s="70"/>
      <c r="AW40" s="71"/>
      <c r="AX40" s="71"/>
      <c r="AY40" s="70"/>
      <c r="AZ40" s="76"/>
      <c r="BA40" s="76"/>
      <c r="BB40" s="76"/>
      <c r="BC40" s="78"/>
    </row>
    <row r="41" spans="1:55" x14ac:dyDescent="0.25">
      <c r="A41" s="68"/>
      <c r="B41" s="68"/>
      <c r="C41" s="68"/>
      <c r="D41" s="70"/>
      <c r="E41" s="70"/>
      <c r="F41" s="70"/>
      <c r="G41" s="72"/>
      <c r="H41" s="74"/>
      <c r="I41" s="74"/>
      <c r="J41" s="75"/>
      <c r="K41" s="81"/>
      <c r="L41" s="76"/>
      <c r="M41" s="76"/>
      <c r="N41" s="76"/>
      <c r="O41" s="71"/>
      <c r="P41" s="70"/>
      <c r="Q41" s="71"/>
      <c r="R41" s="71"/>
      <c r="S41" s="70"/>
      <c r="T41" s="71"/>
      <c r="U41" s="71"/>
      <c r="V41" s="75"/>
      <c r="W41" s="69"/>
      <c r="X41" s="69"/>
      <c r="Y41" s="69"/>
      <c r="Z41" s="69"/>
      <c r="AA41" s="69"/>
      <c r="AB41" s="69"/>
      <c r="AC41" s="69"/>
      <c r="AD41" s="69"/>
      <c r="AE41" s="76"/>
      <c r="AF41" s="71"/>
      <c r="AG41" s="71"/>
      <c r="AH41" s="71"/>
      <c r="AI41" s="71"/>
      <c r="AJ41" s="71"/>
      <c r="AK41" s="71"/>
      <c r="AL41" s="71"/>
      <c r="AM41" s="71"/>
      <c r="AN41" s="68"/>
      <c r="AO41" s="68"/>
      <c r="AP41" s="70"/>
      <c r="AQ41" s="71"/>
      <c r="AR41" s="77"/>
      <c r="AS41" s="70"/>
      <c r="AT41" s="68"/>
      <c r="AU41" s="70"/>
      <c r="AV41" s="70"/>
      <c r="AW41" s="71"/>
      <c r="AX41" s="71"/>
      <c r="AY41" s="70"/>
      <c r="AZ41" s="76"/>
      <c r="BA41" s="76"/>
      <c r="BB41" s="76"/>
      <c r="BC41" s="78"/>
    </row>
    <row r="42" spans="1:55" x14ac:dyDescent="0.25">
      <c r="A42" s="68"/>
      <c r="B42" s="68"/>
      <c r="C42" s="68"/>
      <c r="D42" s="70"/>
      <c r="E42" s="70"/>
      <c r="F42" s="70"/>
      <c r="G42" s="72"/>
      <c r="H42" s="74"/>
      <c r="I42" s="74"/>
      <c r="J42" s="75"/>
      <c r="K42" s="81"/>
      <c r="L42" s="76"/>
      <c r="M42" s="76"/>
      <c r="N42" s="76"/>
      <c r="O42" s="71"/>
      <c r="P42" s="70"/>
      <c r="Q42" s="71"/>
      <c r="R42" s="71"/>
      <c r="S42" s="70"/>
      <c r="T42" s="71"/>
      <c r="U42" s="71"/>
      <c r="V42" s="75"/>
      <c r="W42" s="69"/>
      <c r="X42" s="69"/>
      <c r="Y42" s="69"/>
      <c r="Z42" s="69"/>
      <c r="AA42" s="69"/>
      <c r="AB42" s="69"/>
      <c r="AC42" s="69"/>
      <c r="AD42" s="69"/>
      <c r="AE42" s="76"/>
      <c r="AF42" s="71"/>
      <c r="AG42" s="71"/>
      <c r="AH42" s="71"/>
      <c r="AI42" s="71"/>
      <c r="AJ42" s="71"/>
      <c r="AK42" s="71"/>
      <c r="AL42" s="71"/>
      <c r="AM42" s="71"/>
      <c r="AN42" s="68"/>
      <c r="AO42" s="68"/>
      <c r="AP42" s="70"/>
      <c r="AQ42" s="71"/>
      <c r="AR42" s="77"/>
      <c r="AS42" s="70"/>
      <c r="AT42" s="68"/>
      <c r="AU42" s="70"/>
      <c r="AV42" s="70"/>
      <c r="AW42" s="71"/>
      <c r="AX42" s="71"/>
      <c r="AY42" s="70"/>
      <c r="AZ42" s="76"/>
      <c r="BA42" s="76"/>
      <c r="BB42" s="76"/>
      <c r="BC42" s="78"/>
    </row>
    <row r="43" spans="1:55" x14ac:dyDescent="0.25">
      <c r="A43" s="68"/>
      <c r="B43" s="68"/>
      <c r="C43" s="68"/>
      <c r="D43" s="70"/>
      <c r="E43" s="70"/>
      <c r="F43" s="70"/>
      <c r="G43" s="72"/>
      <c r="H43" s="74"/>
      <c r="I43" s="74"/>
      <c r="J43" s="75"/>
      <c r="K43" s="81"/>
      <c r="L43" s="76"/>
      <c r="M43" s="76"/>
      <c r="N43" s="76"/>
      <c r="O43" s="71"/>
      <c r="P43" s="70"/>
      <c r="Q43" s="71"/>
      <c r="R43" s="71"/>
      <c r="S43" s="70"/>
      <c r="T43" s="71"/>
      <c r="U43" s="71"/>
      <c r="V43" s="75"/>
      <c r="W43" s="69"/>
      <c r="X43" s="69"/>
      <c r="Y43" s="69"/>
      <c r="Z43" s="69"/>
      <c r="AA43" s="69"/>
      <c r="AB43" s="69"/>
      <c r="AC43" s="69"/>
      <c r="AD43" s="69"/>
      <c r="AE43" s="76"/>
      <c r="AF43" s="71"/>
      <c r="AG43" s="71"/>
      <c r="AH43" s="71"/>
      <c r="AI43" s="71"/>
      <c r="AJ43" s="71"/>
      <c r="AK43" s="71"/>
      <c r="AL43" s="71"/>
      <c r="AM43" s="71"/>
      <c r="AN43" s="68"/>
      <c r="AO43" s="68"/>
      <c r="AP43" s="70"/>
      <c r="AQ43" s="71"/>
      <c r="AR43" s="77"/>
      <c r="AS43" s="70"/>
      <c r="AT43" s="68"/>
      <c r="AU43" s="70"/>
      <c r="AV43" s="70"/>
      <c r="AW43" s="71"/>
      <c r="AX43" s="71"/>
      <c r="AY43" s="70"/>
      <c r="AZ43" s="76"/>
      <c r="BA43" s="76"/>
      <c r="BB43" s="76"/>
      <c r="BC43" s="78"/>
    </row>
    <row r="44" spans="1:55" x14ac:dyDescent="0.25">
      <c r="A44" s="68"/>
      <c r="B44" s="68"/>
      <c r="C44" s="68"/>
      <c r="D44" s="70"/>
      <c r="E44" s="70"/>
      <c r="F44" s="70"/>
      <c r="G44" s="72"/>
      <c r="H44" s="74"/>
      <c r="I44" s="74"/>
      <c r="J44" s="75"/>
      <c r="K44" s="81"/>
      <c r="L44" s="76"/>
      <c r="M44" s="76"/>
      <c r="N44" s="76"/>
      <c r="O44" s="71"/>
      <c r="P44" s="70"/>
      <c r="Q44" s="71"/>
      <c r="R44" s="71"/>
      <c r="S44" s="70"/>
      <c r="T44" s="71"/>
      <c r="U44" s="71"/>
      <c r="V44" s="75"/>
      <c r="W44" s="69"/>
      <c r="X44" s="69"/>
      <c r="Y44" s="69"/>
      <c r="Z44" s="69"/>
      <c r="AA44" s="69"/>
      <c r="AB44" s="69"/>
      <c r="AC44" s="69"/>
      <c r="AD44" s="69"/>
      <c r="AE44" s="76"/>
      <c r="AF44" s="71"/>
      <c r="AG44" s="71"/>
      <c r="AH44" s="71"/>
      <c r="AI44" s="71"/>
      <c r="AJ44" s="71"/>
      <c r="AK44" s="71"/>
      <c r="AL44" s="71"/>
      <c r="AM44" s="71"/>
      <c r="AN44" s="68"/>
      <c r="AO44" s="68"/>
      <c r="AP44" s="70"/>
      <c r="AQ44" s="71"/>
      <c r="AR44" s="77"/>
      <c r="AS44" s="70"/>
      <c r="AT44" s="68"/>
      <c r="AU44" s="70"/>
      <c r="AV44" s="70"/>
      <c r="AW44" s="71"/>
      <c r="AX44" s="71"/>
      <c r="AY44" s="70"/>
      <c r="AZ44" s="76"/>
      <c r="BA44" s="76"/>
      <c r="BB44" s="76"/>
      <c r="BC44" s="78"/>
    </row>
    <row r="45" spans="1:55" x14ac:dyDescent="0.25">
      <c r="A45" s="68"/>
      <c r="B45" s="68"/>
      <c r="C45" s="68"/>
      <c r="D45" s="70"/>
      <c r="E45" s="70"/>
      <c r="F45" s="70"/>
      <c r="G45" s="72"/>
      <c r="H45" s="74"/>
      <c r="I45" s="74"/>
      <c r="J45" s="75"/>
      <c r="K45" s="81"/>
      <c r="L45" s="76"/>
      <c r="M45" s="76"/>
      <c r="N45" s="76"/>
      <c r="O45" s="71"/>
      <c r="P45" s="70"/>
      <c r="Q45" s="71"/>
      <c r="R45" s="71"/>
      <c r="S45" s="70"/>
      <c r="T45" s="71"/>
      <c r="U45" s="71"/>
      <c r="V45" s="75"/>
      <c r="W45" s="69"/>
      <c r="X45" s="69"/>
      <c r="Y45" s="69"/>
      <c r="Z45" s="69"/>
      <c r="AA45" s="69"/>
      <c r="AB45" s="69"/>
      <c r="AC45" s="69"/>
      <c r="AD45" s="69"/>
      <c r="AE45" s="76"/>
      <c r="AF45" s="71"/>
      <c r="AG45" s="71"/>
      <c r="AH45" s="71"/>
      <c r="AI45" s="71"/>
      <c r="AJ45" s="71"/>
      <c r="AK45" s="71"/>
      <c r="AL45" s="71"/>
      <c r="AM45" s="71"/>
      <c r="AN45" s="68"/>
      <c r="AO45" s="68"/>
      <c r="AP45" s="70"/>
      <c r="AQ45" s="71"/>
      <c r="AR45" s="77"/>
      <c r="AS45" s="70"/>
      <c r="AT45" s="68"/>
      <c r="AU45" s="70"/>
      <c r="AV45" s="70"/>
      <c r="AW45" s="71"/>
      <c r="AX45" s="71"/>
      <c r="AY45" s="70"/>
      <c r="AZ45" s="76"/>
      <c r="BA45" s="76"/>
      <c r="BB45" s="76"/>
      <c r="BC45" s="78"/>
    </row>
    <row r="46" spans="1:55" x14ac:dyDescent="0.25">
      <c r="A46" s="68"/>
      <c r="B46" s="68"/>
      <c r="C46" s="68"/>
      <c r="D46" s="70"/>
      <c r="E46" s="70"/>
      <c r="F46" s="70"/>
      <c r="G46" s="72"/>
      <c r="H46" s="74"/>
      <c r="I46" s="74"/>
      <c r="J46" s="75"/>
      <c r="K46" s="81"/>
      <c r="L46" s="76"/>
      <c r="M46" s="76"/>
      <c r="N46" s="76"/>
      <c r="O46" s="71"/>
      <c r="P46" s="70"/>
      <c r="Q46" s="71"/>
      <c r="R46" s="71"/>
      <c r="S46" s="70"/>
      <c r="T46" s="71"/>
      <c r="U46" s="71"/>
      <c r="V46" s="75"/>
      <c r="W46" s="69"/>
      <c r="X46" s="69"/>
      <c r="Y46" s="69"/>
      <c r="Z46" s="69"/>
      <c r="AA46" s="69"/>
      <c r="AB46" s="69"/>
      <c r="AC46" s="69"/>
      <c r="AD46" s="69"/>
      <c r="AE46" s="76"/>
      <c r="AF46" s="71"/>
      <c r="AG46" s="71"/>
      <c r="AH46" s="71"/>
      <c r="AI46" s="71"/>
      <c r="AJ46" s="71"/>
      <c r="AK46" s="71"/>
      <c r="AL46" s="71"/>
      <c r="AM46" s="71"/>
      <c r="AN46" s="68"/>
      <c r="AO46" s="68"/>
      <c r="AP46" s="70"/>
      <c r="AQ46" s="71"/>
      <c r="AR46" s="77"/>
      <c r="AS46" s="70"/>
      <c r="AT46" s="68"/>
      <c r="AU46" s="70"/>
      <c r="AV46" s="70"/>
      <c r="AW46" s="71"/>
      <c r="AX46" s="71"/>
      <c r="AY46" s="70"/>
      <c r="AZ46" s="76"/>
      <c r="BA46" s="76"/>
      <c r="BB46" s="76"/>
      <c r="BC46" s="78"/>
    </row>
    <row r="47" spans="1:55" x14ac:dyDescent="0.25">
      <c r="A47" s="68"/>
      <c r="B47" s="68"/>
      <c r="C47" s="68"/>
      <c r="D47" s="70"/>
      <c r="E47" s="70"/>
      <c r="F47" s="70"/>
      <c r="G47" s="72"/>
      <c r="H47" s="74"/>
      <c r="I47" s="74"/>
      <c r="J47" s="75"/>
      <c r="K47" s="81"/>
      <c r="L47" s="76"/>
      <c r="M47" s="76"/>
      <c r="N47" s="76"/>
      <c r="O47" s="71"/>
      <c r="P47" s="70"/>
      <c r="Q47" s="71"/>
      <c r="R47" s="71"/>
      <c r="S47" s="70"/>
      <c r="T47" s="71"/>
      <c r="U47" s="71"/>
      <c r="V47" s="75"/>
      <c r="W47" s="69"/>
      <c r="X47" s="69"/>
      <c r="Y47" s="69"/>
      <c r="Z47" s="69"/>
      <c r="AA47" s="69"/>
      <c r="AB47" s="69"/>
      <c r="AC47" s="69"/>
      <c r="AD47" s="69"/>
      <c r="AE47" s="76"/>
      <c r="AF47" s="71"/>
      <c r="AG47" s="71"/>
      <c r="AH47" s="71"/>
      <c r="AI47" s="71"/>
      <c r="AJ47" s="71"/>
      <c r="AK47" s="71"/>
      <c r="AL47" s="71"/>
      <c r="AM47" s="71"/>
      <c r="AN47" s="68"/>
      <c r="AO47" s="68"/>
      <c r="AP47" s="70"/>
      <c r="AQ47" s="71"/>
      <c r="AR47" s="77"/>
      <c r="AS47" s="70"/>
      <c r="AT47" s="68"/>
      <c r="AU47" s="70"/>
      <c r="AV47" s="70"/>
      <c r="AW47" s="71"/>
      <c r="AX47" s="71"/>
      <c r="AY47" s="70"/>
      <c r="AZ47" s="76"/>
      <c r="BA47" s="76"/>
      <c r="BB47" s="76"/>
      <c r="BC47" s="78"/>
    </row>
    <row r="48" spans="1:55" x14ac:dyDescent="0.25">
      <c r="A48" s="68"/>
      <c r="B48" s="68"/>
      <c r="C48" s="68"/>
      <c r="D48" s="70"/>
      <c r="E48" s="70"/>
      <c r="F48" s="70"/>
      <c r="G48" s="72"/>
      <c r="H48" s="74"/>
      <c r="I48" s="74"/>
      <c r="J48" s="75"/>
      <c r="K48" s="81"/>
      <c r="L48" s="76"/>
      <c r="M48" s="76"/>
      <c r="N48" s="76"/>
      <c r="O48" s="71"/>
      <c r="P48" s="70"/>
      <c r="Q48" s="71"/>
      <c r="R48" s="71"/>
      <c r="S48" s="70"/>
      <c r="T48" s="71"/>
      <c r="U48" s="71"/>
      <c r="V48" s="75"/>
      <c r="W48" s="69"/>
      <c r="X48" s="69"/>
      <c r="Y48" s="69"/>
      <c r="Z48" s="69"/>
      <c r="AA48" s="69"/>
      <c r="AB48" s="69"/>
      <c r="AC48" s="69"/>
      <c r="AD48" s="69"/>
      <c r="AE48" s="76"/>
      <c r="AF48" s="71"/>
      <c r="AG48" s="71"/>
      <c r="AH48" s="71"/>
      <c r="AI48" s="71"/>
      <c r="AJ48" s="71"/>
      <c r="AK48" s="71"/>
      <c r="AL48" s="71"/>
      <c r="AM48" s="71"/>
      <c r="AN48" s="68"/>
      <c r="AO48" s="68"/>
      <c r="AP48" s="70"/>
      <c r="AQ48" s="71"/>
      <c r="AR48" s="77"/>
      <c r="AS48" s="70"/>
      <c r="AT48" s="68"/>
      <c r="AU48" s="70"/>
      <c r="AV48" s="70"/>
      <c r="AW48" s="71"/>
      <c r="AX48" s="71"/>
      <c r="AY48" s="70"/>
      <c r="AZ48" s="76"/>
      <c r="BA48" s="76"/>
      <c r="BB48" s="76"/>
      <c r="BC48" s="78"/>
    </row>
    <row r="49" spans="1:55" x14ac:dyDescent="0.25">
      <c r="A49" s="68"/>
      <c r="B49" s="68"/>
      <c r="C49" s="68"/>
      <c r="D49" s="70"/>
      <c r="E49" s="70"/>
      <c r="F49" s="70"/>
      <c r="G49" s="72"/>
      <c r="H49" s="74"/>
      <c r="I49" s="74"/>
      <c r="J49" s="75"/>
      <c r="K49" s="81"/>
      <c r="L49" s="76"/>
      <c r="M49" s="76"/>
      <c r="N49" s="76"/>
      <c r="O49" s="71"/>
      <c r="P49" s="70"/>
      <c r="Q49" s="71"/>
      <c r="R49" s="71"/>
      <c r="S49" s="70"/>
      <c r="T49" s="71"/>
      <c r="U49" s="71"/>
      <c r="V49" s="75"/>
      <c r="W49" s="69"/>
      <c r="X49" s="69"/>
      <c r="Y49" s="69"/>
      <c r="Z49" s="69"/>
      <c r="AA49" s="69"/>
      <c r="AB49" s="69"/>
      <c r="AC49" s="69"/>
      <c r="AD49" s="69"/>
      <c r="AE49" s="76"/>
      <c r="AF49" s="71"/>
      <c r="AG49" s="71"/>
      <c r="AH49" s="71"/>
      <c r="AI49" s="71"/>
      <c r="AJ49" s="71"/>
      <c r="AK49" s="71"/>
      <c r="AL49" s="71"/>
      <c r="AM49" s="71"/>
      <c r="AN49" s="68"/>
      <c r="AO49" s="68"/>
      <c r="AP49" s="70"/>
      <c r="AQ49" s="71"/>
      <c r="AR49" s="77"/>
      <c r="AS49" s="70"/>
      <c r="AT49" s="68"/>
      <c r="AU49" s="70"/>
      <c r="AV49" s="70"/>
      <c r="AW49" s="71"/>
      <c r="AX49" s="71"/>
      <c r="AY49" s="70"/>
      <c r="AZ49" s="76"/>
      <c r="BA49" s="76"/>
      <c r="BB49" s="76"/>
      <c r="BC49" s="78"/>
    </row>
    <row r="50" spans="1:55" x14ac:dyDescent="0.25">
      <c r="A50" s="68"/>
      <c r="B50" s="68"/>
      <c r="C50" s="68"/>
      <c r="D50" s="70"/>
      <c r="E50" s="70"/>
      <c r="F50" s="70"/>
      <c r="G50" s="72"/>
      <c r="H50" s="74"/>
      <c r="I50" s="74"/>
      <c r="J50" s="75"/>
      <c r="K50" s="81"/>
      <c r="L50" s="76"/>
      <c r="M50" s="76"/>
      <c r="N50" s="76"/>
      <c r="O50" s="71"/>
      <c r="P50" s="70"/>
      <c r="Q50" s="71"/>
      <c r="R50" s="71"/>
      <c r="S50" s="70"/>
      <c r="T50" s="71"/>
      <c r="U50" s="71"/>
      <c r="V50" s="75"/>
      <c r="W50" s="69"/>
      <c r="X50" s="69"/>
      <c r="Y50" s="69"/>
      <c r="Z50" s="69"/>
      <c r="AA50" s="69"/>
      <c r="AB50" s="69"/>
      <c r="AC50" s="69"/>
      <c r="AD50" s="69"/>
      <c r="AE50" s="76"/>
      <c r="AF50" s="71"/>
      <c r="AG50" s="71"/>
      <c r="AH50" s="71"/>
      <c r="AI50" s="71"/>
      <c r="AJ50" s="71"/>
      <c r="AK50" s="71"/>
      <c r="AL50" s="71"/>
      <c r="AM50" s="71"/>
      <c r="AN50" s="68"/>
      <c r="AO50" s="68"/>
      <c r="AP50" s="70"/>
      <c r="AQ50" s="71"/>
      <c r="AR50" s="77"/>
      <c r="AS50" s="70"/>
      <c r="AT50" s="68"/>
      <c r="AU50" s="70"/>
      <c r="AV50" s="70"/>
      <c r="AW50" s="71"/>
      <c r="AX50" s="71"/>
      <c r="AY50" s="70"/>
      <c r="AZ50" s="76"/>
      <c r="BA50" s="76"/>
      <c r="BB50" s="76"/>
      <c r="BC50" s="78"/>
    </row>
    <row r="51" spans="1:55" x14ac:dyDescent="0.25">
      <c r="A51" s="68"/>
      <c r="B51" s="68"/>
      <c r="C51" s="68"/>
      <c r="D51" s="70"/>
      <c r="E51" s="70"/>
      <c r="F51" s="70"/>
      <c r="G51" s="72"/>
      <c r="H51" s="74"/>
      <c r="I51" s="74"/>
      <c r="J51" s="75"/>
      <c r="K51" s="81"/>
      <c r="L51" s="76"/>
      <c r="M51" s="76"/>
      <c r="N51" s="76"/>
      <c r="O51" s="71"/>
      <c r="P51" s="70"/>
      <c r="Q51" s="71"/>
      <c r="R51" s="71"/>
      <c r="S51" s="70"/>
      <c r="T51" s="71"/>
      <c r="U51" s="71"/>
      <c r="V51" s="75"/>
      <c r="W51" s="69"/>
      <c r="X51" s="69"/>
      <c r="Y51" s="69"/>
      <c r="Z51" s="69"/>
      <c r="AA51" s="69"/>
      <c r="AB51" s="69"/>
      <c r="AC51" s="69"/>
      <c r="AD51" s="69"/>
      <c r="AE51" s="76"/>
      <c r="AF51" s="71"/>
      <c r="AG51" s="71"/>
      <c r="AH51" s="71"/>
      <c r="AI51" s="71"/>
      <c r="AJ51" s="71"/>
      <c r="AK51" s="71"/>
      <c r="AL51" s="71"/>
      <c r="AM51" s="71"/>
      <c r="AN51" s="68"/>
      <c r="AO51" s="68"/>
      <c r="AP51" s="70"/>
      <c r="AQ51" s="71"/>
      <c r="AR51" s="77"/>
      <c r="AS51" s="70"/>
      <c r="AT51" s="68"/>
      <c r="AU51" s="70"/>
      <c r="AV51" s="70"/>
      <c r="AW51" s="71"/>
      <c r="AX51" s="71"/>
      <c r="AY51" s="70"/>
      <c r="AZ51" s="76"/>
      <c r="BA51" s="76"/>
      <c r="BB51" s="76"/>
      <c r="BC51" s="78"/>
    </row>
    <row r="52" spans="1:55" x14ac:dyDescent="0.25">
      <c r="A52" s="68"/>
      <c r="B52" s="68"/>
      <c r="C52" s="68"/>
      <c r="D52" s="70"/>
      <c r="E52" s="70"/>
      <c r="F52" s="70"/>
      <c r="G52" s="72"/>
      <c r="H52" s="74"/>
      <c r="I52" s="74"/>
      <c r="J52" s="75"/>
      <c r="K52" s="81"/>
      <c r="L52" s="76"/>
      <c r="M52" s="76"/>
      <c r="N52" s="76"/>
      <c r="O52" s="71"/>
      <c r="P52" s="70"/>
      <c r="Q52" s="71"/>
      <c r="R52" s="71"/>
      <c r="S52" s="70"/>
      <c r="T52" s="71"/>
      <c r="U52" s="71"/>
      <c r="V52" s="75"/>
      <c r="W52" s="69"/>
      <c r="X52" s="69"/>
      <c r="Y52" s="69"/>
      <c r="Z52" s="69"/>
      <c r="AA52" s="69"/>
      <c r="AB52" s="69"/>
      <c r="AC52" s="69"/>
      <c r="AD52" s="69"/>
      <c r="AE52" s="76"/>
      <c r="AF52" s="71"/>
      <c r="AG52" s="71"/>
      <c r="AH52" s="71"/>
      <c r="AI52" s="71"/>
      <c r="AJ52" s="71"/>
      <c r="AK52" s="71"/>
      <c r="AL52" s="71"/>
      <c r="AM52" s="71"/>
      <c r="AN52" s="68"/>
      <c r="AO52" s="68"/>
      <c r="AP52" s="70"/>
      <c r="AQ52" s="71"/>
      <c r="AR52" s="77"/>
      <c r="AS52" s="70"/>
      <c r="AT52" s="68"/>
      <c r="AU52" s="70"/>
      <c r="AV52" s="70"/>
      <c r="AW52" s="71"/>
      <c r="AX52" s="71"/>
      <c r="AY52" s="70"/>
      <c r="AZ52" s="76"/>
      <c r="BA52" s="76"/>
      <c r="BB52" s="76"/>
      <c r="BC52" s="78"/>
    </row>
    <row r="53" spans="1:55" x14ac:dyDescent="0.25">
      <c r="A53" s="68"/>
      <c r="B53" s="68"/>
      <c r="C53" s="68"/>
      <c r="D53" s="70"/>
      <c r="E53" s="70"/>
      <c r="F53" s="70"/>
      <c r="G53" s="72"/>
      <c r="H53" s="74"/>
      <c r="I53" s="74"/>
      <c r="J53" s="75"/>
      <c r="K53" s="81"/>
      <c r="L53" s="76"/>
      <c r="M53" s="76"/>
      <c r="N53" s="76"/>
      <c r="O53" s="71"/>
      <c r="P53" s="70"/>
      <c r="Q53" s="71"/>
      <c r="R53" s="71"/>
      <c r="S53" s="70"/>
      <c r="T53" s="71"/>
      <c r="U53" s="71"/>
      <c r="V53" s="75"/>
      <c r="W53" s="69"/>
      <c r="X53" s="69"/>
      <c r="Y53" s="69"/>
      <c r="Z53" s="69"/>
      <c r="AA53" s="69"/>
      <c r="AB53" s="69"/>
      <c r="AC53" s="69"/>
      <c r="AD53" s="69"/>
      <c r="AE53" s="76"/>
      <c r="AF53" s="71"/>
      <c r="AG53" s="71"/>
      <c r="AH53" s="71"/>
      <c r="AI53" s="71"/>
      <c r="AJ53" s="71"/>
      <c r="AK53" s="71"/>
      <c r="AL53" s="71"/>
      <c r="AM53" s="71"/>
      <c r="AN53" s="68"/>
      <c r="AO53" s="68"/>
      <c r="AP53" s="70"/>
      <c r="AQ53" s="71"/>
      <c r="AR53" s="77"/>
      <c r="AS53" s="70"/>
      <c r="AT53" s="68"/>
      <c r="AU53" s="70"/>
      <c r="AV53" s="70"/>
      <c r="AW53" s="71"/>
      <c r="AX53" s="71"/>
      <c r="AY53" s="70"/>
      <c r="AZ53" s="76"/>
      <c r="BA53" s="76"/>
      <c r="BB53" s="76"/>
      <c r="BC53" s="78"/>
    </row>
    <row r="54" spans="1:55" x14ac:dyDescent="0.25">
      <c r="A54" s="68"/>
      <c r="B54" s="68"/>
      <c r="C54" s="68"/>
      <c r="D54" s="70"/>
      <c r="E54" s="70"/>
      <c r="F54" s="70"/>
      <c r="G54" s="72"/>
      <c r="H54" s="74"/>
      <c r="I54" s="74"/>
      <c r="J54" s="75"/>
      <c r="K54" s="81"/>
      <c r="L54" s="76"/>
      <c r="M54" s="76"/>
      <c r="N54" s="76"/>
      <c r="O54" s="71"/>
      <c r="P54" s="70"/>
      <c r="Q54" s="71"/>
      <c r="R54" s="71"/>
      <c r="S54" s="70"/>
      <c r="T54" s="71"/>
      <c r="U54" s="71"/>
      <c r="V54" s="75"/>
      <c r="W54" s="69"/>
      <c r="X54" s="69"/>
      <c r="Y54" s="69"/>
      <c r="Z54" s="69"/>
      <c r="AA54" s="69"/>
      <c r="AB54" s="69"/>
      <c r="AC54" s="69"/>
      <c r="AD54" s="69"/>
      <c r="AE54" s="76"/>
      <c r="AF54" s="71"/>
      <c r="AG54" s="71"/>
      <c r="AH54" s="71"/>
      <c r="AI54" s="71"/>
      <c r="AJ54" s="71"/>
      <c r="AK54" s="71"/>
      <c r="AL54" s="71"/>
      <c r="AM54" s="71"/>
      <c r="AN54" s="68"/>
      <c r="AO54" s="68"/>
      <c r="AP54" s="70"/>
      <c r="AQ54" s="71"/>
      <c r="AR54" s="77"/>
      <c r="AS54" s="70"/>
      <c r="AT54" s="68"/>
      <c r="AU54" s="70"/>
      <c r="AV54" s="70"/>
      <c r="AW54" s="71"/>
      <c r="AX54" s="71"/>
      <c r="AY54" s="70"/>
      <c r="AZ54" s="76"/>
      <c r="BA54" s="76"/>
      <c r="BB54" s="76"/>
      <c r="BC54" s="78"/>
    </row>
    <row r="55" spans="1:55" x14ac:dyDescent="0.25">
      <c r="A55" s="68"/>
      <c r="B55" s="68"/>
      <c r="C55" s="68"/>
      <c r="D55" s="70"/>
      <c r="E55" s="70"/>
      <c r="F55" s="70"/>
      <c r="G55" s="72"/>
      <c r="H55" s="74"/>
      <c r="I55" s="74"/>
      <c r="J55" s="75"/>
      <c r="K55" s="81"/>
      <c r="L55" s="76"/>
      <c r="M55" s="76"/>
      <c r="N55" s="76"/>
      <c r="O55" s="71"/>
      <c r="P55" s="70"/>
      <c r="Q55" s="71"/>
      <c r="R55" s="71"/>
      <c r="S55" s="70"/>
      <c r="T55" s="71"/>
      <c r="U55" s="71"/>
      <c r="V55" s="75"/>
      <c r="W55" s="69"/>
      <c r="X55" s="69"/>
      <c r="Y55" s="69"/>
      <c r="Z55" s="69"/>
      <c r="AA55" s="69"/>
      <c r="AB55" s="69"/>
      <c r="AC55" s="69"/>
      <c r="AD55" s="69"/>
      <c r="AE55" s="76"/>
      <c r="AF55" s="71"/>
      <c r="AG55" s="71"/>
      <c r="AH55" s="71"/>
      <c r="AI55" s="71"/>
      <c r="AJ55" s="71"/>
      <c r="AK55" s="71"/>
      <c r="AL55" s="71"/>
      <c r="AM55" s="71"/>
      <c r="AN55" s="68"/>
      <c r="AO55" s="68"/>
      <c r="AP55" s="70"/>
      <c r="AQ55" s="71"/>
      <c r="AR55" s="77"/>
      <c r="AS55" s="70"/>
      <c r="AT55" s="68"/>
      <c r="AU55" s="70"/>
      <c r="AV55" s="70"/>
      <c r="AW55" s="71"/>
      <c r="AX55" s="71"/>
      <c r="AY55" s="70"/>
      <c r="AZ55" s="76"/>
      <c r="BA55" s="76"/>
      <c r="BB55" s="76"/>
      <c r="BC55" s="78"/>
    </row>
    <row r="56" spans="1:55" x14ac:dyDescent="0.25">
      <c r="A56" s="68"/>
      <c r="B56" s="68"/>
      <c r="C56" s="68"/>
      <c r="D56" s="70"/>
      <c r="E56" s="70"/>
      <c r="F56" s="70"/>
      <c r="G56" s="72"/>
      <c r="H56" s="74"/>
      <c r="I56" s="74"/>
      <c r="J56" s="75"/>
      <c r="K56" s="81"/>
      <c r="L56" s="76"/>
      <c r="M56" s="76"/>
      <c r="N56" s="76"/>
      <c r="O56" s="71"/>
      <c r="P56" s="70"/>
      <c r="Q56" s="71"/>
      <c r="R56" s="71"/>
      <c r="S56" s="70"/>
      <c r="T56" s="71"/>
      <c r="U56" s="71"/>
      <c r="V56" s="75"/>
      <c r="W56" s="69"/>
      <c r="X56" s="69"/>
      <c r="Y56" s="69"/>
      <c r="Z56" s="69"/>
      <c r="AA56" s="69"/>
      <c r="AB56" s="69"/>
      <c r="AC56" s="69"/>
      <c r="AD56" s="69"/>
      <c r="AE56" s="76"/>
      <c r="AF56" s="71"/>
      <c r="AG56" s="71"/>
      <c r="AH56" s="71"/>
      <c r="AI56" s="71"/>
      <c r="AJ56" s="71"/>
      <c r="AK56" s="71"/>
      <c r="AL56" s="71"/>
      <c r="AM56" s="71"/>
      <c r="AN56" s="68"/>
      <c r="AO56" s="68"/>
      <c r="AP56" s="70"/>
      <c r="AQ56" s="71"/>
      <c r="AR56" s="77"/>
      <c r="AS56" s="70"/>
      <c r="AT56" s="68"/>
      <c r="AU56" s="70"/>
      <c r="AV56" s="70"/>
      <c r="AW56" s="71"/>
      <c r="AX56" s="71"/>
      <c r="AY56" s="70"/>
      <c r="AZ56" s="76"/>
      <c r="BA56" s="76"/>
      <c r="BB56" s="76"/>
      <c r="BC56" s="78"/>
    </row>
    <row r="57" spans="1:55" x14ac:dyDescent="0.25">
      <c r="A57" s="68"/>
      <c r="B57" s="68"/>
      <c r="C57" s="68"/>
      <c r="D57" s="70"/>
      <c r="E57" s="70"/>
      <c r="F57" s="70"/>
      <c r="G57" s="72"/>
      <c r="H57" s="74"/>
      <c r="I57" s="74"/>
      <c r="J57" s="75"/>
      <c r="K57" s="81"/>
      <c r="L57" s="76"/>
      <c r="M57" s="76"/>
      <c r="N57" s="76"/>
      <c r="O57" s="71"/>
      <c r="P57" s="70"/>
      <c r="Q57" s="71"/>
      <c r="R57" s="71"/>
      <c r="S57" s="70"/>
      <c r="T57" s="71"/>
      <c r="U57" s="71"/>
      <c r="V57" s="75"/>
      <c r="W57" s="69"/>
      <c r="X57" s="69"/>
      <c r="Y57" s="69"/>
      <c r="Z57" s="69"/>
      <c r="AA57" s="69"/>
      <c r="AB57" s="69"/>
      <c r="AC57" s="69"/>
      <c r="AD57" s="69"/>
      <c r="AE57" s="76"/>
      <c r="AF57" s="71"/>
      <c r="AG57" s="71"/>
      <c r="AH57" s="71"/>
      <c r="AI57" s="71"/>
      <c r="AJ57" s="71"/>
      <c r="AK57" s="71"/>
      <c r="AL57" s="71"/>
      <c r="AM57" s="71"/>
      <c r="AN57" s="68"/>
      <c r="AO57" s="68"/>
      <c r="AP57" s="70"/>
      <c r="AQ57" s="71"/>
      <c r="AR57" s="77"/>
      <c r="AS57" s="70"/>
      <c r="AT57" s="68"/>
      <c r="AU57" s="70"/>
      <c r="AV57" s="70"/>
      <c r="AW57" s="71"/>
      <c r="AX57" s="71"/>
      <c r="AY57" s="70"/>
      <c r="AZ57" s="76"/>
      <c r="BA57" s="76"/>
      <c r="BB57" s="76"/>
      <c r="BC57" s="78"/>
    </row>
    <row r="58" spans="1:55" x14ac:dyDescent="0.25">
      <c r="A58" s="68"/>
      <c r="B58" s="68"/>
      <c r="C58" s="68"/>
      <c r="D58" s="70"/>
      <c r="E58" s="70"/>
      <c r="F58" s="70"/>
      <c r="G58" s="72"/>
      <c r="H58" s="74"/>
      <c r="I58" s="74"/>
      <c r="J58" s="75"/>
      <c r="K58" s="81"/>
      <c r="L58" s="76"/>
      <c r="M58" s="76"/>
      <c r="N58" s="76"/>
      <c r="O58" s="71"/>
      <c r="P58" s="70"/>
      <c r="Q58" s="71"/>
      <c r="R58" s="71"/>
      <c r="S58" s="70"/>
      <c r="T58" s="71"/>
      <c r="U58" s="71"/>
      <c r="V58" s="75"/>
      <c r="W58" s="69"/>
      <c r="X58" s="69"/>
      <c r="Y58" s="69"/>
      <c r="Z58" s="69"/>
      <c r="AA58" s="69"/>
      <c r="AB58" s="69"/>
      <c r="AC58" s="69"/>
      <c r="AD58" s="69"/>
      <c r="AE58" s="76"/>
      <c r="AF58" s="71"/>
      <c r="AG58" s="71"/>
      <c r="AH58" s="71"/>
      <c r="AI58" s="71"/>
      <c r="AJ58" s="71"/>
      <c r="AK58" s="71"/>
      <c r="AL58" s="71"/>
      <c r="AM58" s="71"/>
      <c r="AN58" s="68"/>
      <c r="AO58" s="68"/>
      <c r="AP58" s="70"/>
      <c r="AQ58" s="71"/>
      <c r="AR58" s="77"/>
      <c r="AS58" s="70"/>
      <c r="AT58" s="68"/>
      <c r="AU58" s="70"/>
      <c r="AV58" s="70"/>
      <c r="AW58" s="71"/>
      <c r="AX58" s="71"/>
      <c r="AY58" s="70"/>
      <c r="AZ58" s="76"/>
      <c r="BA58" s="76"/>
      <c r="BB58" s="76"/>
      <c r="BC58" s="78"/>
    </row>
    <row r="59" spans="1:55" x14ac:dyDescent="0.25">
      <c r="A59" s="68"/>
      <c r="B59" s="68"/>
      <c r="C59" s="68"/>
      <c r="D59" s="70"/>
      <c r="E59" s="70"/>
      <c r="F59" s="70"/>
      <c r="G59" s="72"/>
      <c r="H59" s="74"/>
      <c r="I59" s="74"/>
      <c r="J59" s="75"/>
      <c r="K59" s="81"/>
      <c r="L59" s="76"/>
      <c r="M59" s="76"/>
      <c r="N59" s="76"/>
      <c r="O59" s="71"/>
      <c r="P59" s="70"/>
      <c r="Q59" s="71"/>
      <c r="R59" s="71"/>
      <c r="S59" s="70"/>
      <c r="T59" s="71"/>
      <c r="U59" s="71"/>
      <c r="V59" s="75"/>
      <c r="W59" s="69"/>
      <c r="X59" s="69"/>
      <c r="Y59" s="69"/>
      <c r="Z59" s="69"/>
      <c r="AA59" s="69"/>
      <c r="AB59" s="69"/>
      <c r="AC59" s="69"/>
      <c r="AD59" s="69"/>
      <c r="AE59" s="76"/>
      <c r="AF59" s="71"/>
      <c r="AG59" s="71"/>
      <c r="AH59" s="71"/>
      <c r="AI59" s="71"/>
      <c r="AJ59" s="71"/>
      <c r="AK59" s="71"/>
      <c r="AL59" s="71"/>
      <c r="AM59" s="71"/>
      <c r="AN59" s="68"/>
      <c r="AO59" s="68"/>
      <c r="AP59" s="70"/>
      <c r="AQ59" s="71"/>
      <c r="AR59" s="77"/>
      <c r="AS59" s="70"/>
      <c r="AT59" s="68"/>
      <c r="AU59" s="70"/>
      <c r="AV59" s="70"/>
      <c r="AW59" s="71"/>
      <c r="AX59" s="71"/>
      <c r="AY59" s="70"/>
      <c r="AZ59" s="76"/>
      <c r="BA59" s="76"/>
      <c r="BB59" s="76"/>
      <c r="BC59" s="78"/>
    </row>
    <row r="60" spans="1:55" x14ac:dyDescent="0.25">
      <c r="A60" s="68"/>
      <c r="B60" s="68"/>
      <c r="C60" s="68"/>
      <c r="D60" s="70"/>
      <c r="E60" s="70"/>
      <c r="F60" s="70"/>
      <c r="G60" s="72"/>
      <c r="H60" s="74"/>
      <c r="I60" s="74"/>
      <c r="J60" s="75"/>
      <c r="K60" s="81"/>
      <c r="L60" s="76"/>
      <c r="M60" s="76"/>
      <c r="N60" s="76"/>
      <c r="O60" s="71"/>
      <c r="P60" s="70"/>
      <c r="Q60" s="71"/>
      <c r="R60" s="71"/>
      <c r="S60" s="70"/>
      <c r="T60" s="71"/>
      <c r="U60" s="71"/>
      <c r="V60" s="75"/>
      <c r="W60" s="69"/>
      <c r="X60" s="69"/>
      <c r="Y60" s="69"/>
      <c r="Z60" s="69"/>
      <c r="AA60" s="69"/>
      <c r="AB60" s="69"/>
      <c r="AC60" s="69"/>
      <c r="AD60" s="69"/>
      <c r="AE60" s="76"/>
      <c r="AF60" s="71"/>
      <c r="AG60" s="71"/>
      <c r="AH60" s="71"/>
      <c r="AI60" s="71"/>
      <c r="AJ60" s="71"/>
      <c r="AK60" s="71"/>
      <c r="AL60" s="71"/>
      <c r="AM60" s="71"/>
      <c r="AN60" s="68"/>
      <c r="AO60" s="68"/>
      <c r="AP60" s="70"/>
      <c r="AQ60" s="71"/>
      <c r="AR60" s="77"/>
      <c r="AS60" s="70"/>
      <c r="AT60" s="68"/>
      <c r="AU60" s="70"/>
      <c r="AV60" s="70"/>
      <c r="AW60" s="71"/>
      <c r="AX60" s="71"/>
      <c r="AY60" s="70"/>
      <c r="AZ60" s="76"/>
      <c r="BA60" s="76"/>
      <c r="BB60" s="76"/>
      <c r="BC60" s="78"/>
    </row>
    <row r="61" spans="1:55" x14ac:dyDescent="0.25">
      <c r="A61" s="68"/>
      <c r="B61" s="68"/>
      <c r="C61" s="68"/>
      <c r="D61" s="70"/>
      <c r="E61" s="70"/>
      <c r="F61" s="70"/>
      <c r="G61" s="72"/>
      <c r="H61" s="74"/>
      <c r="I61" s="74"/>
      <c r="J61" s="75"/>
      <c r="K61" s="81"/>
      <c r="L61" s="76"/>
      <c r="M61" s="76"/>
      <c r="N61" s="76"/>
      <c r="O61" s="71"/>
      <c r="P61" s="70"/>
      <c r="Q61" s="71"/>
      <c r="R61" s="71"/>
      <c r="S61" s="70"/>
      <c r="T61" s="71"/>
      <c r="U61" s="71"/>
      <c r="V61" s="75"/>
      <c r="W61" s="69"/>
      <c r="X61" s="69"/>
      <c r="Y61" s="69"/>
      <c r="Z61" s="69"/>
      <c r="AA61" s="69"/>
      <c r="AB61" s="69"/>
      <c r="AC61" s="69"/>
      <c r="AD61" s="69"/>
      <c r="AE61" s="76"/>
      <c r="AF61" s="71"/>
      <c r="AG61" s="71"/>
      <c r="AH61" s="71"/>
      <c r="AI61" s="71"/>
      <c r="AJ61" s="71"/>
      <c r="AK61" s="71"/>
      <c r="AL61" s="71"/>
      <c r="AM61" s="71"/>
      <c r="AN61" s="68"/>
      <c r="AO61" s="68"/>
      <c r="AP61" s="70"/>
      <c r="AQ61" s="71"/>
      <c r="AR61" s="77"/>
      <c r="AS61" s="70"/>
      <c r="AT61" s="68"/>
      <c r="AU61" s="70"/>
      <c r="AV61" s="70"/>
      <c r="AW61" s="71"/>
      <c r="AX61" s="71"/>
      <c r="AY61" s="70"/>
      <c r="AZ61" s="76"/>
      <c r="BA61" s="76"/>
      <c r="BB61" s="76"/>
      <c r="BC61" s="78"/>
    </row>
    <row r="62" spans="1:55" x14ac:dyDescent="0.25">
      <c r="A62" s="68"/>
      <c r="B62" s="68"/>
      <c r="C62" s="68"/>
      <c r="D62" s="70"/>
      <c r="E62" s="70"/>
      <c r="F62" s="70"/>
      <c r="G62" s="72"/>
      <c r="H62" s="74"/>
      <c r="I62" s="74"/>
      <c r="J62" s="75"/>
      <c r="K62" s="81"/>
      <c r="L62" s="76"/>
      <c r="M62" s="76"/>
      <c r="N62" s="76"/>
      <c r="O62" s="71"/>
      <c r="P62" s="70"/>
      <c r="Q62" s="71"/>
      <c r="R62" s="71"/>
      <c r="S62" s="70"/>
      <c r="T62" s="71"/>
      <c r="U62" s="71"/>
      <c r="V62" s="75"/>
      <c r="W62" s="69"/>
      <c r="X62" s="69"/>
      <c r="Y62" s="69"/>
      <c r="Z62" s="69"/>
      <c r="AA62" s="69"/>
      <c r="AB62" s="69"/>
      <c r="AC62" s="69"/>
      <c r="AD62" s="69"/>
      <c r="AE62" s="76"/>
      <c r="AF62" s="71"/>
      <c r="AG62" s="71"/>
      <c r="AH62" s="71"/>
      <c r="AI62" s="71"/>
      <c r="AJ62" s="71"/>
      <c r="AK62" s="71"/>
      <c r="AL62" s="71"/>
      <c r="AM62" s="71"/>
      <c r="AN62" s="68"/>
      <c r="AO62" s="68"/>
      <c r="AP62" s="70"/>
      <c r="AQ62" s="71"/>
      <c r="AR62" s="77"/>
      <c r="AS62" s="70"/>
      <c r="AT62" s="68"/>
      <c r="AU62" s="70"/>
      <c r="AV62" s="70"/>
      <c r="AW62" s="71"/>
      <c r="AX62" s="71"/>
      <c r="AY62" s="70"/>
      <c r="AZ62" s="76"/>
      <c r="BA62" s="76"/>
      <c r="BB62" s="76"/>
      <c r="BC62" s="78"/>
    </row>
    <row r="63" spans="1:55" x14ac:dyDescent="0.25">
      <c r="A63" s="68"/>
      <c r="B63" s="68"/>
      <c r="C63" s="68"/>
      <c r="D63" s="70"/>
      <c r="E63" s="70"/>
      <c r="F63" s="70"/>
      <c r="G63" s="72"/>
      <c r="H63" s="74"/>
      <c r="I63" s="74"/>
      <c r="J63" s="75"/>
      <c r="K63" s="81"/>
      <c r="L63" s="76"/>
      <c r="M63" s="76"/>
      <c r="N63" s="76"/>
      <c r="O63" s="71"/>
      <c r="P63" s="70"/>
      <c r="Q63" s="71"/>
      <c r="R63" s="71"/>
      <c r="S63" s="70"/>
      <c r="T63" s="71"/>
      <c r="U63" s="71"/>
      <c r="V63" s="75"/>
      <c r="W63" s="69"/>
      <c r="X63" s="69"/>
      <c r="Y63" s="69"/>
      <c r="Z63" s="69"/>
      <c r="AA63" s="69"/>
      <c r="AB63" s="69"/>
      <c r="AC63" s="69"/>
      <c r="AD63" s="69"/>
      <c r="AE63" s="76"/>
      <c r="AF63" s="71"/>
      <c r="AG63" s="71"/>
      <c r="AH63" s="71"/>
      <c r="AI63" s="71"/>
      <c r="AJ63" s="71"/>
      <c r="AK63" s="71"/>
      <c r="AL63" s="71"/>
      <c r="AM63" s="71"/>
      <c r="AN63" s="68"/>
      <c r="AO63" s="68"/>
      <c r="AP63" s="70"/>
      <c r="AQ63" s="71"/>
      <c r="AR63" s="77"/>
      <c r="AS63" s="70"/>
      <c r="AT63" s="68"/>
      <c r="AU63" s="70"/>
      <c r="AV63" s="70"/>
      <c r="AW63" s="71"/>
      <c r="AX63" s="71"/>
      <c r="AY63" s="70"/>
      <c r="AZ63" s="76"/>
      <c r="BA63" s="76"/>
      <c r="BB63" s="76"/>
      <c r="BC63" s="78"/>
    </row>
    <row r="64" spans="1:55" x14ac:dyDescent="0.25">
      <c r="A64" s="68"/>
      <c r="B64" s="68"/>
      <c r="C64" s="68"/>
      <c r="D64" s="70"/>
      <c r="E64" s="70"/>
      <c r="F64" s="70"/>
      <c r="G64" s="72"/>
      <c r="H64" s="74"/>
      <c r="I64" s="74"/>
      <c r="J64" s="75"/>
      <c r="K64" s="81"/>
      <c r="L64" s="76"/>
      <c r="M64" s="76"/>
      <c r="N64" s="76"/>
      <c r="O64" s="71"/>
      <c r="P64" s="70"/>
      <c r="Q64" s="71"/>
      <c r="R64" s="71"/>
      <c r="S64" s="70"/>
      <c r="T64" s="71"/>
      <c r="U64" s="71"/>
      <c r="V64" s="75"/>
      <c r="W64" s="69"/>
      <c r="X64" s="69"/>
      <c r="Y64" s="69"/>
      <c r="Z64" s="69"/>
      <c r="AA64" s="69"/>
      <c r="AB64" s="69"/>
      <c r="AC64" s="69"/>
      <c r="AD64" s="69"/>
      <c r="AE64" s="76"/>
      <c r="AF64" s="71"/>
      <c r="AG64" s="71"/>
      <c r="AH64" s="71"/>
      <c r="AI64" s="71"/>
      <c r="AJ64" s="71"/>
      <c r="AK64" s="71"/>
      <c r="AL64" s="71"/>
      <c r="AM64" s="71"/>
      <c r="AN64" s="68"/>
      <c r="AO64" s="68"/>
      <c r="AP64" s="70"/>
      <c r="AQ64" s="71"/>
      <c r="AR64" s="77"/>
      <c r="AS64" s="70"/>
      <c r="AT64" s="68"/>
      <c r="AU64" s="70"/>
      <c r="AV64" s="70"/>
      <c r="AW64" s="71"/>
      <c r="AX64" s="71"/>
      <c r="AY64" s="70"/>
      <c r="AZ64" s="76"/>
      <c r="BA64" s="76"/>
      <c r="BB64" s="76"/>
      <c r="BC64" s="78"/>
    </row>
    <row r="65" spans="1:55" x14ac:dyDescent="0.25">
      <c r="A65" s="68"/>
      <c r="B65" s="68"/>
      <c r="C65" s="68"/>
      <c r="D65" s="70"/>
      <c r="E65" s="70"/>
      <c r="F65" s="70"/>
      <c r="G65" s="72"/>
      <c r="H65" s="74"/>
      <c r="I65" s="74"/>
      <c r="J65" s="75"/>
      <c r="K65" s="81"/>
      <c r="L65" s="76"/>
      <c r="M65" s="76"/>
      <c r="N65" s="76"/>
      <c r="O65" s="71"/>
      <c r="P65" s="70"/>
      <c r="Q65" s="71"/>
      <c r="R65" s="71"/>
      <c r="S65" s="70"/>
      <c r="T65" s="71"/>
      <c r="U65" s="71"/>
      <c r="V65" s="75"/>
      <c r="W65" s="69"/>
      <c r="X65" s="69"/>
      <c r="Y65" s="69"/>
      <c r="Z65" s="69"/>
      <c r="AA65" s="69"/>
      <c r="AB65" s="69"/>
      <c r="AC65" s="69"/>
      <c r="AD65" s="69"/>
      <c r="AE65" s="76"/>
      <c r="AF65" s="71"/>
      <c r="AG65" s="71"/>
      <c r="AH65" s="71"/>
      <c r="AI65" s="71"/>
      <c r="AJ65" s="71"/>
      <c r="AK65" s="71"/>
      <c r="AL65" s="71"/>
      <c r="AM65" s="71"/>
      <c r="AN65" s="68"/>
      <c r="AO65" s="68"/>
      <c r="AP65" s="70"/>
      <c r="AQ65" s="71"/>
      <c r="AR65" s="77"/>
      <c r="AS65" s="70"/>
      <c r="AT65" s="68"/>
      <c r="AU65" s="70"/>
      <c r="AV65" s="70"/>
      <c r="AW65" s="71"/>
      <c r="AX65" s="71"/>
      <c r="AY65" s="70"/>
      <c r="AZ65" s="76"/>
      <c r="BA65" s="76"/>
      <c r="BB65" s="76"/>
      <c r="BC65" s="78"/>
    </row>
    <row r="66" spans="1:55" x14ac:dyDescent="0.25">
      <c r="A66" s="68"/>
      <c r="B66" s="68"/>
      <c r="C66" s="68"/>
      <c r="D66" s="70"/>
      <c r="E66" s="70"/>
      <c r="F66" s="70"/>
      <c r="G66" s="72"/>
      <c r="H66" s="74"/>
      <c r="I66" s="74"/>
      <c r="J66" s="75"/>
      <c r="K66" s="81"/>
      <c r="L66" s="76"/>
      <c r="M66" s="76"/>
      <c r="N66" s="76"/>
      <c r="O66" s="71"/>
      <c r="P66" s="70"/>
      <c r="Q66" s="71"/>
      <c r="R66" s="71"/>
      <c r="S66" s="70"/>
      <c r="T66" s="71"/>
      <c r="U66" s="71"/>
      <c r="V66" s="75"/>
      <c r="W66" s="69"/>
      <c r="X66" s="69"/>
      <c r="Y66" s="69"/>
      <c r="Z66" s="69"/>
      <c r="AA66" s="69"/>
      <c r="AB66" s="69"/>
      <c r="AC66" s="69"/>
      <c r="AD66" s="69"/>
      <c r="AE66" s="76"/>
      <c r="AF66" s="71"/>
      <c r="AG66" s="71"/>
      <c r="AH66" s="71"/>
      <c r="AI66" s="71"/>
      <c r="AJ66" s="71"/>
      <c r="AK66" s="71"/>
      <c r="AL66" s="71"/>
      <c r="AM66" s="71"/>
      <c r="AN66" s="68"/>
      <c r="AO66" s="68"/>
      <c r="AP66" s="70"/>
      <c r="AQ66" s="71"/>
      <c r="AR66" s="77"/>
      <c r="AS66" s="70"/>
      <c r="AT66" s="68"/>
      <c r="AU66" s="70"/>
      <c r="AV66" s="70"/>
      <c r="AW66" s="71"/>
      <c r="AX66" s="71"/>
      <c r="AY66" s="70"/>
      <c r="AZ66" s="76"/>
      <c r="BA66" s="76"/>
      <c r="BB66" s="76"/>
      <c r="BC66" s="78"/>
    </row>
    <row r="67" spans="1:55" x14ac:dyDescent="0.25">
      <c r="A67" s="68"/>
      <c r="B67" s="68"/>
      <c r="C67" s="68"/>
      <c r="D67" s="70"/>
      <c r="E67" s="70"/>
      <c r="F67" s="70"/>
      <c r="G67" s="72"/>
      <c r="H67" s="74"/>
      <c r="I67" s="74"/>
      <c r="J67" s="75"/>
      <c r="K67" s="81"/>
      <c r="L67" s="76"/>
      <c r="M67" s="76"/>
      <c r="N67" s="76"/>
      <c r="O67" s="71"/>
      <c r="P67" s="70"/>
      <c r="Q67" s="71"/>
      <c r="R67" s="71"/>
      <c r="S67" s="70"/>
      <c r="T67" s="71"/>
      <c r="U67" s="71"/>
      <c r="V67" s="75"/>
      <c r="W67" s="69"/>
      <c r="X67" s="69"/>
      <c r="Y67" s="69"/>
      <c r="Z67" s="69"/>
      <c r="AA67" s="69"/>
      <c r="AB67" s="69"/>
      <c r="AC67" s="69"/>
      <c r="AD67" s="69"/>
      <c r="AE67" s="76"/>
      <c r="AF67" s="71"/>
      <c r="AG67" s="71"/>
      <c r="AH67" s="71"/>
      <c r="AI67" s="71"/>
      <c r="AJ67" s="71"/>
      <c r="AK67" s="71"/>
      <c r="AL67" s="71"/>
      <c r="AM67" s="71"/>
      <c r="AN67" s="68"/>
      <c r="AO67" s="68"/>
      <c r="AP67" s="70"/>
      <c r="AQ67" s="71"/>
      <c r="AR67" s="77"/>
      <c r="AS67" s="70"/>
      <c r="AT67" s="68"/>
      <c r="AU67" s="70"/>
      <c r="AV67" s="70"/>
      <c r="AW67" s="71"/>
      <c r="AX67" s="71"/>
      <c r="AY67" s="70"/>
      <c r="AZ67" s="76"/>
      <c r="BA67" s="76"/>
      <c r="BB67" s="76"/>
      <c r="BC67" s="78"/>
    </row>
    <row r="68" spans="1:55" x14ac:dyDescent="0.25">
      <c r="A68" s="68"/>
      <c r="B68" s="68"/>
      <c r="C68" s="68"/>
      <c r="D68" s="70"/>
      <c r="E68" s="70"/>
      <c r="F68" s="70"/>
      <c r="G68" s="72"/>
      <c r="H68" s="74"/>
      <c r="I68" s="74"/>
      <c r="J68" s="75"/>
      <c r="K68" s="81"/>
      <c r="L68" s="76"/>
      <c r="M68" s="76"/>
      <c r="N68" s="76"/>
      <c r="O68" s="71"/>
      <c r="P68" s="70"/>
      <c r="Q68" s="71"/>
      <c r="R68" s="71"/>
      <c r="S68" s="70"/>
      <c r="T68" s="71"/>
      <c r="U68" s="71"/>
      <c r="V68" s="75"/>
      <c r="W68" s="69"/>
      <c r="X68" s="69"/>
      <c r="Y68" s="69"/>
      <c r="Z68" s="69"/>
      <c r="AA68" s="69"/>
      <c r="AB68" s="69"/>
      <c r="AC68" s="69"/>
      <c r="AD68" s="69"/>
      <c r="AE68" s="76"/>
      <c r="AF68" s="71"/>
      <c r="AG68" s="71"/>
      <c r="AH68" s="71"/>
      <c r="AI68" s="71"/>
      <c r="AJ68" s="71"/>
      <c r="AK68" s="71"/>
      <c r="AL68" s="71"/>
      <c r="AM68" s="71"/>
      <c r="AN68" s="68"/>
      <c r="AO68" s="68"/>
      <c r="AP68" s="70"/>
      <c r="AQ68" s="71"/>
      <c r="AR68" s="77"/>
      <c r="AS68" s="70"/>
      <c r="AT68" s="68"/>
      <c r="AU68" s="70"/>
      <c r="AV68" s="70"/>
      <c r="AW68" s="71"/>
      <c r="AX68" s="71"/>
      <c r="AY68" s="70"/>
      <c r="AZ68" s="76"/>
      <c r="BA68" s="76"/>
      <c r="BB68" s="76"/>
      <c r="BC68" s="78"/>
    </row>
    <row r="69" spans="1:55" x14ac:dyDescent="0.25">
      <c r="A69" s="68"/>
      <c r="B69" s="68"/>
      <c r="C69" s="68"/>
      <c r="D69" s="70"/>
      <c r="E69" s="70"/>
      <c r="F69" s="70"/>
      <c r="G69" s="72"/>
      <c r="H69" s="74"/>
      <c r="I69" s="74"/>
      <c r="J69" s="75"/>
      <c r="K69" s="81"/>
      <c r="L69" s="76"/>
      <c r="M69" s="76"/>
      <c r="N69" s="76"/>
      <c r="O69" s="71"/>
      <c r="P69" s="70"/>
      <c r="Q69" s="71"/>
      <c r="R69" s="71"/>
      <c r="S69" s="70"/>
      <c r="T69" s="71"/>
      <c r="U69" s="71"/>
      <c r="V69" s="75"/>
      <c r="W69" s="69"/>
      <c r="X69" s="69"/>
      <c r="Y69" s="69"/>
      <c r="Z69" s="69"/>
      <c r="AA69" s="69"/>
      <c r="AB69" s="69"/>
      <c r="AC69" s="69"/>
      <c r="AD69" s="69"/>
      <c r="AE69" s="76"/>
      <c r="AF69" s="71"/>
      <c r="AG69" s="71"/>
      <c r="AH69" s="71"/>
      <c r="AI69" s="71"/>
      <c r="AJ69" s="71"/>
      <c r="AK69" s="71"/>
      <c r="AL69" s="71"/>
      <c r="AM69" s="71"/>
      <c r="AN69" s="68"/>
      <c r="AO69" s="68"/>
      <c r="AP69" s="70"/>
      <c r="AQ69" s="71"/>
      <c r="AR69" s="77"/>
      <c r="AS69" s="70"/>
      <c r="AT69" s="68"/>
      <c r="AU69" s="70"/>
      <c r="AV69" s="70"/>
      <c r="AW69" s="71"/>
      <c r="AX69" s="71"/>
      <c r="AY69" s="70"/>
      <c r="AZ69" s="76"/>
      <c r="BA69" s="76"/>
      <c r="BB69" s="76"/>
      <c r="BC69" s="78"/>
    </row>
    <row r="70" spans="1:55" x14ac:dyDescent="0.25">
      <c r="A70" s="68"/>
      <c r="B70" s="68"/>
      <c r="C70" s="68"/>
      <c r="D70" s="70"/>
      <c r="E70" s="70"/>
      <c r="F70" s="70"/>
      <c r="G70" s="72"/>
      <c r="H70" s="74"/>
      <c r="I70" s="74"/>
      <c r="J70" s="75"/>
      <c r="K70" s="81"/>
      <c r="L70" s="76"/>
      <c r="M70" s="76"/>
      <c r="N70" s="76"/>
      <c r="O70" s="71"/>
      <c r="P70" s="70"/>
      <c r="Q70" s="71"/>
      <c r="R70" s="71"/>
      <c r="S70" s="70"/>
      <c r="T70" s="71"/>
      <c r="U70" s="71"/>
      <c r="V70" s="75"/>
      <c r="W70" s="69"/>
      <c r="X70" s="69"/>
      <c r="Y70" s="69"/>
      <c r="Z70" s="69"/>
      <c r="AA70" s="69"/>
      <c r="AB70" s="69"/>
      <c r="AC70" s="69"/>
      <c r="AD70" s="69"/>
      <c r="AE70" s="76"/>
      <c r="AF70" s="71"/>
      <c r="AG70" s="71"/>
      <c r="AH70" s="71"/>
      <c r="AI70" s="71"/>
      <c r="AJ70" s="71"/>
      <c r="AK70" s="71"/>
      <c r="AL70" s="71"/>
      <c r="AM70" s="71"/>
      <c r="AN70" s="68"/>
      <c r="AO70" s="68"/>
      <c r="AP70" s="70"/>
      <c r="AQ70" s="71"/>
      <c r="AR70" s="77"/>
      <c r="AS70" s="70"/>
      <c r="AT70" s="68"/>
      <c r="AU70" s="70"/>
      <c r="AV70" s="70"/>
      <c r="AW70" s="71"/>
      <c r="AX70" s="71"/>
      <c r="AY70" s="70"/>
      <c r="AZ70" s="76"/>
      <c r="BA70" s="76"/>
      <c r="BB70" s="76"/>
      <c r="BC70" s="78"/>
    </row>
    <row r="71" spans="1:55" x14ac:dyDescent="0.25">
      <c r="A71" s="68"/>
      <c r="B71" s="68"/>
      <c r="C71" s="68"/>
      <c r="D71" s="70"/>
      <c r="E71" s="70"/>
      <c r="F71" s="70"/>
      <c r="G71" s="72"/>
      <c r="H71" s="74"/>
      <c r="I71" s="74"/>
      <c r="J71" s="75"/>
      <c r="K71" s="81"/>
      <c r="L71" s="76"/>
      <c r="M71" s="76"/>
      <c r="N71" s="76"/>
      <c r="O71" s="71"/>
      <c r="P71" s="70"/>
      <c r="Q71" s="71"/>
      <c r="R71" s="71"/>
      <c r="S71" s="70"/>
      <c r="T71" s="71"/>
      <c r="U71" s="71"/>
      <c r="V71" s="75"/>
      <c r="W71" s="69"/>
      <c r="X71" s="69"/>
      <c r="Y71" s="69"/>
      <c r="Z71" s="69"/>
      <c r="AA71" s="69"/>
      <c r="AB71" s="69"/>
      <c r="AC71" s="69"/>
      <c r="AD71" s="69"/>
      <c r="AE71" s="76"/>
      <c r="AF71" s="71"/>
      <c r="AG71" s="71"/>
      <c r="AH71" s="71"/>
      <c r="AI71" s="71"/>
      <c r="AJ71" s="71"/>
      <c r="AK71" s="71"/>
      <c r="AL71" s="71"/>
      <c r="AM71" s="71"/>
      <c r="AN71" s="68"/>
      <c r="AO71" s="68"/>
      <c r="AP71" s="70"/>
      <c r="AQ71" s="71"/>
      <c r="AR71" s="77"/>
      <c r="AS71" s="70"/>
      <c r="AT71" s="68"/>
      <c r="AU71" s="70"/>
      <c r="AV71" s="70"/>
      <c r="AW71" s="71"/>
      <c r="AX71" s="71"/>
      <c r="AY71" s="70"/>
      <c r="AZ71" s="76"/>
      <c r="BA71" s="76"/>
      <c r="BB71" s="76"/>
      <c r="BC71" s="78"/>
    </row>
    <row r="72" spans="1:55" x14ac:dyDescent="0.25">
      <c r="A72" s="68"/>
      <c r="B72" s="68"/>
      <c r="C72" s="68"/>
      <c r="D72" s="70"/>
      <c r="E72" s="70"/>
      <c r="F72" s="70"/>
      <c r="G72" s="72"/>
      <c r="H72" s="74"/>
      <c r="I72" s="74"/>
      <c r="J72" s="75"/>
      <c r="K72" s="81"/>
      <c r="L72" s="76"/>
      <c r="M72" s="76"/>
      <c r="N72" s="76"/>
      <c r="O72" s="71"/>
      <c r="P72" s="70"/>
      <c r="Q72" s="71"/>
      <c r="R72" s="71"/>
      <c r="S72" s="70"/>
      <c r="T72" s="71"/>
      <c r="U72" s="71"/>
      <c r="V72" s="75"/>
      <c r="W72" s="69"/>
      <c r="X72" s="69"/>
      <c r="Y72" s="69"/>
      <c r="Z72" s="69"/>
      <c r="AA72" s="69"/>
      <c r="AB72" s="69"/>
      <c r="AC72" s="69"/>
      <c r="AD72" s="69"/>
      <c r="AE72" s="76"/>
      <c r="AF72" s="71"/>
      <c r="AG72" s="71"/>
      <c r="AH72" s="71"/>
      <c r="AI72" s="71"/>
      <c r="AJ72" s="71"/>
      <c r="AK72" s="71"/>
      <c r="AL72" s="71"/>
      <c r="AM72" s="71"/>
      <c r="AN72" s="68"/>
      <c r="AO72" s="68"/>
      <c r="AP72" s="70"/>
      <c r="AQ72" s="71"/>
      <c r="AR72" s="77"/>
      <c r="AS72" s="70"/>
      <c r="AT72" s="68"/>
      <c r="AU72" s="70"/>
      <c r="AV72" s="70"/>
      <c r="AW72" s="71"/>
      <c r="AX72" s="71"/>
      <c r="AY72" s="70"/>
      <c r="AZ72" s="76"/>
      <c r="BA72" s="76"/>
      <c r="BB72" s="76"/>
      <c r="BC72" s="78"/>
    </row>
    <row r="73" spans="1:55" x14ac:dyDescent="0.25">
      <c r="A73" s="68"/>
      <c r="B73" s="68"/>
      <c r="C73" s="68"/>
      <c r="D73" s="70"/>
      <c r="E73" s="70"/>
      <c r="F73" s="70"/>
      <c r="G73" s="72"/>
      <c r="H73" s="74"/>
      <c r="I73" s="74"/>
      <c r="J73" s="75"/>
      <c r="K73" s="81"/>
      <c r="L73" s="76"/>
      <c r="M73" s="76"/>
      <c r="N73" s="76"/>
      <c r="O73" s="71"/>
      <c r="P73" s="70"/>
      <c r="Q73" s="71"/>
      <c r="R73" s="71"/>
      <c r="S73" s="70"/>
      <c r="T73" s="71"/>
      <c r="U73" s="71"/>
      <c r="V73" s="75"/>
      <c r="W73" s="69"/>
      <c r="X73" s="69"/>
      <c r="Y73" s="69"/>
      <c r="Z73" s="69"/>
      <c r="AA73" s="69"/>
      <c r="AB73" s="69"/>
      <c r="AC73" s="69"/>
      <c r="AD73" s="69"/>
      <c r="AE73" s="76"/>
      <c r="AF73" s="71"/>
      <c r="AG73" s="71"/>
      <c r="AH73" s="71"/>
      <c r="AI73" s="71"/>
      <c r="AJ73" s="71"/>
      <c r="AK73" s="71"/>
      <c r="AL73" s="71"/>
      <c r="AM73" s="71"/>
      <c r="AN73" s="68"/>
      <c r="AO73" s="68"/>
      <c r="AP73" s="70"/>
      <c r="AQ73" s="71"/>
      <c r="AR73" s="77"/>
      <c r="AS73" s="70"/>
      <c r="AT73" s="68"/>
      <c r="AU73" s="70"/>
      <c r="AV73" s="70"/>
      <c r="AW73" s="71"/>
      <c r="AX73" s="71"/>
      <c r="AY73" s="70"/>
      <c r="AZ73" s="76"/>
      <c r="BA73" s="76"/>
      <c r="BB73" s="76"/>
      <c r="BC73" s="78"/>
    </row>
    <row r="74" spans="1:55" x14ac:dyDescent="0.25">
      <c r="A74" s="68"/>
      <c r="B74" s="68"/>
      <c r="C74" s="68"/>
      <c r="D74" s="70"/>
      <c r="E74" s="70"/>
      <c r="F74" s="70"/>
      <c r="G74" s="72"/>
      <c r="H74" s="74"/>
      <c r="I74" s="74"/>
      <c r="J74" s="75"/>
      <c r="K74" s="81"/>
      <c r="L74" s="76"/>
      <c r="M74" s="76"/>
      <c r="N74" s="76"/>
      <c r="O74" s="71"/>
      <c r="P74" s="70"/>
      <c r="Q74" s="71"/>
      <c r="R74" s="71"/>
      <c r="S74" s="70"/>
      <c r="T74" s="71"/>
      <c r="U74" s="71"/>
      <c r="V74" s="75"/>
      <c r="W74" s="69"/>
      <c r="X74" s="69"/>
      <c r="Y74" s="69"/>
      <c r="Z74" s="69"/>
      <c r="AA74" s="69"/>
      <c r="AB74" s="69"/>
      <c r="AC74" s="69"/>
      <c r="AD74" s="69"/>
      <c r="AE74" s="76"/>
      <c r="AF74" s="71"/>
      <c r="AG74" s="71"/>
      <c r="AH74" s="71"/>
      <c r="AI74" s="71"/>
      <c r="AJ74" s="71"/>
      <c r="AK74" s="71"/>
      <c r="AL74" s="71"/>
      <c r="AM74" s="71"/>
      <c r="AN74" s="68"/>
      <c r="AO74" s="68"/>
      <c r="AP74" s="70"/>
      <c r="AQ74" s="71"/>
      <c r="AR74" s="77"/>
      <c r="AS74" s="70"/>
      <c r="AT74" s="68"/>
      <c r="AU74" s="70"/>
      <c r="AV74" s="70"/>
      <c r="AW74" s="71"/>
      <c r="AX74" s="71"/>
      <c r="AY74" s="70"/>
      <c r="AZ74" s="76"/>
      <c r="BA74" s="76"/>
      <c r="BB74" s="76"/>
      <c r="BC74" s="78"/>
    </row>
    <row r="75" spans="1:55" x14ac:dyDescent="0.25">
      <c r="A75" s="68"/>
      <c r="B75" s="68"/>
      <c r="C75" s="68"/>
      <c r="D75" s="70"/>
      <c r="E75" s="70"/>
      <c r="F75" s="70"/>
      <c r="G75" s="72"/>
      <c r="H75" s="74"/>
      <c r="I75" s="74"/>
      <c r="J75" s="75"/>
      <c r="K75" s="81"/>
      <c r="L75" s="76"/>
      <c r="M75" s="76"/>
      <c r="N75" s="76"/>
      <c r="O75" s="71"/>
      <c r="P75" s="70"/>
      <c r="Q75" s="71"/>
      <c r="R75" s="71"/>
      <c r="S75" s="70"/>
      <c r="T75" s="71"/>
      <c r="U75" s="71"/>
      <c r="V75" s="75"/>
      <c r="W75" s="69"/>
      <c r="X75" s="69"/>
      <c r="Y75" s="69"/>
      <c r="Z75" s="69"/>
      <c r="AA75" s="69"/>
      <c r="AB75" s="69"/>
      <c r="AC75" s="69"/>
      <c r="AD75" s="69"/>
      <c r="AE75" s="76"/>
      <c r="AF75" s="71"/>
      <c r="AG75" s="71"/>
      <c r="AH75" s="71"/>
      <c r="AI75" s="71"/>
      <c r="AJ75" s="71"/>
      <c r="AK75" s="71"/>
      <c r="AL75" s="71"/>
      <c r="AM75" s="71"/>
      <c r="AN75" s="68"/>
      <c r="AO75" s="68"/>
      <c r="AP75" s="70"/>
      <c r="AQ75" s="71"/>
      <c r="AR75" s="77"/>
      <c r="AS75" s="70"/>
      <c r="AT75" s="68"/>
      <c r="AU75" s="70"/>
      <c r="AV75" s="70"/>
      <c r="AW75" s="71"/>
      <c r="AX75" s="71"/>
      <c r="AY75" s="70"/>
      <c r="AZ75" s="76"/>
      <c r="BA75" s="76"/>
      <c r="BB75" s="76"/>
      <c r="BC75" s="78"/>
    </row>
    <row r="76" spans="1:55" x14ac:dyDescent="0.25">
      <c r="A76" s="68"/>
      <c r="B76" s="68"/>
      <c r="C76" s="68"/>
      <c r="D76" s="70"/>
      <c r="E76" s="70"/>
      <c r="F76" s="70"/>
      <c r="G76" s="72"/>
      <c r="H76" s="74"/>
      <c r="I76" s="74"/>
      <c r="J76" s="75"/>
      <c r="K76" s="81"/>
      <c r="L76" s="76"/>
      <c r="M76" s="76"/>
      <c r="N76" s="76"/>
      <c r="O76" s="71"/>
      <c r="P76" s="70"/>
      <c r="Q76" s="71"/>
      <c r="R76" s="71"/>
      <c r="S76" s="70"/>
      <c r="T76" s="71"/>
      <c r="U76" s="71"/>
      <c r="V76" s="75"/>
      <c r="W76" s="69"/>
      <c r="X76" s="69"/>
      <c r="Y76" s="69"/>
      <c r="Z76" s="69"/>
      <c r="AA76" s="69"/>
      <c r="AB76" s="69"/>
      <c r="AC76" s="69"/>
      <c r="AD76" s="69"/>
      <c r="AE76" s="76"/>
      <c r="AF76" s="71"/>
      <c r="AG76" s="71"/>
      <c r="AH76" s="71"/>
      <c r="AI76" s="71"/>
      <c r="AJ76" s="71"/>
      <c r="AK76" s="71"/>
      <c r="AL76" s="71"/>
      <c r="AM76" s="71"/>
      <c r="AN76" s="68"/>
      <c r="AO76" s="68"/>
      <c r="AP76" s="70"/>
      <c r="AQ76" s="71"/>
      <c r="AR76" s="77"/>
      <c r="AS76" s="70"/>
      <c r="AT76" s="68"/>
      <c r="AU76" s="70"/>
      <c r="AV76" s="70"/>
      <c r="AW76" s="71"/>
      <c r="AX76" s="71"/>
      <c r="AY76" s="70"/>
      <c r="AZ76" s="76"/>
      <c r="BA76" s="76"/>
      <c r="BB76" s="76"/>
      <c r="BC76" s="78"/>
    </row>
    <row r="77" spans="1:55" x14ac:dyDescent="0.25">
      <c r="A77" s="68"/>
      <c r="B77" s="68"/>
      <c r="C77" s="68"/>
      <c r="D77" s="70"/>
      <c r="E77" s="70"/>
      <c r="F77" s="70"/>
      <c r="G77" s="72"/>
      <c r="H77" s="74"/>
      <c r="I77" s="74"/>
      <c r="J77" s="75"/>
      <c r="K77" s="81"/>
      <c r="L77" s="76"/>
      <c r="M77" s="76"/>
      <c r="N77" s="76"/>
      <c r="O77" s="71"/>
      <c r="P77" s="70"/>
      <c r="Q77" s="71"/>
      <c r="R77" s="71"/>
      <c r="S77" s="70"/>
      <c r="T77" s="71"/>
      <c r="U77" s="71"/>
      <c r="V77" s="75"/>
      <c r="W77" s="69"/>
      <c r="X77" s="69"/>
      <c r="Y77" s="69"/>
      <c r="Z77" s="69"/>
      <c r="AA77" s="69"/>
      <c r="AB77" s="69"/>
      <c r="AC77" s="69"/>
      <c r="AD77" s="69"/>
      <c r="AE77" s="76"/>
      <c r="AF77" s="71"/>
      <c r="AG77" s="71"/>
      <c r="AH77" s="71"/>
      <c r="AI77" s="71"/>
      <c r="AJ77" s="71"/>
      <c r="AK77" s="71"/>
      <c r="AL77" s="71"/>
      <c r="AM77" s="71"/>
      <c r="AN77" s="68"/>
      <c r="AO77" s="68"/>
      <c r="AP77" s="70"/>
      <c r="AQ77" s="71"/>
      <c r="AR77" s="77"/>
      <c r="AS77" s="70"/>
      <c r="AT77" s="68"/>
      <c r="AU77" s="70"/>
      <c r="AV77" s="70"/>
      <c r="AW77" s="71"/>
      <c r="AX77" s="71"/>
      <c r="AY77" s="70"/>
      <c r="AZ77" s="76"/>
      <c r="BA77" s="76"/>
      <c r="BB77" s="76"/>
      <c r="BC77" s="78"/>
    </row>
    <row r="78" spans="1:55" x14ac:dyDescent="0.25">
      <c r="A78" s="68"/>
      <c r="B78" s="68"/>
      <c r="C78" s="68"/>
      <c r="D78" s="70"/>
      <c r="E78" s="70"/>
      <c r="F78" s="70"/>
      <c r="G78" s="72"/>
      <c r="H78" s="74"/>
      <c r="I78" s="74"/>
      <c r="J78" s="75"/>
      <c r="K78" s="81"/>
      <c r="L78" s="76"/>
      <c r="M78" s="76"/>
      <c r="N78" s="76"/>
      <c r="O78" s="71"/>
      <c r="P78" s="70"/>
      <c r="Q78" s="71"/>
      <c r="R78" s="71"/>
      <c r="S78" s="70"/>
      <c r="T78" s="71"/>
      <c r="U78" s="71"/>
      <c r="V78" s="75"/>
      <c r="W78" s="69"/>
      <c r="X78" s="69"/>
      <c r="Y78" s="69"/>
      <c r="Z78" s="69"/>
      <c r="AA78" s="69"/>
      <c r="AB78" s="69"/>
      <c r="AC78" s="69"/>
      <c r="AD78" s="69"/>
      <c r="AE78" s="76"/>
      <c r="AF78" s="71"/>
      <c r="AG78" s="71"/>
      <c r="AH78" s="71"/>
      <c r="AI78" s="71"/>
      <c r="AJ78" s="71"/>
      <c r="AK78" s="71"/>
      <c r="AL78" s="71"/>
      <c r="AM78" s="71"/>
      <c r="AN78" s="68"/>
      <c r="AO78" s="68"/>
      <c r="AP78" s="70"/>
      <c r="AQ78" s="71"/>
      <c r="AR78" s="77"/>
      <c r="AS78" s="70"/>
      <c r="AT78" s="68"/>
      <c r="AU78" s="70"/>
      <c r="AV78" s="70"/>
      <c r="AW78" s="71"/>
      <c r="AX78" s="71"/>
      <c r="AY78" s="70"/>
      <c r="AZ78" s="76"/>
      <c r="BA78" s="76"/>
      <c r="BB78" s="76"/>
      <c r="BC78" s="78"/>
    </row>
    <row r="79" spans="1:55" x14ac:dyDescent="0.25">
      <c r="A79" s="68"/>
      <c r="B79" s="68"/>
      <c r="C79" s="68"/>
      <c r="D79" s="70"/>
      <c r="E79" s="70"/>
      <c r="F79" s="70"/>
      <c r="G79" s="72"/>
      <c r="H79" s="74"/>
      <c r="I79" s="74"/>
      <c r="J79" s="75"/>
      <c r="K79" s="81"/>
      <c r="L79" s="76"/>
      <c r="M79" s="76"/>
      <c r="N79" s="76"/>
      <c r="O79" s="71"/>
      <c r="P79" s="70"/>
      <c r="Q79" s="71"/>
      <c r="R79" s="71"/>
      <c r="S79" s="70"/>
      <c r="T79" s="71"/>
      <c r="U79" s="71"/>
      <c r="V79" s="75"/>
      <c r="W79" s="69"/>
      <c r="X79" s="69"/>
      <c r="Y79" s="69"/>
      <c r="Z79" s="69"/>
      <c r="AA79" s="69"/>
      <c r="AB79" s="69"/>
      <c r="AC79" s="69"/>
      <c r="AD79" s="69"/>
      <c r="AE79" s="76"/>
      <c r="AF79" s="71"/>
      <c r="AG79" s="71"/>
      <c r="AH79" s="71"/>
      <c r="AI79" s="71"/>
      <c r="AJ79" s="71"/>
      <c r="AK79" s="71"/>
      <c r="AL79" s="71"/>
      <c r="AM79" s="71"/>
      <c r="AN79" s="68"/>
      <c r="AO79" s="68"/>
      <c r="AP79" s="70"/>
      <c r="AQ79" s="71"/>
      <c r="AR79" s="77"/>
      <c r="AS79" s="70"/>
      <c r="AT79" s="68"/>
      <c r="AU79" s="70"/>
      <c r="AV79" s="70"/>
      <c r="AW79" s="71"/>
      <c r="AX79" s="71"/>
      <c r="AY79" s="70"/>
      <c r="AZ79" s="76"/>
      <c r="BA79" s="76"/>
      <c r="BB79" s="76"/>
      <c r="BC79" s="78"/>
    </row>
    <row r="80" spans="1:55" x14ac:dyDescent="0.25">
      <c r="A80" s="68"/>
      <c r="B80" s="68"/>
      <c r="C80" s="68"/>
      <c r="D80" s="70"/>
      <c r="E80" s="70"/>
      <c r="F80" s="70"/>
      <c r="G80" s="72"/>
      <c r="H80" s="74"/>
      <c r="I80" s="74"/>
      <c r="J80" s="75"/>
      <c r="K80" s="81"/>
      <c r="L80" s="76"/>
      <c r="M80" s="76"/>
      <c r="N80" s="76"/>
      <c r="O80" s="71"/>
      <c r="P80" s="70"/>
      <c r="Q80" s="71"/>
      <c r="R80" s="71"/>
      <c r="S80" s="70"/>
      <c r="T80" s="71"/>
      <c r="U80" s="71"/>
      <c r="V80" s="75"/>
      <c r="W80" s="69"/>
      <c r="X80" s="69"/>
      <c r="Y80" s="69"/>
      <c r="Z80" s="69"/>
      <c r="AA80" s="69"/>
      <c r="AB80" s="69"/>
      <c r="AC80" s="69"/>
      <c r="AD80" s="69"/>
      <c r="AE80" s="76"/>
      <c r="AF80" s="71"/>
      <c r="AG80" s="71"/>
      <c r="AH80" s="71"/>
      <c r="AI80" s="71"/>
      <c r="AJ80" s="71"/>
      <c r="AK80" s="71"/>
      <c r="AL80" s="71"/>
      <c r="AM80" s="71"/>
      <c r="AN80" s="68"/>
      <c r="AO80" s="68"/>
      <c r="AP80" s="70"/>
      <c r="AQ80" s="71"/>
      <c r="AR80" s="77"/>
      <c r="AS80" s="70"/>
      <c r="AT80" s="68"/>
      <c r="AU80" s="70"/>
      <c r="AV80" s="70"/>
      <c r="AW80" s="71"/>
      <c r="AX80" s="71"/>
      <c r="AY80" s="70"/>
      <c r="AZ80" s="76"/>
      <c r="BA80" s="76"/>
      <c r="BB80" s="76"/>
      <c r="BC80" s="78"/>
    </row>
    <row r="81" spans="1:55" x14ac:dyDescent="0.25">
      <c r="A81" s="68"/>
      <c r="B81" s="68"/>
      <c r="C81" s="68"/>
      <c r="D81" s="70"/>
      <c r="E81" s="70"/>
      <c r="F81" s="70"/>
      <c r="G81" s="72"/>
      <c r="H81" s="74"/>
      <c r="I81" s="74"/>
      <c r="J81" s="75"/>
      <c r="K81" s="81"/>
      <c r="L81" s="76"/>
      <c r="M81" s="76"/>
      <c r="N81" s="76"/>
      <c r="O81" s="71"/>
      <c r="P81" s="70"/>
      <c r="Q81" s="71"/>
      <c r="R81" s="71"/>
      <c r="S81" s="70"/>
      <c r="T81" s="71"/>
      <c r="U81" s="71"/>
      <c r="V81" s="75"/>
      <c r="W81" s="69"/>
      <c r="X81" s="69"/>
      <c r="Y81" s="69"/>
      <c r="Z81" s="69"/>
      <c r="AA81" s="69"/>
      <c r="AB81" s="69"/>
      <c r="AC81" s="69"/>
      <c r="AD81" s="69"/>
      <c r="AE81" s="76"/>
      <c r="AF81" s="71"/>
      <c r="AG81" s="71"/>
      <c r="AH81" s="71"/>
      <c r="AI81" s="71"/>
      <c r="AJ81" s="71"/>
      <c r="AK81" s="71"/>
      <c r="AL81" s="71"/>
      <c r="AM81" s="71"/>
      <c r="AN81" s="68"/>
      <c r="AO81" s="68"/>
      <c r="AP81" s="70"/>
      <c r="AQ81" s="71"/>
      <c r="AR81" s="77"/>
      <c r="AS81" s="70"/>
      <c r="AT81" s="68"/>
      <c r="AU81" s="70"/>
      <c r="AV81" s="70"/>
      <c r="AW81" s="71"/>
      <c r="AX81" s="71"/>
      <c r="AY81" s="70"/>
      <c r="AZ81" s="76"/>
      <c r="BA81" s="76"/>
      <c r="BB81" s="76"/>
      <c r="BC81" s="78"/>
    </row>
    <row r="82" spans="1:55" x14ac:dyDescent="0.25">
      <c r="A82" s="68"/>
      <c r="B82" s="68"/>
      <c r="C82" s="68"/>
      <c r="D82" s="70"/>
      <c r="E82" s="70"/>
      <c r="F82" s="70"/>
      <c r="G82" s="72"/>
      <c r="H82" s="74"/>
      <c r="I82" s="74"/>
      <c r="J82" s="75"/>
      <c r="K82" s="81"/>
      <c r="L82" s="76"/>
      <c r="M82" s="76"/>
      <c r="N82" s="76"/>
      <c r="O82" s="71"/>
      <c r="P82" s="70"/>
      <c r="Q82" s="71"/>
      <c r="R82" s="71"/>
      <c r="S82" s="70"/>
      <c r="T82" s="71"/>
      <c r="U82" s="71"/>
      <c r="V82" s="75"/>
      <c r="W82" s="69"/>
      <c r="X82" s="69"/>
      <c r="Y82" s="69"/>
      <c r="Z82" s="69"/>
      <c r="AA82" s="69"/>
      <c r="AB82" s="69"/>
      <c r="AC82" s="69"/>
      <c r="AD82" s="69"/>
      <c r="AE82" s="76"/>
      <c r="AF82" s="71"/>
      <c r="AG82" s="71"/>
      <c r="AH82" s="71"/>
      <c r="AI82" s="71"/>
      <c r="AJ82" s="71"/>
      <c r="AK82" s="71"/>
      <c r="AL82" s="71"/>
      <c r="AM82" s="71"/>
      <c r="AN82" s="68"/>
      <c r="AO82" s="68"/>
      <c r="AP82" s="70"/>
      <c r="AQ82" s="71"/>
      <c r="AR82" s="77"/>
      <c r="AS82" s="70"/>
      <c r="AT82" s="68"/>
      <c r="AU82" s="70"/>
      <c r="AV82" s="70"/>
      <c r="AW82" s="71"/>
      <c r="AX82" s="71"/>
      <c r="AY82" s="70"/>
      <c r="AZ82" s="76"/>
      <c r="BA82" s="76"/>
      <c r="BB82" s="76"/>
      <c r="BC82" s="78"/>
    </row>
    <row r="83" spans="1:55" x14ac:dyDescent="0.25">
      <c r="A83" s="68"/>
      <c r="B83" s="68"/>
      <c r="C83" s="68"/>
      <c r="D83" s="70"/>
      <c r="E83" s="70"/>
      <c r="F83" s="70"/>
      <c r="G83" s="72"/>
      <c r="H83" s="74"/>
      <c r="I83" s="74"/>
      <c r="J83" s="75"/>
      <c r="K83" s="81"/>
      <c r="L83" s="76"/>
      <c r="M83" s="76"/>
      <c r="N83" s="76"/>
      <c r="O83" s="71"/>
      <c r="P83" s="70"/>
      <c r="Q83" s="71"/>
      <c r="R83" s="71"/>
      <c r="S83" s="70"/>
      <c r="T83" s="71"/>
      <c r="U83" s="71"/>
      <c r="V83" s="75"/>
      <c r="W83" s="69"/>
      <c r="X83" s="69"/>
      <c r="Y83" s="69"/>
      <c r="Z83" s="69"/>
      <c r="AA83" s="69"/>
      <c r="AB83" s="69"/>
      <c r="AC83" s="69"/>
      <c r="AD83" s="69"/>
      <c r="AE83" s="76"/>
      <c r="AF83" s="71"/>
      <c r="AG83" s="71"/>
      <c r="AH83" s="71"/>
      <c r="AI83" s="71"/>
      <c r="AJ83" s="71"/>
      <c r="AK83" s="71"/>
      <c r="AL83" s="71"/>
      <c r="AM83" s="71"/>
      <c r="AN83" s="68"/>
      <c r="AO83" s="68"/>
      <c r="AP83" s="70"/>
      <c r="AQ83" s="71"/>
      <c r="AR83" s="77"/>
      <c r="AS83" s="70"/>
      <c r="AT83" s="68"/>
      <c r="AU83" s="70"/>
      <c r="AV83" s="70"/>
      <c r="AW83" s="71"/>
      <c r="AX83" s="71"/>
      <c r="AY83" s="70"/>
      <c r="AZ83" s="76"/>
      <c r="BA83" s="76"/>
      <c r="BB83" s="76"/>
      <c r="BC83" s="78"/>
    </row>
    <row r="84" spans="1:55" x14ac:dyDescent="0.25">
      <c r="A84" s="68"/>
      <c r="B84" s="68"/>
      <c r="C84" s="68"/>
      <c r="D84" s="70"/>
      <c r="E84" s="70"/>
      <c r="F84" s="70"/>
      <c r="G84" s="72"/>
      <c r="H84" s="74"/>
      <c r="I84" s="74"/>
      <c r="J84" s="75"/>
      <c r="K84" s="81"/>
      <c r="L84" s="76"/>
      <c r="M84" s="76"/>
      <c r="N84" s="76"/>
      <c r="O84" s="71"/>
      <c r="P84" s="70"/>
      <c r="Q84" s="71"/>
      <c r="R84" s="71"/>
      <c r="S84" s="70"/>
      <c r="T84" s="71"/>
      <c r="U84" s="71"/>
      <c r="V84" s="75"/>
      <c r="W84" s="69"/>
      <c r="X84" s="69"/>
      <c r="Y84" s="69"/>
      <c r="Z84" s="69"/>
      <c r="AA84" s="69"/>
      <c r="AB84" s="69"/>
      <c r="AC84" s="69"/>
      <c r="AD84" s="69"/>
      <c r="AE84" s="76"/>
      <c r="AF84" s="71"/>
      <c r="AG84" s="71"/>
      <c r="AH84" s="71"/>
      <c r="AI84" s="71"/>
      <c r="AJ84" s="71"/>
      <c r="AK84" s="71"/>
      <c r="AL84" s="71"/>
      <c r="AM84" s="71"/>
      <c r="AN84" s="68"/>
      <c r="AO84" s="68"/>
      <c r="AP84" s="70"/>
      <c r="AQ84" s="71"/>
      <c r="AR84" s="77"/>
      <c r="AS84" s="70"/>
      <c r="AT84" s="68"/>
      <c r="AU84" s="70"/>
      <c r="AV84" s="70"/>
      <c r="AW84" s="71"/>
      <c r="AX84" s="71"/>
      <c r="AY84" s="70"/>
      <c r="AZ84" s="76"/>
      <c r="BA84" s="76"/>
      <c r="BB84" s="76"/>
      <c r="BC84" s="78"/>
    </row>
    <row r="85" spans="1:55" x14ac:dyDescent="0.25">
      <c r="A85" s="68"/>
      <c r="B85" s="68"/>
      <c r="C85" s="68"/>
      <c r="D85" s="70"/>
      <c r="E85" s="70"/>
      <c r="F85" s="70"/>
      <c r="G85" s="72"/>
      <c r="H85" s="74"/>
      <c r="I85" s="74"/>
      <c r="J85" s="75"/>
      <c r="K85" s="81"/>
      <c r="L85" s="76"/>
      <c r="M85" s="76"/>
      <c r="N85" s="76"/>
      <c r="O85" s="71"/>
      <c r="P85" s="70"/>
      <c r="Q85" s="71"/>
      <c r="R85" s="71"/>
      <c r="S85" s="70"/>
      <c r="T85" s="71"/>
      <c r="U85" s="71"/>
      <c r="V85" s="75"/>
      <c r="W85" s="69"/>
      <c r="X85" s="69"/>
      <c r="Y85" s="69"/>
      <c r="Z85" s="69"/>
      <c r="AA85" s="69"/>
      <c r="AB85" s="69"/>
      <c r="AC85" s="69"/>
      <c r="AD85" s="69"/>
      <c r="AE85" s="76"/>
      <c r="AF85" s="71"/>
      <c r="AG85" s="71"/>
      <c r="AH85" s="71"/>
      <c r="AI85" s="71"/>
      <c r="AJ85" s="71"/>
      <c r="AK85" s="71"/>
      <c r="AL85" s="71"/>
      <c r="AM85" s="71"/>
      <c r="AN85" s="68"/>
      <c r="AO85" s="68"/>
      <c r="AP85" s="70"/>
      <c r="AQ85" s="71"/>
      <c r="AR85" s="77"/>
      <c r="AS85" s="70"/>
      <c r="AT85" s="68"/>
      <c r="AU85" s="70"/>
      <c r="AV85" s="70"/>
      <c r="AW85" s="71"/>
      <c r="AX85" s="71"/>
      <c r="AY85" s="70"/>
      <c r="AZ85" s="76"/>
      <c r="BA85" s="76"/>
      <c r="BB85" s="76"/>
      <c r="BC85" s="78"/>
    </row>
    <row r="86" spans="1:55" x14ac:dyDescent="0.25">
      <c r="A86" s="68"/>
      <c r="B86" s="68"/>
      <c r="C86" s="68"/>
      <c r="D86" s="70"/>
      <c r="E86" s="70"/>
      <c r="F86" s="70"/>
      <c r="G86" s="72"/>
      <c r="H86" s="74"/>
      <c r="I86" s="74"/>
      <c r="J86" s="75"/>
      <c r="K86" s="81"/>
      <c r="L86" s="76"/>
      <c r="M86" s="76"/>
      <c r="N86" s="76"/>
      <c r="O86" s="71"/>
      <c r="P86" s="70"/>
      <c r="Q86" s="71"/>
      <c r="R86" s="71"/>
      <c r="S86" s="70"/>
      <c r="T86" s="71"/>
      <c r="U86" s="71"/>
      <c r="V86" s="75"/>
      <c r="W86" s="69"/>
      <c r="X86" s="69"/>
      <c r="Y86" s="69"/>
      <c r="Z86" s="69"/>
      <c r="AA86" s="69"/>
      <c r="AB86" s="69"/>
      <c r="AC86" s="69"/>
      <c r="AD86" s="69"/>
      <c r="AE86" s="76"/>
      <c r="AF86" s="71"/>
      <c r="AG86" s="71"/>
      <c r="AH86" s="71"/>
      <c r="AI86" s="71"/>
      <c r="AJ86" s="71"/>
      <c r="AK86" s="71"/>
      <c r="AL86" s="71"/>
      <c r="AM86" s="71"/>
      <c r="AN86" s="68"/>
      <c r="AO86" s="68"/>
      <c r="AP86" s="70"/>
      <c r="AQ86" s="71"/>
      <c r="AR86" s="77"/>
      <c r="AS86" s="70"/>
      <c r="AT86" s="68"/>
      <c r="AU86" s="70"/>
      <c r="AV86" s="70"/>
      <c r="AW86" s="71"/>
      <c r="AX86" s="71"/>
      <c r="AY86" s="70"/>
      <c r="AZ86" s="76"/>
      <c r="BA86" s="76"/>
      <c r="BB86" s="76"/>
      <c r="BC86" s="78"/>
    </row>
    <row r="87" spans="1:55" x14ac:dyDescent="0.25">
      <c r="A87" s="68"/>
      <c r="B87" s="68"/>
      <c r="C87" s="68"/>
      <c r="D87" s="70"/>
      <c r="E87" s="70"/>
      <c r="F87" s="70"/>
      <c r="G87" s="72"/>
      <c r="H87" s="74"/>
      <c r="I87" s="74"/>
      <c r="J87" s="75"/>
      <c r="K87" s="81"/>
      <c r="L87" s="76"/>
      <c r="M87" s="76"/>
      <c r="N87" s="76"/>
      <c r="O87" s="71"/>
      <c r="P87" s="70"/>
      <c r="Q87" s="71"/>
      <c r="R87" s="71"/>
      <c r="S87" s="70"/>
      <c r="T87" s="71"/>
      <c r="U87" s="71"/>
      <c r="V87" s="75"/>
      <c r="W87" s="69"/>
      <c r="X87" s="69"/>
      <c r="Y87" s="69"/>
      <c r="Z87" s="69"/>
      <c r="AA87" s="69"/>
      <c r="AB87" s="69"/>
      <c r="AC87" s="69"/>
      <c r="AD87" s="69"/>
      <c r="AE87" s="76"/>
      <c r="AF87" s="71"/>
      <c r="AG87" s="71"/>
      <c r="AH87" s="71"/>
      <c r="AI87" s="71"/>
      <c r="AJ87" s="71"/>
      <c r="AK87" s="71"/>
      <c r="AL87" s="71"/>
      <c r="AM87" s="71"/>
      <c r="AN87" s="68"/>
      <c r="AO87" s="68"/>
      <c r="AP87" s="70"/>
      <c r="AQ87" s="71"/>
      <c r="AR87" s="77"/>
      <c r="AS87" s="70"/>
      <c r="AT87" s="68"/>
      <c r="AU87" s="70"/>
      <c r="AV87" s="70"/>
      <c r="AW87" s="71"/>
      <c r="AX87" s="71"/>
      <c r="AY87" s="70"/>
      <c r="AZ87" s="76"/>
      <c r="BA87" s="76"/>
      <c r="BB87" s="76"/>
      <c r="BC87" s="78"/>
    </row>
    <row r="88" spans="1:55" x14ac:dyDescent="0.25">
      <c r="A88" s="68"/>
      <c r="B88" s="68"/>
      <c r="C88" s="68"/>
      <c r="D88" s="70"/>
      <c r="E88" s="70"/>
      <c r="F88" s="70"/>
      <c r="G88" s="72"/>
      <c r="H88" s="74"/>
      <c r="I88" s="74"/>
      <c r="J88" s="75"/>
      <c r="K88" s="81"/>
      <c r="L88" s="76"/>
      <c r="M88" s="76"/>
      <c r="N88" s="76"/>
      <c r="O88" s="71"/>
      <c r="P88" s="70"/>
      <c r="Q88" s="71"/>
      <c r="R88" s="71"/>
      <c r="S88" s="70"/>
      <c r="T88" s="71"/>
      <c r="U88" s="71"/>
      <c r="V88" s="75"/>
      <c r="W88" s="69"/>
      <c r="X88" s="69"/>
      <c r="Y88" s="69"/>
      <c r="Z88" s="69"/>
      <c r="AA88" s="69"/>
      <c r="AB88" s="69"/>
      <c r="AC88" s="69"/>
      <c r="AD88" s="69"/>
      <c r="AE88" s="76"/>
      <c r="AF88" s="71"/>
      <c r="AG88" s="71"/>
      <c r="AH88" s="71"/>
      <c r="AI88" s="71"/>
      <c r="AJ88" s="71"/>
      <c r="AK88" s="71"/>
      <c r="AL88" s="71"/>
      <c r="AM88" s="71"/>
      <c r="AN88" s="68"/>
      <c r="AO88" s="68"/>
      <c r="AP88" s="70"/>
      <c r="AQ88" s="71"/>
      <c r="AR88" s="77"/>
      <c r="AS88" s="70"/>
      <c r="AT88" s="68"/>
      <c r="AU88" s="70"/>
      <c r="AV88" s="70"/>
      <c r="AW88" s="71"/>
      <c r="AX88" s="71"/>
      <c r="AY88" s="70"/>
      <c r="AZ88" s="76"/>
      <c r="BA88" s="76"/>
      <c r="BB88" s="76"/>
      <c r="BC88" s="78"/>
    </row>
    <row r="89" spans="1:55" x14ac:dyDescent="0.25">
      <c r="A89" s="68"/>
      <c r="B89" s="68"/>
      <c r="C89" s="68"/>
      <c r="D89" s="70"/>
      <c r="E89" s="70"/>
      <c r="F89" s="70"/>
      <c r="G89" s="72"/>
      <c r="H89" s="74"/>
      <c r="I89" s="74"/>
      <c r="J89" s="75"/>
      <c r="K89" s="81"/>
      <c r="L89" s="76"/>
      <c r="M89" s="76"/>
      <c r="N89" s="76"/>
      <c r="O89" s="71"/>
      <c r="P89" s="70"/>
      <c r="Q89" s="71"/>
      <c r="R89" s="71"/>
      <c r="S89" s="70"/>
      <c r="T89" s="71"/>
      <c r="U89" s="71"/>
      <c r="V89" s="75"/>
      <c r="W89" s="69"/>
      <c r="X89" s="69"/>
      <c r="Y89" s="69"/>
      <c r="Z89" s="69"/>
      <c r="AA89" s="69"/>
      <c r="AB89" s="69"/>
      <c r="AC89" s="69"/>
      <c r="AD89" s="69"/>
      <c r="AE89" s="76"/>
      <c r="AF89" s="71"/>
      <c r="AG89" s="71"/>
      <c r="AH89" s="71"/>
      <c r="AI89" s="71"/>
      <c r="AJ89" s="71"/>
      <c r="AK89" s="71"/>
      <c r="AL89" s="71"/>
      <c r="AM89" s="71"/>
      <c r="AN89" s="68"/>
      <c r="AO89" s="68"/>
      <c r="AP89" s="70"/>
      <c r="AQ89" s="71"/>
      <c r="AR89" s="77"/>
      <c r="AS89" s="70"/>
      <c r="AT89" s="68"/>
      <c r="AU89" s="70"/>
      <c r="AV89" s="70"/>
      <c r="AW89" s="71"/>
      <c r="AX89" s="71"/>
      <c r="AY89" s="70"/>
      <c r="AZ89" s="76"/>
      <c r="BA89" s="76"/>
      <c r="BB89" s="76"/>
      <c r="BC89" s="78"/>
    </row>
    <row r="90" spans="1:55" x14ac:dyDescent="0.25">
      <c r="A90" s="68"/>
      <c r="B90" s="68"/>
      <c r="C90" s="68"/>
      <c r="D90" s="70"/>
      <c r="E90" s="70"/>
      <c r="F90" s="70"/>
      <c r="G90" s="72"/>
      <c r="H90" s="74"/>
      <c r="I90" s="74"/>
      <c r="J90" s="75"/>
      <c r="K90" s="81"/>
      <c r="L90" s="76"/>
      <c r="M90" s="76"/>
      <c r="N90" s="76"/>
      <c r="O90" s="71"/>
      <c r="P90" s="70"/>
      <c r="Q90" s="71"/>
      <c r="R90" s="71"/>
      <c r="S90" s="70"/>
      <c r="T90" s="71"/>
      <c r="U90" s="71"/>
      <c r="V90" s="75"/>
      <c r="W90" s="69"/>
      <c r="X90" s="69"/>
      <c r="Y90" s="69"/>
      <c r="Z90" s="69"/>
      <c r="AA90" s="69"/>
      <c r="AB90" s="69"/>
      <c r="AC90" s="69"/>
      <c r="AD90" s="69"/>
      <c r="AE90" s="76"/>
      <c r="AF90" s="71"/>
      <c r="AG90" s="71"/>
      <c r="AH90" s="71"/>
      <c r="AI90" s="71"/>
      <c r="AJ90" s="71"/>
      <c r="AK90" s="71"/>
      <c r="AL90" s="71"/>
      <c r="AM90" s="71"/>
      <c r="AN90" s="68"/>
      <c r="AO90" s="68"/>
      <c r="AP90" s="70"/>
      <c r="AQ90" s="71"/>
      <c r="AR90" s="77"/>
      <c r="AS90" s="70"/>
      <c r="AT90" s="68"/>
      <c r="AU90" s="70"/>
      <c r="AV90" s="70"/>
      <c r="AW90" s="71"/>
      <c r="AX90" s="71"/>
      <c r="AY90" s="70"/>
      <c r="AZ90" s="76"/>
      <c r="BA90" s="76"/>
      <c r="BB90" s="76"/>
      <c r="BC90" s="78"/>
    </row>
    <row r="91" spans="1:55" x14ac:dyDescent="0.25">
      <c r="A91" s="68"/>
      <c r="B91" s="68"/>
      <c r="C91" s="68"/>
      <c r="D91" s="70"/>
      <c r="E91" s="70"/>
      <c r="F91" s="70"/>
      <c r="G91" s="72"/>
      <c r="H91" s="74"/>
      <c r="I91" s="74"/>
      <c r="J91" s="75"/>
      <c r="K91" s="81"/>
      <c r="L91" s="76"/>
      <c r="M91" s="76"/>
      <c r="N91" s="76"/>
      <c r="O91" s="71"/>
      <c r="P91" s="70"/>
      <c r="Q91" s="71"/>
      <c r="R91" s="71"/>
      <c r="S91" s="70"/>
      <c r="T91" s="71"/>
      <c r="U91" s="71"/>
      <c r="V91" s="75"/>
      <c r="W91" s="69"/>
      <c r="X91" s="69"/>
      <c r="Y91" s="69"/>
      <c r="Z91" s="69"/>
      <c r="AA91" s="69"/>
      <c r="AB91" s="69"/>
      <c r="AC91" s="69"/>
      <c r="AD91" s="69"/>
      <c r="AE91" s="76"/>
      <c r="AF91" s="71"/>
      <c r="AG91" s="71"/>
      <c r="AH91" s="71"/>
      <c r="AI91" s="71"/>
      <c r="AJ91" s="71"/>
      <c r="AK91" s="71"/>
      <c r="AL91" s="71"/>
      <c r="AM91" s="71"/>
      <c r="AN91" s="68"/>
      <c r="AO91" s="68"/>
      <c r="AP91" s="70"/>
      <c r="AQ91" s="71"/>
      <c r="AR91" s="77"/>
      <c r="AS91" s="70"/>
      <c r="AT91" s="68"/>
      <c r="AU91" s="70"/>
      <c r="AV91" s="70"/>
      <c r="AW91" s="71"/>
      <c r="AX91" s="71"/>
      <c r="AY91" s="70"/>
      <c r="AZ91" s="76"/>
      <c r="BA91" s="76"/>
      <c r="BB91" s="76"/>
      <c r="BC91" s="78"/>
    </row>
    <row r="92" spans="1:55" x14ac:dyDescent="0.25">
      <c r="A92" s="68"/>
      <c r="B92" s="68"/>
      <c r="C92" s="68"/>
      <c r="D92" s="70"/>
      <c r="E92" s="70"/>
      <c r="F92" s="70"/>
      <c r="G92" s="72"/>
      <c r="H92" s="74"/>
      <c r="I92" s="74"/>
      <c r="J92" s="75"/>
      <c r="K92" s="81"/>
      <c r="L92" s="76"/>
      <c r="M92" s="76"/>
      <c r="N92" s="76"/>
      <c r="O92" s="71"/>
      <c r="P92" s="70"/>
      <c r="Q92" s="71"/>
      <c r="R92" s="71"/>
      <c r="S92" s="70"/>
      <c r="T92" s="71"/>
      <c r="U92" s="71"/>
      <c r="V92" s="75"/>
      <c r="W92" s="69"/>
      <c r="X92" s="69"/>
      <c r="Y92" s="69"/>
      <c r="Z92" s="69"/>
      <c r="AA92" s="69"/>
      <c r="AB92" s="69"/>
      <c r="AC92" s="69"/>
      <c r="AD92" s="69"/>
      <c r="AE92" s="76"/>
      <c r="AF92" s="71"/>
      <c r="AG92" s="71"/>
      <c r="AH92" s="71"/>
      <c r="AI92" s="71"/>
      <c r="AJ92" s="71"/>
      <c r="AK92" s="71"/>
      <c r="AL92" s="71"/>
      <c r="AM92" s="71"/>
      <c r="AN92" s="68"/>
      <c r="AO92" s="68"/>
      <c r="AP92" s="70"/>
      <c r="AQ92" s="71"/>
      <c r="AR92" s="77"/>
      <c r="AS92" s="70"/>
      <c r="AT92" s="68"/>
      <c r="AU92" s="70"/>
      <c r="AV92" s="70"/>
      <c r="AW92" s="71"/>
      <c r="AX92" s="71"/>
      <c r="AY92" s="70"/>
      <c r="AZ92" s="76"/>
      <c r="BA92" s="76"/>
      <c r="BB92" s="76"/>
      <c r="BC92" s="78"/>
    </row>
    <row r="93" spans="1:55" x14ac:dyDescent="0.25">
      <c r="A93" s="68"/>
      <c r="B93" s="68"/>
      <c r="C93" s="68"/>
      <c r="D93" s="70"/>
      <c r="E93" s="70"/>
      <c r="F93" s="70"/>
      <c r="G93" s="72"/>
      <c r="H93" s="74"/>
      <c r="I93" s="74"/>
      <c r="J93" s="75"/>
      <c r="K93" s="81"/>
      <c r="L93" s="76"/>
      <c r="M93" s="76"/>
      <c r="N93" s="76"/>
      <c r="O93" s="71"/>
      <c r="P93" s="70"/>
      <c r="Q93" s="71"/>
      <c r="R93" s="71"/>
      <c r="S93" s="70"/>
      <c r="T93" s="71"/>
      <c r="U93" s="71"/>
      <c r="V93" s="75"/>
      <c r="W93" s="69"/>
      <c r="X93" s="69"/>
      <c r="Y93" s="69"/>
      <c r="Z93" s="69"/>
      <c r="AA93" s="69"/>
      <c r="AB93" s="69"/>
      <c r="AC93" s="69"/>
      <c r="AD93" s="69"/>
      <c r="AE93" s="76"/>
      <c r="AF93" s="71"/>
      <c r="AG93" s="71"/>
      <c r="AH93" s="71"/>
      <c r="AI93" s="71"/>
      <c r="AJ93" s="71"/>
      <c r="AK93" s="71"/>
      <c r="AL93" s="71"/>
      <c r="AM93" s="71"/>
      <c r="AN93" s="68"/>
      <c r="AO93" s="68"/>
      <c r="AP93" s="70"/>
      <c r="AQ93" s="71"/>
      <c r="AR93" s="77"/>
      <c r="AS93" s="70"/>
      <c r="AT93" s="68"/>
      <c r="AU93" s="70"/>
      <c r="AV93" s="70"/>
      <c r="AW93" s="71"/>
      <c r="AX93" s="71"/>
      <c r="AY93" s="70"/>
      <c r="AZ93" s="76"/>
      <c r="BA93" s="76"/>
      <c r="BB93" s="76"/>
      <c r="BC93" s="78"/>
    </row>
    <row r="94" spans="1:55" x14ac:dyDescent="0.25">
      <c r="A94" s="68"/>
      <c r="B94" s="68"/>
      <c r="C94" s="68"/>
      <c r="D94" s="70"/>
      <c r="E94" s="70"/>
      <c r="F94" s="70"/>
      <c r="G94" s="72"/>
      <c r="H94" s="74"/>
      <c r="I94" s="74"/>
      <c r="J94" s="75"/>
      <c r="K94" s="81"/>
      <c r="L94" s="76"/>
      <c r="M94" s="76"/>
      <c r="N94" s="76"/>
      <c r="O94" s="71"/>
      <c r="P94" s="70"/>
      <c r="Q94" s="71"/>
      <c r="R94" s="71"/>
      <c r="S94" s="70"/>
      <c r="T94" s="71"/>
      <c r="U94" s="71"/>
      <c r="V94" s="75"/>
      <c r="W94" s="69"/>
      <c r="X94" s="69"/>
      <c r="Y94" s="69"/>
      <c r="Z94" s="69"/>
      <c r="AA94" s="69"/>
      <c r="AB94" s="69"/>
      <c r="AC94" s="69"/>
      <c r="AD94" s="69"/>
      <c r="AE94" s="76"/>
      <c r="AF94" s="71"/>
      <c r="AG94" s="71"/>
      <c r="AH94" s="71"/>
      <c r="AI94" s="71"/>
      <c r="AJ94" s="71"/>
      <c r="AK94" s="71"/>
      <c r="AL94" s="71"/>
      <c r="AM94" s="71"/>
      <c r="AN94" s="68"/>
      <c r="AO94" s="68"/>
      <c r="AP94" s="70"/>
      <c r="AQ94" s="71"/>
      <c r="AR94" s="77"/>
      <c r="AS94" s="70"/>
      <c r="AT94" s="68"/>
      <c r="AU94" s="70"/>
      <c r="AV94" s="70"/>
      <c r="AW94" s="71"/>
      <c r="AX94" s="71"/>
      <c r="AY94" s="70"/>
      <c r="AZ94" s="76"/>
      <c r="BA94" s="76"/>
      <c r="BB94" s="76"/>
      <c r="BC94" s="78"/>
    </row>
    <row r="95" spans="1:55" x14ac:dyDescent="0.25">
      <c r="A95" s="68"/>
      <c r="B95" s="68"/>
      <c r="C95" s="68"/>
      <c r="D95" s="70"/>
      <c r="E95" s="70"/>
      <c r="F95" s="70"/>
      <c r="G95" s="72"/>
      <c r="H95" s="74"/>
      <c r="I95" s="74"/>
      <c r="J95" s="75"/>
      <c r="K95" s="81"/>
      <c r="L95" s="76"/>
      <c r="M95" s="76"/>
      <c r="N95" s="76"/>
      <c r="O95" s="71"/>
      <c r="P95" s="70"/>
      <c r="Q95" s="71"/>
      <c r="R95" s="71"/>
      <c r="S95" s="70"/>
      <c r="T95" s="71"/>
      <c r="U95" s="71"/>
      <c r="V95" s="75"/>
      <c r="W95" s="69"/>
      <c r="X95" s="69"/>
      <c r="Y95" s="69"/>
      <c r="Z95" s="69"/>
      <c r="AA95" s="69"/>
      <c r="AB95" s="69"/>
      <c r="AC95" s="69"/>
      <c r="AD95" s="69"/>
      <c r="AE95" s="76"/>
      <c r="AF95" s="71"/>
      <c r="AG95" s="71"/>
      <c r="AH95" s="71"/>
      <c r="AI95" s="71"/>
      <c r="AJ95" s="71"/>
      <c r="AK95" s="71"/>
      <c r="AL95" s="71"/>
      <c r="AM95" s="71"/>
      <c r="AN95" s="68"/>
      <c r="AO95" s="68"/>
      <c r="AP95" s="70"/>
      <c r="AQ95" s="71"/>
      <c r="AR95" s="77"/>
      <c r="AS95" s="70"/>
      <c r="AT95" s="68"/>
      <c r="AU95" s="70"/>
      <c r="AV95" s="70"/>
      <c r="AW95" s="71"/>
      <c r="AX95" s="71"/>
      <c r="AY95" s="70"/>
      <c r="AZ95" s="76"/>
      <c r="BA95" s="76"/>
      <c r="BB95" s="76"/>
      <c r="BC95" s="78"/>
    </row>
    <row r="96" spans="1:55" x14ac:dyDescent="0.25">
      <c r="A96" s="68"/>
      <c r="B96" s="68"/>
      <c r="C96" s="68"/>
      <c r="D96" s="70"/>
      <c r="E96" s="70"/>
      <c r="F96" s="70"/>
      <c r="G96" s="72"/>
      <c r="H96" s="74"/>
      <c r="I96" s="74"/>
      <c r="J96" s="75"/>
      <c r="K96" s="81"/>
      <c r="L96" s="76"/>
      <c r="M96" s="76"/>
      <c r="N96" s="76"/>
      <c r="O96" s="71"/>
      <c r="P96" s="70"/>
      <c r="Q96" s="71"/>
      <c r="R96" s="71"/>
      <c r="S96" s="70"/>
      <c r="T96" s="71"/>
      <c r="U96" s="71"/>
      <c r="V96" s="75"/>
      <c r="W96" s="69"/>
      <c r="X96" s="69"/>
      <c r="Y96" s="69"/>
      <c r="Z96" s="69"/>
      <c r="AA96" s="69"/>
      <c r="AB96" s="69"/>
      <c r="AC96" s="69"/>
      <c r="AD96" s="69"/>
      <c r="AE96" s="76"/>
      <c r="AF96" s="71"/>
      <c r="AG96" s="71"/>
      <c r="AH96" s="71"/>
      <c r="AI96" s="71"/>
      <c r="AJ96" s="71"/>
      <c r="AK96" s="71"/>
      <c r="AL96" s="71"/>
      <c r="AM96" s="71"/>
      <c r="AN96" s="68"/>
      <c r="AO96" s="68"/>
      <c r="AP96" s="70"/>
      <c r="AQ96" s="71"/>
      <c r="AR96" s="77"/>
      <c r="AS96" s="70"/>
      <c r="AT96" s="68"/>
      <c r="AU96" s="70"/>
      <c r="AV96" s="70"/>
      <c r="AW96" s="71"/>
      <c r="AX96" s="71"/>
      <c r="AY96" s="70"/>
      <c r="AZ96" s="76"/>
      <c r="BA96" s="76"/>
      <c r="BB96" s="76"/>
      <c r="BC96" s="78"/>
    </row>
    <row r="97" spans="1:55" x14ac:dyDescent="0.25">
      <c r="A97" s="68"/>
      <c r="B97" s="68"/>
      <c r="C97" s="68"/>
      <c r="D97" s="70"/>
      <c r="E97" s="70"/>
      <c r="F97" s="70"/>
      <c r="G97" s="72"/>
      <c r="H97" s="74"/>
      <c r="I97" s="74"/>
      <c r="J97" s="75"/>
      <c r="K97" s="81"/>
      <c r="L97" s="76"/>
      <c r="M97" s="76"/>
      <c r="N97" s="76"/>
      <c r="O97" s="71"/>
      <c r="P97" s="70"/>
      <c r="Q97" s="71"/>
      <c r="R97" s="71"/>
      <c r="S97" s="70"/>
      <c r="T97" s="71"/>
      <c r="U97" s="71"/>
      <c r="V97" s="75"/>
      <c r="W97" s="69"/>
      <c r="X97" s="69"/>
      <c r="Y97" s="69"/>
      <c r="Z97" s="69"/>
      <c r="AA97" s="69"/>
      <c r="AB97" s="69"/>
      <c r="AC97" s="69"/>
      <c r="AD97" s="69"/>
      <c r="AE97" s="76"/>
      <c r="AF97" s="71"/>
      <c r="AG97" s="71"/>
      <c r="AH97" s="71"/>
      <c r="AI97" s="71"/>
      <c r="AJ97" s="71"/>
      <c r="AK97" s="71"/>
      <c r="AL97" s="71"/>
      <c r="AM97" s="71"/>
      <c r="AN97" s="68"/>
      <c r="AO97" s="68"/>
      <c r="AP97" s="70"/>
      <c r="AQ97" s="71"/>
      <c r="AR97" s="77"/>
      <c r="AS97" s="70"/>
      <c r="AT97" s="68"/>
      <c r="AU97" s="70"/>
      <c r="AV97" s="70"/>
      <c r="AW97" s="71"/>
      <c r="AX97" s="71"/>
      <c r="AY97" s="70"/>
      <c r="AZ97" s="76"/>
      <c r="BA97" s="76"/>
      <c r="BB97" s="76"/>
      <c r="BC97" s="78"/>
    </row>
    <row r="98" spans="1:55" x14ac:dyDescent="0.25">
      <c r="A98" s="68"/>
      <c r="B98" s="68"/>
      <c r="C98" s="68"/>
      <c r="D98" s="70"/>
      <c r="E98" s="70"/>
      <c r="F98" s="70"/>
      <c r="G98" s="72"/>
      <c r="H98" s="74"/>
      <c r="I98" s="74"/>
      <c r="J98" s="75"/>
      <c r="K98" s="81"/>
      <c r="L98" s="76"/>
      <c r="M98" s="76"/>
      <c r="N98" s="76"/>
      <c r="O98" s="71"/>
      <c r="P98" s="70"/>
      <c r="Q98" s="71"/>
      <c r="R98" s="71"/>
      <c r="S98" s="70"/>
      <c r="T98" s="71"/>
      <c r="U98" s="71"/>
      <c r="V98" s="75"/>
      <c r="W98" s="69"/>
      <c r="X98" s="69"/>
      <c r="Y98" s="69"/>
      <c r="Z98" s="69"/>
      <c r="AA98" s="69"/>
      <c r="AB98" s="69"/>
      <c r="AC98" s="69"/>
      <c r="AD98" s="69"/>
      <c r="AE98" s="76"/>
      <c r="AF98" s="71"/>
      <c r="AG98" s="71"/>
      <c r="AH98" s="71"/>
      <c r="AI98" s="71"/>
      <c r="AJ98" s="71"/>
      <c r="AK98" s="71"/>
      <c r="AL98" s="71"/>
      <c r="AM98" s="71"/>
      <c r="AN98" s="68"/>
      <c r="AO98" s="68"/>
      <c r="AP98" s="70"/>
      <c r="AQ98" s="71"/>
      <c r="AR98" s="77"/>
      <c r="AS98" s="70"/>
      <c r="AT98" s="68"/>
      <c r="AU98" s="70"/>
      <c r="AV98" s="70"/>
      <c r="AW98" s="71"/>
      <c r="AX98" s="71"/>
      <c r="AY98" s="70"/>
      <c r="AZ98" s="76"/>
      <c r="BA98" s="76"/>
      <c r="BB98" s="76"/>
      <c r="BC98" s="78"/>
    </row>
    <row r="99" spans="1:55" x14ac:dyDescent="0.25">
      <c r="A99" s="68"/>
      <c r="B99" s="68"/>
      <c r="C99" s="68"/>
      <c r="D99" s="70"/>
      <c r="E99" s="70"/>
      <c r="F99" s="70"/>
      <c r="G99" s="72"/>
      <c r="H99" s="74"/>
      <c r="I99" s="74"/>
      <c r="J99" s="75"/>
      <c r="K99" s="81"/>
      <c r="L99" s="76"/>
      <c r="M99" s="76"/>
      <c r="N99" s="76"/>
      <c r="O99" s="71"/>
      <c r="P99" s="70"/>
      <c r="Q99" s="71"/>
      <c r="R99" s="71"/>
      <c r="S99" s="70"/>
      <c r="T99" s="71"/>
      <c r="U99" s="71"/>
      <c r="V99" s="75"/>
      <c r="W99" s="69"/>
      <c r="X99" s="69"/>
      <c r="Y99" s="69"/>
      <c r="Z99" s="69"/>
      <c r="AA99" s="69"/>
      <c r="AB99" s="69"/>
      <c r="AC99" s="69"/>
      <c r="AD99" s="69"/>
      <c r="AE99" s="76"/>
      <c r="AF99" s="71"/>
      <c r="AG99" s="71"/>
      <c r="AH99" s="71"/>
      <c r="AI99" s="71"/>
      <c r="AJ99" s="71"/>
      <c r="AK99" s="71"/>
      <c r="AL99" s="71"/>
      <c r="AM99" s="71"/>
      <c r="AN99" s="68"/>
      <c r="AO99" s="68"/>
      <c r="AP99" s="70"/>
      <c r="AQ99" s="71"/>
      <c r="AR99" s="77"/>
      <c r="AS99" s="70"/>
      <c r="AT99" s="68"/>
      <c r="AU99" s="70"/>
      <c r="AV99" s="70"/>
      <c r="AW99" s="71"/>
      <c r="AX99" s="71"/>
      <c r="AY99" s="70"/>
      <c r="AZ99" s="76"/>
      <c r="BA99" s="76"/>
      <c r="BB99" s="76"/>
      <c r="BC99" s="78"/>
    </row>
    <row r="100" spans="1:55" x14ac:dyDescent="0.25">
      <c r="A100" s="68"/>
      <c r="B100" s="68"/>
      <c r="C100" s="68"/>
      <c r="D100" s="70"/>
      <c r="E100" s="70"/>
      <c r="F100" s="70"/>
      <c r="G100" s="72"/>
      <c r="H100" s="74"/>
      <c r="I100" s="74"/>
      <c r="J100" s="75"/>
      <c r="K100" s="81"/>
      <c r="L100" s="76"/>
      <c r="M100" s="76"/>
      <c r="N100" s="76"/>
      <c r="O100" s="71"/>
      <c r="P100" s="70"/>
      <c r="Q100" s="71"/>
      <c r="R100" s="71"/>
      <c r="S100" s="70"/>
      <c r="T100" s="71"/>
      <c r="U100" s="71"/>
      <c r="V100" s="75"/>
      <c r="W100" s="69"/>
      <c r="X100" s="69"/>
      <c r="Y100" s="69"/>
      <c r="Z100" s="69"/>
      <c r="AA100" s="69"/>
      <c r="AB100" s="69"/>
      <c r="AC100" s="69"/>
      <c r="AD100" s="69"/>
      <c r="AE100" s="76"/>
      <c r="AF100" s="71"/>
      <c r="AG100" s="71"/>
      <c r="AH100" s="71"/>
      <c r="AI100" s="71"/>
      <c r="AJ100" s="71"/>
      <c r="AK100" s="71"/>
      <c r="AL100" s="71"/>
      <c r="AM100" s="71"/>
      <c r="AN100" s="68"/>
      <c r="AO100" s="68"/>
      <c r="AP100" s="70"/>
      <c r="AQ100" s="71"/>
      <c r="AR100" s="77"/>
      <c r="AS100" s="70"/>
      <c r="AT100" s="68"/>
      <c r="AU100" s="70"/>
      <c r="AV100" s="70"/>
      <c r="AW100" s="71"/>
      <c r="AX100" s="71"/>
      <c r="AY100" s="70"/>
      <c r="AZ100" s="76"/>
      <c r="BA100" s="76"/>
      <c r="BB100" s="76"/>
      <c r="BC100" s="78"/>
    </row>
    <row r="101" spans="1:55" x14ac:dyDescent="0.25">
      <c r="A101" s="68"/>
      <c r="B101" s="68"/>
      <c r="C101" s="68"/>
      <c r="D101" s="70"/>
      <c r="E101" s="70"/>
      <c r="F101" s="70"/>
      <c r="G101" s="72"/>
      <c r="H101" s="74"/>
      <c r="I101" s="74"/>
      <c r="J101" s="75"/>
      <c r="K101" s="81"/>
      <c r="L101" s="76"/>
      <c r="M101" s="76"/>
      <c r="N101" s="76"/>
      <c r="O101" s="71"/>
      <c r="P101" s="70"/>
      <c r="Q101" s="71"/>
      <c r="R101" s="71"/>
      <c r="S101" s="70"/>
      <c r="T101" s="71"/>
      <c r="U101" s="71"/>
      <c r="V101" s="75"/>
      <c r="W101" s="69"/>
      <c r="X101" s="69"/>
      <c r="Y101" s="69"/>
      <c r="Z101" s="69"/>
      <c r="AA101" s="69"/>
      <c r="AB101" s="69"/>
      <c r="AC101" s="69"/>
      <c r="AD101" s="69"/>
      <c r="AE101" s="76"/>
      <c r="AF101" s="71"/>
      <c r="AG101" s="71"/>
      <c r="AH101" s="71"/>
      <c r="AI101" s="71"/>
      <c r="AJ101" s="71"/>
      <c r="AK101" s="71"/>
      <c r="AL101" s="71"/>
      <c r="AM101" s="71"/>
      <c r="AN101" s="68"/>
      <c r="AO101" s="68"/>
      <c r="AP101" s="70"/>
      <c r="AQ101" s="71"/>
      <c r="AR101" s="77"/>
      <c r="AS101" s="70"/>
      <c r="AT101" s="68"/>
      <c r="AU101" s="70"/>
      <c r="AV101" s="70"/>
      <c r="AW101" s="71"/>
      <c r="AX101" s="71"/>
      <c r="AY101" s="70"/>
      <c r="AZ101" s="76"/>
      <c r="BA101" s="76"/>
      <c r="BB101" s="76"/>
      <c r="BC101" s="78"/>
    </row>
    <row r="102" spans="1:55" x14ac:dyDescent="0.25">
      <c r="A102" s="68"/>
      <c r="B102" s="68"/>
      <c r="C102" s="68"/>
      <c r="D102" s="70"/>
      <c r="E102" s="70"/>
      <c r="F102" s="70"/>
      <c r="G102" s="72"/>
      <c r="H102" s="74"/>
      <c r="I102" s="74"/>
      <c r="J102" s="75"/>
      <c r="K102" s="81"/>
      <c r="L102" s="76"/>
      <c r="M102" s="76"/>
      <c r="N102" s="76"/>
      <c r="O102" s="71"/>
      <c r="P102" s="70"/>
      <c r="Q102" s="71"/>
      <c r="R102" s="71"/>
      <c r="S102" s="70"/>
      <c r="T102" s="71"/>
      <c r="U102" s="71"/>
      <c r="V102" s="75"/>
      <c r="W102" s="69"/>
      <c r="X102" s="69"/>
      <c r="Y102" s="69"/>
      <c r="Z102" s="69"/>
      <c r="AA102" s="69"/>
      <c r="AB102" s="69"/>
      <c r="AC102" s="69"/>
      <c r="AD102" s="69"/>
      <c r="AE102" s="76"/>
      <c r="AF102" s="71"/>
      <c r="AG102" s="71"/>
      <c r="AH102" s="71"/>
      <c r="AI102" s="71"/>
      <c r="AJ102" s="71"/>
      <c r="AK102" s="71"/>
      <c r="AL102" s="71"/>
      <c r="AM102" s="71"/>
      <c r="AN102" s="68"/>
      <c r="AO102" s="68"/>
      <c r="AP102" s="70"/>
      <c r="AQ102" s="71"/>
      <c r="AR102" s="77"/>
      <c r="AS102" s="70"/>
      <c r="AT102" s="68"/>
      <c r="AU102" s="70"/>
      <c r="AV102" s="70"/>
      <c r="AW102" s="71"/>
      <c r="AX102" s="71"/>
      <c r="AY102" s="70"/>
      <c r="AZ102" s="76"/>
      <c r="BA102" s="76"/>
      <c r="BB102" s="76"/>
      <c r="BC102" s="78"/>
    </row>
    <row r="103" spans="1:55" x14ac:dyDescent="0.25">
      <c r="A103" s="68"/>
      <c r="B103" s="68"/>
      <c r="C103" s="68"/>
      <c r="D103" s="70"/>
      <c r="E103" s="70"/>
      <c r="F103" s="70"/>
      <c r="G103" s="72"/>
      <c r="H103" s="74"/>
      <c r="I103" s="74"/>
      <c r="J103" s="75"/>
      <c r="K103" s="81"/>
      <c r="L103" s="76"/>
      <c r="M103" s="76"/>
      <c r="N103" s="76"/>
      <c r="O103" s="71"/>
      <c r="P103" s="70"/>
      <c r="Q103" s="71"/>
      <c r="R103" s="71"/>
      <c r="S103" s="70"/>
      <c r="T103" s="71"/>
      <c r="U103" s="71"/>
      <c r="V103" s="75"/>
      <c r="W103" s="69"/>
      <c r="X103" s="69"/>
      <c r="Y103" s="69"/>
      <c r="Z103" s="69"/>
      <c r="AA103" s="69"/>
      <c r="AB103" s="69"/>
      <c r="AC103" s="69"/>
      <c r="AD103" s="69"/>
      <c r="AE103" s="76"/>
      <c r="AF103" s="71"/>
      <c r="AG103" s="71"/>
      <c r="AH103" s="71"/>
      <c r="AI103" s="71"/>
      <c r="AJ103" s="71"/>
      <c r="AK103" s="71"/>
      <c r="AL103" s="71"/>
      <c r="AM103" s="71"/>
      <c r="AN103" s="68"/>
      <c r="AO103" s="68"/>
      <c r="AP103" s="70"/>
      <c r="AQ103" s="71"/>
      <c r="AR103" s="77"/>
      <c r="AS103" s="70"/>
      <c r="AT103" s="68"/>
      <c r="AU103" s="70"/>
      <c r="AV103" s="70"/>
      <c r="AW103" s="71"/>
      <c r="AX103" s="71"/>
      <c r="AY103" s="70"/>
      <c r="AZ103" s="76"/>
      <c r="BA103" s="76"/>
      <c r="BB103" s="76"/>
      <c r="BC103" s="78"/>
    </row>
    <row r="104" spans="1:55" x14ac:dyDescent="0.25">
      <c r="A104" s="68"/>
      <c r="B104" s="68"/>
      <c r="C104" s="68"/>
      <c r="D104" s="70"/>
      <c r="E104" s="70"/>
      <c r="F104" s="70"/>
      <c r="G104" s="72"/>
      <c r="H104" s="74"/>
      <c r="I104" s="74"/>
      <c r="J104" s="75"/>
      <c r="K104" s="81"/>
      <c r="L104" s="76"/>
      <c r="M104" s="76"/>
      <c r="N104" s="76"/>
      <c r="O104" s="71"/>
      <c r="P104" s="70"/>
      <c r="Q104" s="71"/>
      <c r="R104" s="71"/>
      <c r="S104" s="70"/>
      <c r="T104" s="71"/>
      <c r="U104" s="71"/>
      <c r="V104" s="75"/>
      <c r="W104" s="69"/>
      <c r="X104" s="69"/>
      <c r="Y104" s="69"/>
      <c r="Z104" s="69"/>
      <c r="AA104" s="69"/>
      <c r="AB104" s="69"/>
      <c r="AC104" s="69"/>
      <c r="AD104" s="69"/>
      <c r="AE104" s="76"/>
      <c r="AF104" s="71"/>
      <c r="AG104" s="71"/>
      <c r="AH104" s="71"/>
      <c r="AI104" s="71"/>
      <c r="AJ104" s="71"/>
      <c r="AK104" s="71"/>
      <c r="AL104" s="71"/>
      <c r="AM104" s="71"/>
      <c r="AN104" s="68"/>
      <c r="AO104" s="68"/>
      <c r="AP104" s="70"/>
      <c r="AQ104" s="71"/>
      <c r="AR104" s="77"/>
      <c r="AS104" s="70"/>
      <c r="AT104" s="68"/>
      <c r="AU104" s="70"/>
      <c r="AV104" s="70"/>
      <c r="AW104" s="71"/>
      <c r="AX104" s="71"/>
      <c r="AY104" s="70"/>
      <c r="AZ104" s="76"/>
      <c r="BA104" s="76"/>
      <c r="BB104" s="76"/>
      <c r="BC104" s="78"/>
    </row>
    <row r="105" spans="1:55" x14ac:dyDescent="0.25">
      <c r="A105" s="68"/>
      <c r="B105" s="68"/>
      <c r="C105" s="68"/>
      <c r="D105" s="70"/>
      <c r="E105" s="70"/>
      <c r="F105" s="70"/>
      <c r="G105" s="72"/>
      <c r="H105" s="74"/>
      <c r="I105" s="74"/>
      <c r="J105" s="75"/>
      <c r="K105" s="81"/>
      <c r="L105" s="76"/>
      <c r="M105" s="76"/>
      <c r="N105" s="76"/>
      <c r="O105" s="71"/>
      <c r="P105" s="70"/>
      <c r="Q105" s="71"/>
      <c r="R105" s="71"/>
      <c r="S105" s="70"/>
      <c r="T105" s="71"/>
      <c r="U105" s="71"/>
      <c r="V105" s="75"/>
      <c r="W105" s="69"/>
      <c r="X105" s="69"/>
      <c r="Y105" s="69"/>
      <c r="Z105" s="69"/>
      <c r="AA105" s="69"/>
      <c r="AB105" s="69"/>
      <c r="AC105" s="69"/>
      <c r="AD105" s="69"/>
      <c r="AE105" s="76"/>
      <c r="AF105" s="71"/>
      <c r="AG105" s="71"/>
      <c r="AH105" s="71"/>
      <c r="AI105" s="71"/>
      <c r="AJ105" s="71"/>
      <c r="AK105" s="71"/>
      <c r="AL105" s="71"/>
      <c r="AM105" s="71"/>
      <c r="AN105" s="68"/>
      <c r="AO105" s="68"/>
      <c r="AP105" s="70"/>
      <c r="AQ105" s="71"/>
      <c r="AR105" s="77"/>
      <c r="AS105" s="70"/>
      <c r="AT105" s="68"/>
      <c r="AU105" s="70"/>
      <c r="AV105" s="70"/>
      <c r="AW105" s="71"/>
      <c r="AX105" s="71"/>
      <c r="AY105" s="70"/>
      <c r="AZ105" s="76"/>
      <c r="BA105" s="76"/>
      <c r="BB105" s="76"/>
      <c r="BC105" s="78"/>
    </row>
    <row r="106" spans="1:55" x14ac:dyDescent="0.25">
      <c r="A106" s="68"/>
      <c r="B106" s="68"/>
      <c r="C106" s="68"/>
      <c r="D106" s="70"/>
      <c r="E106" s="70"/>
      <c r="F106" s="70"/>
      <c r="G106" s="72"/>
      <c r="H106" s="74"/>
      <c r="I106" s="74"/>
      <c r="J106" s="75"/>
      <c r="K106" s="81"/>
      <c r="L106" s="76"/>
      <c r="M106" s="76"/>
      <c r="N106" s="76"/>
      <c r="O106" s="71"/>
      <c r="P106" s="70"/>
      <c r="Q106" s="71"/>
      <c r="R106" s="71"/>
      <c r="S106" s="70"/>
      <c r="T106" s="71"/>
      <c r="U106" s="71"/>
      <c r="V106" s="75"/>
      <c r="W106" s="69"/>
      <c r="X106" s="69"/>
      <c r="Y106" s="69"/>
      <c r="Z106" s="69"/>
      <c r="AA106" s="69"/>
      <c r="AB106" s="69"/>
      <c r="AC106" s="69"/>
      <c r="AD106" s="69"/>
      <c r="AE106" s="76"/>
      <c r="AF106" s="71"/>
      <c r="AG106" s="71"/>
      <c r="AH106" s="71"/>
      <c r="AI106" s="71"/>
      <c r="AJ106" s="71"/>
      <c r="AK106" s="71"/>
      <c r="AL106" s="71"/>
      <c r="AM106" s="71"/>
      <c r="AN106" s="68"/>
      <c r="AO106" s="68"/>
      <c r="AP106" s="70"/>
      <c r="AQ106" s="71"/>
      <c r="AR106" s="77"/>
      <c r="AS106" s="70"/>
      <c r="AT106" s="68"/>
      <c r="AU106" s="70"/>
      <c r="AV106" s="70"/>
      <c r="AW106" s="71"/>
      <c r="AX106" s="71"/>
      <c r="AY106" s="70"/>
      <c r="AZ106" s="76"/>
      <c r="BA106" s="76"/>
      <c r="BB106" s="76"/>
      <c r="BC106" s="78"/>
    </row>
    <row r="107" spans="1:55" x14ac:dyDescent="0.25">
      <c r="A107" s="68"/>
      <c r="B107" s="68"/>
      <c r="C107" s="68"/>
      <c r="D107" s="70"/>
      <c r="E107" s="70"/>
      <c r="F107" s="70"/>
      <c r="G107" s="72"/>
      <c r="H107" s="74"/>
      <c r="I107" s="74"/>
      <c r="J107" s="75"/>
      <c r="K107" s="81"/>
      <c r="L107" s="76"/>
      <c r="M107" s="76"/>
      <c r="N107" s="76"/>
      <c r="O107" s="71"/>
      <c r="P107" s="70"/>
      <c r="Q107" s="71"/>
      <c r="R107" s="71"/>
      <c r="S107" s="70"/>
      <c r="T107" s="71"/>
      <c r="U107" s="71"/>
      <c r="V107" s="75"/>
      <c r="W107" s="69"/>
      <c r="X107" s="69"/>
      <c r="Y107" s="69"/>
      <c r="Z107" s="69"/>
      <c r="AA107" s="69"/>
      <c r="AB107" s="69"/>
      <c r="AC107" s="69"/>
      <c r="AD107" s="69"/>
      <c r="AE107" s="76"/>
      <c r="AF107" s="71"/>
      <c r="AG107" s="71"/>
      <c r="AH107" s="71"/>
      <c r="AI107" s="71"/>
      <c r="AJ107" s="71"/>
      <c r="AK107" s="71"/>
      <c r="AL107" s="71"/>
      <c r="AM107" s="71"/>
      <c r="AN107" s="68"/>
      <c r="AO107" s="68"/>
      <c r="AP107" s="70"/>
      <c r="AQ107" s="71"/>
      <c r="AR107" s="77"/>
      <c r="AS107" s="70"/>
      <c r="AT107" s="68"/>
      <c r="AU107" s="70"/>
      <c r="AV107" s="70"/>
      <c r="AW107" s="71"/>
      <c r="AX107" s="71"/>
      <c r="AY107" s="70"/>
      <c r="AZ107" s="76"/>
      <c r="BA107" s="76"/>
      <c r="BB107" s="76"/>
      <c r="BC107" s="78"/>
    </row>
    <row r="108" spans="1:55" x14ac:dyDescent="0.25">
      <c r="A108" s="68"/>
      <c r="B108" s="68"/>
      <c r="C108" s="68"/>
      <c r="D108" s="70"/>
      <c r="E108" s="70"/>
      <c r="F108" s="70"/>
      <c r="G108" s="72"/>
      <c r="H108" s="74"/>
      <c r="I108" s="74"/>
      <c r="J108" s="75"/>
      <c r="K108" s="81"/>
      <c r="L108" s="76"/>
      <c r="M108" s="76"/>
      <c r="N108" s="76"/>
      <c r="O108" s="71"/>
      <c r="P108" s="70"/>
      <c r="Q108" s="71"/>
      <c r="R108" s="71"/>
      <c r="S108" s="70"/>
      <c r="T108" s="71"/>
      <c r="U108" s="71"/>
      <c r="V108" s="75"/>
      <c r="W108" s="69"/>
      <c r="X108" s="69"/>
      <c r="Y108" s="69"/>
      <c r="Z108" s="69"/>
      <c r="AA108" s="69"/>
      <c r="AB108" s="69"/>
      <c r="AC108" s="69"/>
      <c r="AD108" s="69"/>
      <c r="AE108" s="76"/>
      <c r="AF108" s="71"/>
      <c r="AG108" s="71"/>
      <c r="AH108" s="71"/>
      <c r="AI108" s="71"/>
      <c r="AJ108" s="71"/>
      <c r="AK108" s="71"/>
      <c r="AL108" s="71"/>
      <c r="AM108" s="71"/>
      <c r="AN108" s="68"/>
      <c r="AO108" s="68"/>
      <c r="AP108" s="70"/>
      <c r="AQ108" s="71"/>
      <c r="AR108" s="77"/>
      <c r="AS108" s="70"/>
      <c r="AT108" s="68"/>
      <c r="AU108" s="70"/>
      <c r="AV108" s="70"/>
      <c r="AW108" s="71"/>
      <c r="AX108" s="71"/>
      <c r="AY108" s="70"/>
      <c r="AZ108" s="76"/>
      <c r="BA108" s="76"/>
      <c r="BB108" s="76"/>
      <c r="BC108" s="78"/>
    </row>
    <row r="109" spans="1:55" x14ac:dyDescent="0.25">
      <c r="A109" s="68"/>
      <c r="B109" s="68"/>
      <c r="C109" s="68"/>
      <c r="D109" s="70"/>
      <c r="E109" s="70"/>
      <c r="F109" s="70"/>
      <c r="G109" s="72"/>
      <c r="H109" s="74"/>
      <c r="I109" s="74"/>
      <c r="J109" s="75"/>
      <c r="K109" s="81"/>
      <c r="L109" s="76"/>
      <c r="M109" s="76"/>
      <c r="N109" s="76"/>
      <c r="O109" s="71"/>
      <c r="P109" s="70"/>
      <c r="Q109" s="71"/>
      <c r="R109" s="71"/>
      <c r="S109" s="70"/>
      <c r="T109" s="71"/>
      <c r="U109" s="71"/>
      <c r="V109" s="75"/>
      <c r="W109" s="69"/>
      <c r="X109" s="69"/>
      <c r="Y109" s="69"/>
      <c r="Z109" s="69"/>
      <c r="AA109" s="69"/>
      <c r="AB109" s="69"/>
      <c r="AC109" s="69"/>
      <c r="AD109" s="69"/>
      <c r="AE109" s="76"/>
      <c r="AF109" s="71"/>
      <c r="AG109" s="71"/>
      <c r="AH109" s="71"/>
      <c r="AI109" s="71"/>
      <c r="AJ109" s="71"/>
      <c r="AK109" s="71"/>
      <c r="AL109" s="71"/>
      <c r="AM109" s="71"/>
      <c r="AN109" s="68"/>
      <c r="AO109" s="68"/>
      <c r="AP109" s="70"/>
      <c r="AQ109" s="71"/>
      <c r="AR109" s="77"/>
      <c r="AS109" s="70"/>
      <c r="AT109" s="68"/>
      <c r="AU109" s="70"/>
      <c r="AV109" s="70"/>
      <c r="AW109" s="71"/>
      <c r="AX109" s="71"/>
      <c r="AY109" s="70"/>
      <c r="AZ109" s="76"/>
      <c r="BA109" s="76"/>
      <c r="BB109" s="76"/>
      <c r="BC109" s="78"/>
    </row>
    <row r="110" spans="1:55" x14ac:dyDescent="0.25">
      <c r="A110" s="68"/>
      <c r="B110" s="68"/>
      <c r="C110" s="68"/>
      <c r="D110" s="70"/>
      <c r="E110" s="70"/>
      <c r="F110" s="70"/>
      <c r="G110" s="72"/>
      <c r="H110" s="74"/>
      <c r="I110" s="74"/>
      <c r="J110" s="75"/>
      <c r="K110" s="81"/>
      <c r="L110" s="76"/>
      <c r="M110" s="76"/>
      <c r="N110" s="76"/>
      <c r="O110" s="71"/>
      <c r="P110" s="70"/>
      <c r="Q110" s="71"/>
      <c r="R110" s="71"/>
      <c r="S110" s="70"/>
      <c r="T110" s="71"/>
      <c r="U110" s="71"/>
      <c r="V110" s="75"/>
      <c r="W110" s="69"/>
      <c r="X110" s="69"/>
      <c r="Y110" s="69"/>
      <c r="Z110" s="69"/>
      <c r="AA110" s="69"/>
      <c r="AB110" s="69"/>
      <c r="AC110" s="69"/>
      <c r="AD110" s="69"/>
      <c r="AE110" s="76"/>
      <c r="AF110" s="71"/>
      <c r="AG110" s="71"/>
      <c r="AH110" s="71"/>
      <c r="AI110" s="71"/>
      <c r="AJ110" s="71"/>
      <c r="AK110" s="71"/>
      <c r="AL110" s="71"/>
      <c r="AM110" s="71"/>
      <c r="AN110" s="68"/>
      <c r="AO110" s="68"/>
      <c r="AP110" s="70"/>
      <c r="AQ110" s="71"/>
      <c r="AR110" s="77"/>
      <c r="AS110" s="70"/>
      <c r="AT110" s="68"/>
      <c r="AU110" s="70"/>
      <c r="AV110" s="70"/>
      <c r="AW110" s="71"/>
      <c r="AX110" s="71"/>
      <c r="AY110" s="70"/>
      <c r="AZ110" s="76"/>
      <c r="BA110" s="76"/>
      <c r="BB110" s="76"/>
      <c r="BC110" s="78"/>
    </row>
    <row r="111" spans="1:55" x14ac:dyDescent="0.25">
      <c r="A111" s="68"/>
      <c r="B111" s="68"/>
      <c r="C111" s="68"/>
      <c r="D111" s="70"/>
      <c r="E111" s="70"/>
      <c r="F111" s="70"/>
      <c r="G111" s="72"/>
      <c r="H111" s="74"/>
      <c r="I111" s="74"/>
      <c r="J111" s="75"/>
      <c r="K111" s="81"/>
      <c r="L111" s="76"/>
      <c r="M111" s="76"/>
      <c r="N111" s="76"/>
      <c r="O111" s="71"/>
      <c r="P111" s="70"/>
      <c r="Q111" s="71"/>
      <c r="R111" s="71"/>
      <c r="S111" s="70"/>
      <c r="T111" s="71"/>
      <c r="U111" s="71"/>
      <c r="V111" s="75"/>
      <c r="W111" s="69"/>
      <c r="X111" s="69"/>
      <c r="Y111" s="69"/>
      <c r="Z111" s="69"/>
      <c r="AA111" s="69"/>
      <c r="AB111" s="69"/>
      <c r="AC111" s="69"/>
      <c r="AD111" s="69"/>
      <c r="AE111" s="76"/>
      <c r="AF111" s="71"/>
      <c r="AG111" s="71"/>
      <c r="AH111" s="71"/>
      <c r="AI111" s="71"/>
      <c r="AJ111" s="71"/>
      <c r="AK111" s="71"/>
      <c r="AL111" s="71"/>
      <c r="AM111" s="71"/>
      <c r="AN111" s="68"/>
      <c r="AO111" s="68"/>
      <c r="AP111" s="70"/>
      <c r="AQ111" s="71"/>
      <c r="AR111" s="77"/>
      <c r="AS111" s="70"/>
      <c r="AT111" s="68"/>
      <c r="AU111" s="70"/>
      <c r="AV111" s="70"/>
      <c r="AW111" s="71"/>
      <c r="AX111" s="71"/>
      <c r="AY111" s="70"/>
      <c r="AZ111" s="76"/>
      <c r="BA111" s="76"/>
      <c r="BB111" s="76"/>
      <c r="BC111" s="78"/>
    </row>
    <row r="112" spans="1:55" x14ac:dyDescent="0.25">
      <c r="A112" s="68"/>
      <c r="B112" s="68"/>
      <c r="C112" s="68"/>
      <c r="D112" s="70"/>
      <c r="E112" s="70"/>
      <c r="F112" s="70"/>
      <c r="G112" s="72"/>
      <c r="H112" s="74"/>
      <c r="I112" s="74"/>
      <c r="J112" s="75"/>
      <c r="K112" s="81"/>
      <c r="L112" s="76"/>
      <c r="M112" s="76"/>
      <c r="N112" s="76"/>
      <c r="O112" s="71"/>
      <c r="P112" s="70"/>
      <c r="Q112" s="71"/>
      <c r="R112" s="71"/>
      <c r="S112" s="70"/>
      <c r="T112" s="71"/>
      <c r="U112" s="71"/>
      <c r="V112" s="75"/>
      <c r="W112" s="69"/>
      <c r="X112" s="69"/>
      <c r="Y112" s="69"/>
      <c r="Z112" s="69"/>
      <c r="AA112" s="69"/>
      <c r="AB112" s="69"/>
      <c r="AC112" s="69"/>
      <c r="AD112" s="69"/>
      <c r="AE112" s="76"/>
      <c r="AF112" s="71"/>
      <c r="AG112" s="71"/>
      <c r="AH112" s="71"/>
      <c r="AI112" s="71"/>
      <c r="AJ112" s="71"/>
      <c r="AK112" s="71"/>
      <c r="AL112" s="71"/>
      <c r="AM112" s="71"/>
      <c r="AN112" s="68"/>
      <c r="AO112" s="68"/>
      <c r="AP112" s="70"/>
      <c r="AQ112" s="71"/>
      <c r="AR112" s="77"/>
      <c r="AS112" s="70"/>
      <c r="AT112" s="68"/>
      <c r="AU112" s="70"/>
      <c r="AV112" s="70"/>
      <c r="AW112" s="71"/>
      <c r="AX112" s="71"/>
      <c r="AY112" s="70"/>
      <c r="AZ112" s="76"/>
      <c r="BA112" s="76"/>
      <c r="BB112" s="76"/>
      <c r="BC112" s="78"/>
    </row>
    <row r="113" spans="1:55" x14ac:dyDescent="0.25">
      <c r="A113" s="68"/>
      <c r="B113" s="68"/>
      <c r="C113" s="68"/>
      <c r="D113" s="70"/>
      <c r="E113" s="70"/>
      <c r="F113" s="70"/>
      <c r="G113" s="72"/>
      <c r="H113" s="74"/>
      <c r="I113" s="74"/>
      <c r="J113" s="75"/>
      <c r="K113" s="81"/>
      <c r="L113" s="76"/>
      <c r="M113" s="76"/>
      <c r="N113" s="76"/>
      <c r="O113" s="71"/>
      <c r="P113" s="70"/>
      <c r="Q113" s="71"/>
      <c r="R113" s="71"/>
      <c r="S113" s="70"/>
      <c r="T113" s="71"/>
      <c r="U113" s="71"/>
      <c r="V113" s="75"/>
      <c r="W113" s="69"/>
      <c r="X113" s="69"/>
      <c r="Y113" s="69"/>
      <c r="Z113" s="69"/>
      <c r="AA113" s="69"/>
      <c r="AB113" s="69"/>
      <c r="AC113" s="69"/>
      <c r="AD113" s="69"/>
      <c r="AE113" s="76"/>
      <c r="AF113" s="71"/>
      <c r="AG113" s="71"/>
      <c r="AH113" s="71"/>
      <c r="AI113" s="71"/>
      <c r="AJ113" s="71"/>
      <c r="AK113" s="71"/>
      <c r="AL113" s="71"/>
      <c r="AM113" s="71"/>
      <c r="AN113" s="68"/>
      <c r="AO113" s="68"/>
      <c r="AP113" s="70"/>
      <c r="AQ113" s="71"/>
      <c r="AR113" s="77"/>
      <c r="AS113" s="70"/>
      <c r="AT113" s="68"/>
      <c r="AU113" s="70"/>
      <c r="AV113" s="70"/>
      <c r="AW113" s="71"/>
      <c r="AX113" s="71"/>
      <c r="AY113" s="70"/>
      <c r="AZ113" s="76"/>
      <c r="BA113" s="76"/>
      <c r="BB113" s="76"/>
      <c r="BC113" s="78"/>
    </row>
    <row r="114" spans="1:55" x14ac:dyDescent="0.25">
      <c r="A114" s="68"/>
      <c r="B114" s="68"/>
      <c r="C114" s="68"/>
      <c r="D114" s="70"/>
      <c r="E114" s="70"/>
      <c r="F114" s="70"/>
      <c r="G114" s="72"/>
      <c r="H114" s="74"/>
      <c r="I114" s="74"/>
      <c r="J114" s="75"/>
      <c r="K114" s="81"/>
      <c r="L114" s="76"/>
      <c r="M114" s="76"/>
      <c r="N114" s="76"/>
      <c r="O114" s="71"/>
      <c r="P114" s="70"/>
      <c r="Q114" s="71"/>
      <c r="R114" s="71"/>
      <c r="S114" s="70"/>
      <c r="T114" s="71"/>
      <c r="U114" s="71"/>
      <c r="V114" s="75"/>
      <c r="W114" s="69"/>
      <c r="X114" s="69"/>
      <c r="Y114" s="69"/>
      <c r="Z114" s="69"/>
      <c r="AA114" s="69"/>
      <c r="AB114" s="69"/>
      <c r="AC114" s="69"/>
      <c r="AD114" s="69"/>
      <c r="AE114" s="76"/>
      <c r="AF114" s="71"/>
      <c r="AG114" s="71"/>
      <c r="AH114" s="71"/>
      <c r="AI114" s="71"/>
      <c r="AJ114" s="71"/>
      <c r="AK114" s="71"/>
      <c r="AL114" s="71"/>
      <c r="AM114" s="71"/>
      <c r="AN114" s="68"/>
      <c r="AO114" s="68"/>
      <c r="AP114" s="70"/>
      <c r="AQ114" s="71"/>
      <c r="AR114" s="77"/>
      <c r="AS114" s="70"/>
      <c r="AT114" s="68"/>
      <c r="AU114" s="70"/>
      <c r="AV114" s="70"/>
      <c r="AW114" s="71"/>
      <c r="AX114" s="71"/>
      <c r="AY114" s="70"/>
      <c r="AZ114" s="76"/>
      <c r="BA114" s="76"/>
      <c r="BB114" s="76"/>
      <c r="BC114" s="78"/>
    </row>
    <row r="115" spans="1:55" x14ac:dyDescent="0.25">
      <c r="A115" s="68"/>
      <c r="B115" s="68"/>
      <c r="C115" s="68"/>
      <c r="D115" s="70"/>
      <c r="E115" s="70"/>
      <c r="F115" s="70"/>
      <c r="G115" s="72"/>
      <c r="H115" s="74"/>
      <c r="I115" s="74"/>
      <c r="J115" s="75"/>
      <c r="K115" s="81"/>
      <c r="L115" s="76"/>
      <c r="M115" s="76"/>
      <c r="N115" s="76"/>
      <c r="O115" s="71"/>
      <c r="P115" s="70"/>
      <c r="Q115" s="71"/>
      <c r="R115" s="71"/>
      <c r="S115" s="70"/>
      <c r="T115" s="71"/>
      <c r="U115" s="71"/>
      <c r="V115" s="75"/>
      <c r="W115" s="69"/>
      <c r="X115" s="69"/>
      <c r="Y115" s="69"/>
      <c r="Z115" s="69"/>
      <c r="AA115" s="69"/>
      <c r="AB115" s="69"/>
      <c r="AC115" s="69"/>
      <c r="AD115" s="69"/>
      <c r="AE115" s="76"/>
      <c r="AF115" s="71"/>
      <c r="AG115" s="71"/>
      <c r="AH115" s="71"/>
      <c r="AI115" s="71"/>
      <c r="AJ115" s="71"/>
      <c r="AK115" s="71"/>
      <c r="AL115" s="71"/>
      <c r="AM115" s="71"/>
      <c r="AN115" s="68"/>
      <c r="AO115" s="68"/>
      <c r="AP115" s="70"/>
      <c r="AQ115" s="71"/>
      <c r="AR115" s="77"/>
      <c r="AS115" s="70"/>
      <c r="AT115" s="68"/>
      <c r="AU115" s="70"/>
      <c r="AV115" s="70"/>
      <c r="AW115" s="71"/>
      <c r="AX115" s="71"/>
      <c r="AY115" s="70"/>
      <c r="AZ115" s="76"/>
      <c r="BA115" s="76"/>
      <c r="BB115" s="76"/>
      <c r="BC115" s="78"/>
    </row>
    <row r="116" spans="1:55" x14ac:dyDescent="0.25">
      <c r="A116" s="68"/>
      <c r="B116" s="68"/>
      <c r="C116" s="68"/>
      <c r="D116" s="70"/>
      <c r="E116" s="70"/>
      <c r="F116" s="70"/>
      <c r="G116" s="72"/>
      <c r="H116" s="74"/>
      <c r="I116" s="74"/>
      <c r="J116" s="75"/>
      <c r="K116" s="81"/>
      <c r="L116" s="76"/>
      <c r="M116" s="76"/>
      <c r="N116" s="76"/>
      <c r="O116" s="71"/>
      <c r="P116" s="70"/>
      <c r="Q116" s="71"/>
      <c r="R116" s="71"/>
      <c r="S116" s="70"/>
      <c r="T116" s="71"/>
      <c r="U116" s="71"/>
      <c r="V116" s="75"/>
      <c r="W116" s="69"/>
      <c r="X116" s="69"/>
      <c r="Y116" s="69"/>
      <c r="Z116" s="69"/>
      <c r="AA116" s="69"/>
      <c r="AB116" s="69"/>
      <c r="AC116" s="69"/>
      <c r="AD116" s="69"/>
      <c r="AE116" s="76"/>
      <c r="AF116" s="71"/>
      <c r="AG116" s="71"/>
      <c r="AH116" s="71"/>
      <c r="AI116" s="71"/>
      <c r="AJ116" s="71"/>
      <c r="AK116" s="71"/>
      <c r="AL116" s="71"/>
      <c r="AM116" s="71"/>
      <c r="AN116" s="68"/>
      <c r="AO116" s="68"/>
      <c r="AP116" s="70"/>
      <c r="AQ116" s="71"/>
      <c r="AR116" s="77"/>
      <c r="AS116" s="70"/>
      <c r="AT116" s="68"/>
      <c r="AU116" s="70"/>
      <c r="AV116" s="70"/>
      <c r="AW116" s="71"/>
      <c r="AX116" s="71"/>
      <c r="AY116" s="70"/>
      <c r="AZ116" s="76"/>
      <c r="BA116" s="76"/>
      <c r="BB116" s="76"/>
      <c r="BC116" s="78"/>
    </row>
    <row r="117" spans="1:55" x14ac:dyDescent="0.25">
      <c r="A117" s="68"/>
      <c r="B117" s="68"/>
      <c r="C117" s="68"/>
      <c r="D117" s="70"/>
      <c r="E117" s="70"/>
      <c r="F117" s="70"/>
      <c r="G117" s="72"/>
      <c r="H117" s="74"/>
      <c r="I117" s="74"/>
      <c r="J117" s="75"/>
      <c r="K117" s="81"/>
      <c r="L117" s="76"/>
      <c r="M117" s="76"/>
      <c r="N117" s="76"/>
      <c r="O117" s="71"/>
      <c r="P117" s="70"/>
      <c r="Q117" s="71"/>
      <c r="R117" s="71"/>
      <c r="S117" s="70"/>
      <c r="T117" s="71"/>
      <c r="U117" s="71"/>
      <c r="V117" s="75"/>
      <c r="W117" s="69"/>
      <c r="X117" s="69"/>
      <c r="Y117" s="69"/>
      <c r="Z117" s="69"/>
      <c r="AA117" s="69"/>
      <c r="AB117" s="69"/>
      <c r="AC117" s="69"/>
      <c r="AD117" s="69"/>
      <c r="AE117" s="76"/>
      <c r="AF117" s="71"/>
      <c r="AG117" s="71"/>
      <c r="AH117" s="71"/>
      <c r="AI117" s="71"/>
      <c r="AJ117" s="71"/>
      <c r="AK117" s="71"/>
      <c r="AL117" s="71"/>
      <c r="AM117" s="71"/>
      <c r="AN117" s="68"/>
      <c r="AO117" s="68"/>
      <c r="AP117" s="70"/>
      <c r="AQ117" s="71"/>
      <c r="AR117" s="77"/>
      <c r="AS117" s="70"/>
      <c r="AT117" s="68"/>
      <c r="AU117" s="70"/>
      <c r="AV117" s="70"/>
      <c r="AW117" s="71"/>
      <c r="AX117" s="71"/>
      <c r="AY117" s="70"/>
      <c r="AZ117" s="76"/>
      <c r="BA117" s="76"/>
      <c r="BB117" s="76"/>
      <c r="BC117" s="78"/>
    </row>
    <row r="118" spans="1:55" x14ac:dyDescent="0.25">
      <c r="A118" s="68"/>
      <c r="B118" s="68"/>
      <c r="C118" s="68"/>
      <c r="D118" s="70"/>
      <c r="E118" s="70"/>
      <c r="F118" s="70"/>
      <c r="G118" s="72"/>
      <c r="H118" s="74"/>
      <c r="I118" s="74"/>
      <c r="J118" s="75"/>
      <c r="K118" s="81"/>
      <c r="L118" s="76"/>
      <c r="M118" s="76"/>
      <c r="N118" s="76"/>
      <c r="O118" s="71"/>
      <c r="P118" s="70"/>
      <c r="Q118" s="71"/>
      <c r="R118" s="71"/>
      <c r="S118" s="70"/>
      <c r="T118" s="71"/>
      <c r="U118" s="71"/>
      <c r="V118" s="75"/>
      <c r="W118" s="69"/>
      <c r="X118" s="69"/>
      <c r="Y118" s="69"/>
      <c r="Z118" s="69"/>
      <c r="AA118" s="69"/>
      <c r="AB118" s="69"/>
      <c r="AC118" s="69"/>
      <c r="AD118" s="69"/>
      <c r="AE118" s="76"/>
      <c r="AF118" s="71"/>
      <c r="AG118" s="71"/>
      <c r="AH118" s="71"/>
      <c r="AI118" s="71"/>
      <c r="AJ118" s="71"/>
      <c r="AK118" s="71"/>
      <c r="AL118" s="71"/>
      <c r="AM118" s="71"/>
      <c r="AN118" s="68"/>
      <c r="AO118" s="68"/>
      <c r="AP118" s="70"/>
      <c r="AQ118" s="71"/>
      <c r="AR118" s="77"/>
      <c r="AS118" s="70"/>
      <c r="AT118" s="68"/>
      <c r="AU118" s="70"/>
      <c r="AV118" s="70"/>
      <c r="AW118" s="71"/>
      <c r="AX118" s="71"/>
      <c r="AY118" s="70"/>
      <c r="AZ118" s="76"/>
      <c r="BA118" s="76"/>
      <c r="BB118" s="76"/>
      <c r="BC118" s="78"/>
    </row>
    <row r="119" spans="1:55" x14ac:dyDescent="0.25">
      <c r="A119" s="68"/>
      <c r="B119" s="68"/>
      <c r="C119" s="68"/>
      <c r="D119" s="70"/>
      <c r="E119" s="70"/>
      <c r="F119" s="70"/>
      <c r="G119" s="72"/>
      <c r="H119" s="74"/>
      <c r="I119" s="74"/>
      <c r="J119" s="75"/>
      <c r="K119" s="81"/>
      <c r="L119" s="76"/>
      <c r="M119" s="76"/>
      <c r="N119" s="76"/>
      <c r="O119" s="71"/>
      <c r="P119" s="70"/>
      <c r="Q119" s="71"/>
      <c r="R119" s="71"/>
      <c r="S119" s="70"/>
      <c r="T119" s="71"/>
      <c r="U119" s="71"/>
      <c r="V119" s="75"/>
      <c r="W119" s="69"/>
      <c r="X119" s="69"/>
      <c r="Y119" s="69"/>
      <c r="Z119" s="69"/>
      <c r="AA119" s="69"/>
      <c r="AB119" s="69"/>
      <c r="AC119" s="69"/>
      <c r="AD119" s="69"/>
      <c r="AE119" s="76"/>
      <c r="AF119" s="71"/>
      <c r="AG119" s="71"/>
      <c r="AH119" s="71"/>
      <c r="AI119" s="71"/>
      <c r="AJ119" s="71"/>
      <c r="AK119" s="71"/>
      <c r="AL119" s="71"/>
      <c r="AM119" s="71"/>
      <c r="AN119" s="68"/>
      <c r="AO119" s="68"/>
      <c r="AP119" s="70"/>
      <c r="AQ119" s="71"/>
      <c r="AR119" s="77"/>
      <c r="AS119" s="70"/>
      <c r="AT119" s="68"/>
      <c r="AU119" s="70"/>
      <c r="AV119" s="70"/>
      <c r="AW119" s="71"/>
      <c r="AX119" s="71"/>
      <c r="AY119" s="70"/>
      <c r="AZ119" s="76"/>
      <c r="BA119" s="76"/>
      <c r="BB119" s="76"/>
      <c r="BC119" s="78"/>
    </row>
    <row r="120" spans="1:55" x14ac:dyDescent="0.25">
      <c r="A120" s="68"/>
      <c r="B120" s="68"/>
      <c r="C120" s="68"/>
      <c r="D120" s="70"/>
      <c r="E120" s="70"/>
      <c r="F120" s="70"/>
      <c r="G120" s="72"/>
      <c r="H120" s="74"/>
      <c r="I120" s="74"/>
      <c r="J120" s="75"/>
      <c r="K120" s="81"/>
      <c r="L120" s="76"/>
      <c r="M120" s="76"/>
      <c r="N120" s="76"/>
      <c r="O120" s="71"/>
      <c r="P120" s="70"/>
      <c r="Q120" s="71"/>
      <c r="R120" s="71"/>
      <c r="S120" s="70"/>
      <c r="T120" s="71"/>
      <c r="U120" s="71"/>
      <c r="V120" s="75"/>
      <c r="W120" s="69"/>
      <c r="X120" s="69"/>
      <c r="Y120" s="69"/>
      <c r="Z120" s="69"/>
      <c r="AA120" s="69"/>
      <c r="AB120" s="69"/>
      <c r="AC120" s="69"/>
      <c r="AD120" s="69"/>
      <c r="AE120" s="76"/>
      <c r="AF120" s="71"/>
      <c r="AG120" s="71"/>
      <c r="AH120" s="71"/>
      <c r="AI120" s="71"/>
      <c r="AJ120" s="71"/>
      <c r="AK120" s="71"/>
      <c r="AL120" s="71"/>
      <c r="AM120" s="71"/>
      <c r="AN120" s="68"/>
      <c r="AO120" s="68"/>
      <c r="AP120" s="70"/>
      <c r="AQ120" s="71"/>
      <c r="AR120" s="77"/>
      <c r="AS120" s="70"/>
      <c r="AT120" s="68"/>
      <c r="AU120" s="70"/>
      <c r="AV120" s="70"/>
      <c r="AW120" s="71"/>
      <c r="AX120" s="71"/>
      <c r="AY120" s="70"/>
      <c r="AZ120" s="76"/>
      <c r="BA120" s="76"/>
      <c r="BB120" s="76"/>
      <c r="BC120" s="78"/>
    </row>
    <row r="121" spans="1:55" x14ac:dyDescent="0.25">
      <c r="A121" s="68"/>
      <c r="B121" s="68"/>
      <c r="C121" s="68"/>
      <c r="D121" s="70"/>
      <c r="E121" s="70"/>
      <c r="F121" s="70"/>
      <c r="G121" s="72"/>
      <c r="H121" s="74"/>
      <c r="I121" s="74"/>
      <c r="J121" s="75"/>
      <c r="K121" s="81"/>
      <c r="L121" s="76"/>
      <c r="M121" s="76"/>
      <c r="N121" s="76"/>
      <c r="O121" s="71"/>
      <c r="P121" s="70"/>
      <c r="Q121" s="71"/>
      <c r="R121" s="71"/>
      <c r="S121" s="70"/>
      <c r="T121" s="71"/>
      <c r="U121" s="71"/>
      <c r="V121" s="75"/>
      <c r="W121" s="69"/>
      <c r="X121" s="69"/>
      <c r="Y121" s="69"/>
      <c r="Z121" s="69"/>
      <c r="AA121" s="69"/>
      <c r="AB121" s="69"/>
      <c r="AC121" s="69"/>
      <c r="AD121" s="69"/>
      <c r="AE121" s="76"/>
      <c r="AF121" s="71"/>
      <c r="AG121" s="71"/>
      <c r="AH121" s="71"/>
      <c r="AI121" s="71"/>
      <c r="AJ121" s="71"/>
      <c r="AK121" s="71"/>
      <c r="AL121" s="71"/>
      <c r="AM121" s="71"/>
      <c r="AN121" s="68"/>
      <c r="AO121" s="68"/>
      <c r="AP121" s="70"/>
      <c r="AQ121" s="71"/>
      <c r="AR121" s="77"/>
      <c r="AS121" s="70"/>
      <c r="AT121" s="68"/>
      <c r="AU121" s="70"/>
      <c r="AV121" s="70"/>
      <c r="AW121" s="71"/>
      <c r="AX121" s="71"/>
      <c r="AY121" s="70"/>
      <c r="AZ121" s="76"/>
      <c r="BA121" s="76"/>
      <c r="BB121" s="76"/>
      <c r="BC121" s="78"/>
    </row>
    <row r="122" spans="1:55" x14ac:dyDescent="0.25">
      <c r="A122" s="68"/>
      <c r="B122" s="68"/>
      <c r="C122" s="68"/>
      <c r="D122" s="70"/>
      <c r="E122" s="70"/>
      <c r="F122" s="70"/>
      <c r="G122" s="72"/>
      <c r="H122" s="74"/>
      <c r="I122" s="74"/>
      <c r="J122" s="75"/>
      <c r="K122" s="81"/>
      <c r="L122" s="76"/>
      <c r="M122" s="76"/>
      <c r="N122" s="76"/>
      <c r="O122" s="71"/>
      <c r="P122" s="70"/>
      <c r="Q122" s="71"/>
      <c r="R122" s="71"/>
      <c r="S122" s="70"/>
      <c r="T122" s="71"/>
      <c r="U122" s="71"/>
      <c r="V122" s="75"/>
      <c r="W122" s="69"/>
      <c r="X122" s="69"/>
      <c r="Y122" s="69"/>
      <c r="Z122" s="69"/>
      <c r="AA122" s="69"/>
      <c r="AB122" s="69"/>
      <c r="AC122" s="69"/>
      <c r="AD122" s="69"/>
      <c r="AE122" s="76"/>
      <c r="AF122" s="71"/>
      <c r="AG122" s="71"/>
      <c r="AH122" s="71"/>
      <c r="AI122" s="71"/>
      <c r="AJ122" s="71"/>
      <c r="AK122" s="71"/>
      <c r="AL122" s="71"/>
      <c r="AM122" s="71"/>
      <c r="AN122" s="68"/>
      <c r="AO122" s="68"/>
      <c r="AP122" s="70"/>
      <c r="AQ122" s="71"/>
      <c r="AR122" s="77"/>
      <c r="AS122" s="70"/>
      <c r="AT122" s="68"/>
      <c r="AU122" s="70"/>
      <c r="AV122" s="70"/>
      <c r="AW122" s="71"/>
      <c r="AX122" s="71"/>
      <c r="AY122" s="70"/>
      <c r="AZ122" s="76"/>
      <c r="BA122" s="76"/>
      <c r="BB122" s="76"/>
      <c r="BC122" s="78"/>
    </row>
    <row r="123" spans="1:55" x14ac:dyDescent="0.25">
      <c r="A123" s="68"/>
      <c r="B123" s="68"/>
      <c r="C123" s="68"/>
      <c r="D123" s="70"/>
      <c r="E123" s="70"/>
      <c r="F123" s="70"/>
      <c r="G123" s="72"/>
      <c r="H123" s="74"/>
      <c r="I123" s="74"/>
      <c r="J123" s="75"/>
      <c r="K123" s="81"/>
      <c r="L123" s="76"/>
      <c r="M123" s="76"/>
      <c r="N123" s="76"/>
      <c r="O123" s="71"/>
      <c r="P123" s="70"/>
      <c r="Q123" s="71"/>
      <c r="R123" s="71"/>
      <c r="S123" s="70"/>
      <c r="T123" s="71"/>
      <c r="U123" s="71"/>
      <c r="V123" s="75"/>
      <c r="W123" s="69"/>
      <c r="X123" s="69"/>
      <c r="Y123" s="69"/>
      <c r="Z123" s="69"/>
      <c r="AA123" s="69"/>
      <c r="AB123" s="69"/>
      <c r="AC123" s="69"/>
      <c r="AD123" s="69"/>
      <c r="AE123" s="76"/>
      <c r="AF123" s="71"/>
      <c r="AG123" s="71"/>
      <c r="AH123" s="71"/>
      <c r="AI123" s="71"/>
      <c r="AJ123" s="71"/>
      <c r="AK123" s="71"/>
      <c r="AL123" s="71"/>
      <c r="AM123" s="71"/>
      <c r="AN123" s="68"/>
      <c r="AO123" s="68"/>
      <c r="AP123" s="70"/>
      <c r="AQ123" s="71"/>
      <c r="AR123" s="77"/>
      <c r="AS123" s="70"/>
      <c r="AT123" s="68"/>
      <c r="AU123" s="70"/>
      <c r="AV123" s="70"/>
      <c r="AW123" s="71"/>
      <c r="AX123" s="71"/>
      <c r="AY123" s="70"/>
      <c r="AZ123" s="76"/>
      <c r="BA123" s="76"/>
      <c r="BB123" s="76"/>
      <c r="BC123" s="78"/>
    </row>
    <row r="124" spans="1:55" x14ac:dyDescent="0.25">
      <c r="A124" s="68"/>
      <c r="B124" s="68"/>
      <c r="C124" s="68"/>
      <c r="D124" s="70"/>
      <c r="E124" s="70"/>
      <c r="F124" s="70"/>
      <c r="G124" s="72"/>
      <c r="H124" s="74"/>
      <c r="I124" s="74"/>
      <c r="J124" s="75"/>
      <c r="K124" s="81"/>
      <c r="L124" s="76"/>
      <c r="M124" s="76"/>
      <c r="N124" s="76"/>
      <c r="O124" s="71"/>
      <c r="P124" s="70"/>
      <c r="Q124" s="71"/>
      <c r="R124" s="71"/>
      <c r="S124" s="70"/>
      <c r="T124" s="71"/>
      <c r="U124" s="71"/>
      <c r="V124" s="75"/>
      <c r="W124" s="69"/>
      <c r="X124" s="69"/>
      <c r="Y124" s="69"/>
      <c r="Z124" s="69"/>
      <c r="AA124" s="69"/>
      <c r="AB124" s="69"/>
      <c r="AC124" s="69"/>
      <c r="AD124" s="69"/>
      <c r="AE124" s="76"/>
      <c r="AF124" s="71"/>
      <c r="AG124" s="71"/>
      <c r="AH124" s="71"/>
      <c r="AI124" s="71"/>
      <c r="AJ124" s="71"/>
      <c r="AK124" s="71"/>
      <c r="AL124" s="71"/>
      <c r="AM124" s="71"/>
      <c r="AN124" s="68"/>
      <c r="AO124" s="68"/>
      <c r="AP124" s="70"/>
      <c r="AQ124" s="71"/>
      <c r="AR124" s="77"/>
      <c r="AS124" s="70"/>
      <c r="AT124" s="68"/>
      <c r="AU124" s="70"/>
      <c r="AV124" s="70"/>
      <c r="AW124" s="71"/>
      <c r="AX124" s="71"/>
      <c r="AY124" s="70"/>
      <c r="AZ124" s="76"/>
      <c r="BA124" s="76"/>
      <c r="BB124" s="76"/>
      <c r="BC124" s="78"/>
    </row>
    <row r="125" spans="1:55" x14ac:dyDescent="0.25">
      <c r="A125" s="68"/>
      <c r="B125" s="68"/>
      <c r="C125" s="68"/>
      <c r="D125" s="70"/>
      <c r="E125" s="70"/>
      <c r="F125" s="70"/>
      <c r="G125" s="72"/>
      <c r="H125" s="74"/>
      <c r="I125" s="74"/>
      <c r="J125" s="75"/>
      <c r="K125" s="81"/>
      <c r="L125" s="76"/>
      <c r="M125" s="76"/>
      <c r="N125" s="76"/>
      <c r="O125" s="71"/>
      <c r="P125" s="70"/>
      <c r="Q125" s="71"/>
      <c r="R125" s="71"/>
      <c r="S125" s="70"/>
      <c r="T125" s="71"/>
      <c r="U125" s="71"/>
      <c r="V125" s="75"/>
      <c r="W125" s="69"/>
      <c r="X125" s="69"/>
      <c r="Y125" s="69"/>
      <c r="Z125" s="69"/>
      <c r="AA125" s="69"/>
      <c r="AB125" s="69"/>
      <c r="AC125" s="69"/>
      <c r="AD125" s="69"/>
      <c r="AE125" s="76"/>
      <c r="AF125" s="71"/>
      <c r="AG125" s="71"/>
      <c r="AH125" s="71"/>
      <c r="AI125" s="71"/>
      <c r="AJ125" s="71"/>
      <c r="AK125" s="71"/>
      <c r="AL125" s="71"/>
      <c r="AM125" s="71"/>
      <c r="AN125" s="68"/>
      <c r="AO125" s="68"/>
      <c r="AP125" s="70"/>
      <c r="AQ125" s="71"/>
      <c r="AR125" s="77"/>
      <c r="AS125" s="70"/>
      <c r="AT125" s="68"/>
      <c r="AU125" s="70"/>
      <c r="AV125" s="70"/>
      <c r="AW125" s="71"/>
      <c r="AX125" s="71"/>
      <c r="AY125" s="70"/>
      <c r="AZ125" s="76"/>
      <c r="BA125" s="76"/>
      <c r="BB125" s="76"/>
      <c r="BC125" s="78"/>
    </row>
    <row r="126" spans="1:55" x14ac:dyDescent="0.25">
      <c r="A126" s="68"/>
      <c r="B126" s="68"/>
      <c r="C126" s="68"/>
      <c r="D126" s="70"/>
      <c r="E126" s="70"/>
      <c r="F126" s="70"/>
      <c r="G126" s="72"/>
      <c r="H126" s="74"/>
      <c r="I126" s="74"/>
      <c r="J126" s="75"/>
      <c r="K126" s="81"/>
      <c r="L126" s="76"/>
      <c r="M126" s="76"/>
      <c r="N126" s="76"/>
      <c r="O126" s="71"/>
      <c r="P126" s="70"/>
      <c r="Q126" s="71"/>
      <c r="R126" s="71"/>
      <c r="S126" s="70"/>
      <c r="T126" s="71"/>
      <c r="U126" s="71"/>
      <c r="V126" s="75"/>
      <c r="W126" s="69"/>
      <c r="X126" s="69"/>
      <c r="Y126" s="69"/>
      <c r="Z126" s="69"/>
      <c r="AA126" s="69"/>
      <c r="AB126" s="69"/>
      <c r="AC126" s="69"/>
      <c r="AD126" s="69"/>
      <c r="AE126" s="76"/>
      <c r="AF126" s="71"/>
      <c r="AG126" s="71"/>
      <c r="AH126" s="71"/>
      <c r="AI126" s="71"/>
      <c r="AJ126" s="71"/>
      <c r="AK126" s="71"/>
      <c r="AL126" s="71"/>
      <c r="AM126" s="71"/>
      <c r="AN126" s="68"/>
      <c r="AO126" s="68"/>
      <c r="AP126" s="70"/>
      <c r="AQ126" s="71"/>
      <c r="AR126" s="77"/>
      <c r="AS126" s="70"/>
      <c r="AT126" s="68"/>
      <c r="AU126" s="70"/>
      <c r="AV126" s="70"/>
      <c r="AW126" s="71"/>
      <c r="AX126" s="71"/>
      <c r="AY126" s="70"/>
      <c r="AZ126" s="76"/>
      <c r="BA126" s="76"/>
      <c r="BB126" s="76"/>
      <c r="BC126" s="78"/>
    </row>
    <row r="127" spans="1:55" x14ac:dyDescent="0.25">
      <c r="A127" s="68"/>
      <c r="B127" s="68"/>
      <c r="C127" s="68"/>
      <c r="D127" s="70"/>
      <c r="E127" s="70"/>
      <c r="F127" s="70"/>
      <c r="G127" s="72"/>
      <c r="H127" s="74"/>
      <c r="I127" s="74"/>
      <c r="J127" s="75"/>
      <c r="K127" s="81"/>
      <c r="L127" s="76"/>
      <c r="M127" s="76"/>
      <c r="N127" s="76"/>
      <c r="O127" s="71"/>
      <c r="P127" s="70"/>
      <c r="Q127" s="71"/>
      <c r="R127" s="71"/>
      <c r="S127" s="70"/>
      <c r="T127" s="71"/>
      <c r="U127" s="71"/>
      <c r="V127" s="75"/>
      <c r="W127" s="69"/>
      <c r="X127" s="69"/>
      <c r="Y127" s="69"/>
      <c r="Z127" s="69"/>
      <c r="AA127" s="69"/>
      <c r="AB127" s="69"/>
      <c r="AC127" s="69"/>
      <c r="AD127" s="69"/>
      <c r="AE127" s="76"/>
      <c r="AF127" s="71"/>
      <c r="AG127" s="71"/>
      <c r="AH127" s="71"/>
      <c r="AI127" s="71"/>
      <c r="AJ127" s="71"/>
      <c r="AK127" s="71"/>
      <c r="AL127" s="71"/>
      <c r="AM127" s="71"/>
      <c r="AN127" s="68"/>
      <c r="AO127" s="68"/>
      <c r="AP127" s="70"/>
      <c r="AQ127" s="71"/>
      <c r="AR127" s="77"/>
      <c r="AS127" s="70"/>
      <c r="AT127" s="68"/>
      <c r="AU127" s="70"/>
      <c r="AV127" s="70"/>
      <c r="AW127" s="71"/>
      <c r="AX127" s="71"/>
      <c r="AY127" s="70"/>
      <c r="AZ127" s="76"/>
      <c r="BA127" s="76"/>
      <c r="BB127" s="76"/>
      <c r="BC127" s="78"/>
    </row>
    <row r="128" spans="1:55" x14ac:dyDescent="0.25">
      <c r="A128" s="68"/>
      <c r="B128" s="68"/>
      <c r="C128" s="68"/>
      <c r="D128" s="70"/>
      <c r="E128" s="70"/>
      <c r="F128" s="70"/>
      <c r="G128" s="72"/>
      <c r="H128" s="74"/>
      <c r="I128" s="74"/>
      <c r="J128" s="75"/>
      <c r="K128" s="81"/>
      <c r="L128" s="76"/>
      <c r="M128" s="76"/>
      <c r="N128" s="76"/>
      <c r="O128" s="71"/>
      <c r="P128" s="70"/>
      <c r="Q128" s="71"/>
      <c r="R128" s="71"/>
      <c r="S128" s="70"/>
      <c r="T128" s="71"/>
      <c r="U128" s="71"/>
      <c r="V128" s="75"/>
      <c r="W128" s="69"/>
      <c r="X128" s="69"/>
      <c r="Y128" s="69"/>
      <c r="Z128" s="69"/>
      <c r="AA128" s="69"/>
      <c r="AB128" s="69"/>
      <c r="AC128" s="69"/>
      <c r="AD128" s="69"/>
      <c r="AE128" s="76"/>
      <c r="AF128" s="71"/>
      <c r="AG128" s="71"/>
      <c r="AH128" s="71"/>
      <c r="AI128" s="71"/>
      <c r="AJ128" s="71"/>
      <c r="AK128" s="71"/>
      <c r="AL128" s="71"/>
      <c r="AM128" s="71"/>
      <c r="AN128" s="68"/>
      <c r="AO128" s="68"/>
      <c r="AP128" s="70"/>
      <c r="AQ128" s="71"/>
      <c r="AR128" s="77"/>
      <c r="AS128" s="70"/>
      <c r="AT128" s="68"/>
      <c r="AU128" s="70"/>
      <c r="AV128" s="70"/>
      <c r="AW128" s="71"/>
      <c r="AX128" s="71"/>
      <c r="AY128" s="70"/>
      <c r="AZ128" s="76"/>
      <c r="BA128" s="76"/>
      <c r="BB128" s="76"/>
      <c r="BC128" s="78"/>
    </row>
    <row r="129" spans="1:55" x14ac:dyDescent="0.25">
      <c r="A129" s="68"/>
      <c r="B129" s="68"/>
      <c r="C129" s="68"/>
      <c r="D129" s="70"/>
      <c r="E129" s="70"/>
      <c r="F129" s="70"/>
      <c r="G129" s="72"/>
      <c r="H129" s="74"/>
      <c r="I129" s="74"/>
      <c r="J129" s="75"/>
      <c r="K129" s="81"/>
      <c r="L129" s="76"/>
      <c r="M129" s="76"/>
      <c r="N129" s="76"/>
      <c r="O129" s="71"/>
      <c r="P129" s="70"/>
      <c r="Q129" s="71"/>
      <c r="R129" s="71"/>
      <c r="S129" s="70"/>
      <c r="T129" s="71"/>
      <c r="U129" s="71"/>
      <c r="V129" s="75"/>
      <c r="W129" s="69"/>
      <c r="X129" s="69"/>
      <c r="Y129" s="69"/>
      <c r="Z129" s="69"/>
      <c r="AA129" s="69"/>
      <c r="AB129" s="69"/>
      <c r="AC129" s="69"/>
      <c r="AD129" s="69"/>
      <c r="AE129" s="76"/>
      <c r="AF129" s="71"/>
      <c r="AG129" s="71"/>
      <c r="AH129" s="71"/>
      <c r="AI129" s="71"/>
      <c r="AJ129" s="71"/>
      <c r="AK129" s="71"/>
      <c r="AL129" s="71"/>
      <c r="AM129" s="71"/>
      <c r="AN129" s="68"/>
      <c r="AO129" s="68"/>
      <c r="AP129" s="70"/>
      <c r="AQ129" s="71"/>
      <c r="AR129" s="77"/>
      <c r="AS129" s="70"/>
      <c r="AT129" s="68"/>
      <c r="AU129" s="70"/>
      <c r="AV129" s="70"/>
      <c r="AW129" s="71"/>
      <c r="AX129" s="71"/>
      <c r="AY129" s="70"/>
      <c r="AZ129" s="76"/>
      <c r="BA129" s="76"/>
      <c r="BB129" s="76"/>
      <c r="BC129" s="78"/>
    </row>
    <row r="130" spans="1:55" x14ac:dyDescent="0.25">
      <c r="A130" s="68"/>
      <c r="B130" s="68"/>
      <c r="C130" s="68"/>
      <c r="D130" s="70"/>
      <c r="E130" s="70"/>
      <c r="F130" s="70"/>
      <c r="G130" s="72"/>
      <c r="H130" s="74"/>
      <c r="I130" s="74"/>
      <c r="J130" s="75"/>
      <c r="K130" s="81"/>
      <c r="L130" s="76"/>
      <c r="M130" s="76"/>
      <c r="N130" s="76"/>
      <c r="O130" s="71"/>
      <c r="P130" s="70"/>
      <c r="Q130" s="71"/>
      <c r="R130" s="71"/>
      <c r="S130" s="70"/>
      <c r="T130" s="71"/>
      <c r="U130" s="71"/>
      <c r="V130" s="75"/>
      <c r="W130" s="69"/>
      <c r="X130" s="69"/>
      <c r="Y130" s="69"/>
      <c r="Z130" s="69"/>
      <c r="AA130" s="69"/>
      <c r="AB130" s="69"/>
      <c r="AC130" s="69"/>
      <c r="AD130" s="69"/>
      <c r="AE130" s="76"/>
      <c r="AF130" s="71"/>
      <c r="AG130" s="71"/>
      <c r="AH130" s="71"/>
      <c r="AI130" s="71"/>
      <c r="AJ130" s="71"/>
      <c r="AK130" s="71"/>
      <c r="AL130" s="71"/>
      <c r="AM130" s="71"/>
      <c r="AN130" s="68"/>
      <c r="AO130" s="68"/>
      <c r="AP130" s="70"/>
      <c r="AQ130" s="71"/>
      <c r="AR130" s="77"/>
      <c r="AS130" s="70"/>
      <c r="AT130" s="68"/>
      <c r="AU130" s="70"/>
      <c r="AV130" s="70"/>
      <c r="AW130" s="71"/>
      <c r="AX130" s="71"/>
      <c r="AY130" s="70"/>
      <c r="AZ130" s="76"/>
      <c r="BA130" s="76"/>
      <c r="BB130" s="76"/>
      <c r="BC130" s="78"/>
    </row>
    <row r="131" spans="1:55" x14ac:dyDescent="0.25">
      <c r="A131" s="68"/>
      <c r="B131" s="68"/>
      <c r="C131" s="68"/>
      <c r="D131" s="70"/>
      <c r="E131" s="70"/>
      <c r="F131" s="70"/>
      <c r="G131" s="72"/>
      <c r="H131" s="74"/>
      <c r="I131" s="74"/>
      <c r="J131" s="75"/>
      <c r="K131" s="81"/>
      <c r="L131" s="76"/>
      <c r="M131" s="76"/>
      <c r="N131" s="76"/>
      <c r="O131" s="71"/>
      <c r="P131" s="70"/>
      <c r="Q131" s="71"/>
      <c r="R131" s="71"/>
      <c r="S131" s="70"/>
      <c r="T131" s="71"/>
      <c r="U131" s="71"/>
      <c r="V131" s="75"/>
      <c r="W131" s="69"/>
      <c r="X131" s="69"/>
      <c r="Y131" s="69"/>
      <c r="Z131" s="69"/>
      <c r="AA131" s="69"/>
      <c r="AB131" s="69"/>
      <c r="AC131" s="69"/>
      <c r="AD131" s="69"/>
      <c r="AE131" s="76"/>
      <c r="AF131" s="71"/>
      <c r="AG131" s="71"/>
      <c r="AH131" s="71"/>
      <c r="AI131" s="71"/>
      <c r="AJ131" s="71"/>
      <c r="AK131" s="71"/>
      <c r="AL131" s="71"/>
      <c r="AM131" s="71"/>
      <c r="AN131" s="68"/>
      <c r="AO131" s="68"/>
      <c r="AP131" s="70"/>
      <c r="AQ131" s="71"/>
      <c r="AR131" s="77"/>
      <c r="AS131" s="70"/>
      <c r="AT131" s="68"/>
      <c r="AU131" s="70"/>
      <c r="AV131" s="70"/>
      <c r="AW131" s="71"/>
      <c r="AX131" s="71"/>
      <c r="AY131" s="70"/>
      <c r="AZ131" s="76"/>
      <c r="BA131" s="76"/>
      <c r="BB131" s="76"/>
      <c r="BC131" s="78"/>
    </row>
    <row r="132" spans="1:55" x14ac:dyDescent="0.25">
      <c r="A132" s="68"/>
      <c r="B132" s="68"/>
      <c r="C132" s="68"/>
      <c r="D132" s="70"/>
      <c r="E132" s="70"/>
      <c r="F132" s="70"/>
      <c r="G132" s="72"/>
      <c r="H132" s="74"/>
      <c r="I132" s="74"/>
      <c r="J132" s="75"/>
      <c r="K132" s="81"/>
      <c r="L132" s="76"/>
      <c r="M132" s="76"/>
      <c r="N132" s="76"/>
      <c r="O132" s="71"/>
      <c r="P132" s="70"/>
      <c r="Q132" s="71"/>
      <c r="R132" s="71"/>
      <c r="S132" s="70"/>
      <c r="T132" s="71"/>
      <c r="U132" s="71"/>
      <c r="V132" s="75"/>
      <c r="W132" s="69"/>
      <c r="X132" s="69"/>
      <c r="Y132" s="69"/>
      <c r="Z132" s="69"/>
      <c r="AA132" s="69"/>
      <c r="AB132" s="69"/>
      <c r="AC132" s="69"/>
      <c r="AD132" s="69"/>
      <c r="AE132" s="76"/>
      <c r="AF132" s="71"/>
      <c r="AG132" s="71"/>
      <c r="AH132" s="71"/>
      <c r="AI132" s="71"/>
      <c r="AJ132" s="71"/>
      <c r="AK132" s="71"/>
      <c r="AL132" s="71"/>
      <c r="AM132" s="71"/>
      <c r="AN132" s="68"/>
      <c r="AO132" s="68"/>
      <c r="AP132" s="70"/>
      <c r="AQ132" s="71"/>
      <c r="AR132" s="77"/>
      <c r="AS132" s="70"/>
      <c r="AT132" s="68"/>
      <c r="AU132" s="70"/>
      <c r="AV132" s="70"/>
      <c r="AW132" s="71"/>
      <c r="AX132" s="71"/>
      <c r="AY132" s="70"/>
      <c r="AZ132" s="76"/>
      <c r="BA132" s="76"/>
      <c r="BB132" s="76"/>
      <c r="BC132" s="78"/>
    </row>
    <row r="133" spans="1:55" x14ac:dyDescent="0.25">
      <c r="A133" s="68"/>
      <c r="B133" s="68"/>
      <c r="C133" s="68"/>
      <c r="D133" s="70"/>
      <c r="E133" s="70"/>
      <c r="F133" s="70"/>
      <c r="G133" s="72"/>
      <c r="H133" s="74"/>
      <c r="I133" s="74"/>
      <c r="J133" s="75"/>
      <c r="K133" s="81"/>
      <c r="L133" s="76"/>
      <c r="M133" s="76"/>
      <c r="N133" s="76"/>
      <c r="O133" s="71"/>
      <c r="P133" s="70"/>
      <c r="Q133" s="71"/>
      <c r="R133" s="71"/>
      <c r="S133" s="70"/>
      <c r="T133" s="71"/>
      <c r="U133" s="71"/>
      <c r="V133" s="75"/>
      <c r="W133" s="69"/>
      <c r="X133" s="69"/>
      <c r="Y133" s="69"/>
      <c r="Z133" s="69"/>
      <c r="AA133" s="69"/>
      <c r="AB133" s="69"/>
      <c r="AC133" s="69"/>
      <c r="AD133" s="69"/>
      <c r="AE133" s="76"/>
      <c r="AF133" s="71"/>
      <c r="AG133" s="71"/>
      <c r="AH133" s="71"/>
      <c r="AI133" s="71"/>
      <c r="AJ133" s="71"/>
      <c r="AK133" s="71"/>
      <c r="AL133" s="71"/>
      <c r="AM133" s="71"/>
      <c r="AN133" s="68"/>
      <c r="AO133" s="68"/>
      <c r="AP133" s="70"/>
      <c r="AQ133" s="71"/>
      <c r="AR133" s="77"/>
      <c r="AS133" s="70"/>
      <c r="AT133" s="68"/>
      <c r="AU133" s="70"/>
      <c r="AV133" s="70"/>
      <c r="AW133" s="71"/>
      <c r="AX133" s="71"/>
      <c r="AY133" s="70"/>
      <c r="AZ133" s="76"/>
      <c r="BA133" s="76"/>
      <c r="BB133" s="76"/>
      <c r="BC133" s="78"/>
    </row>
    <row r="134" spans="1:55" x14ac:dyDescent="0.25">
      <c r="A134" s="68"/>
      <c r="B134" s="68"/>
      <c r="C134" s="68"/>
      <c r="D134" s="70"/>
      <c r="E134" s="70"/>
      <c r="F134" s="70"/>
      <c r="G134" s="72"/>
      <c r="H134" s="74"/>
      <c r="I134" s="74"/>
      <c r="J134" s="75"/>
      <c r="K134" s="81"/>
      <c r="L134" s="76"/>
      <c r="M134" s="76"/>
      <c r="N134" s="76"/>
      <c r="O134" s="71"/>
      <c r="P134" s="70"/>
      <c r="Q134" s="71"/>
      <c r="R134" s="71"/>
      <c r="S134" s="70"/>
      <c r="T134" s="71"/>
      <c r="U134" s="71"/>
      <c r="V134" s="75"/>
      <c r="W134" s="69"/>
      <c r="X134" s="69"/>
      <c r="Y134" s="69"/>
      <c r="Z134" s="69"/>
      <c r="AA134" s="69"/>
      <c r="AB134" s="69"/>
      <c r="AC134" s="69"/>
      <c r="AD134" s="69"/>
      <c r="AE134" s="76"/>
      <c r="AF134" s="71"/>
      <c r="AG134" s="71"/>
      <c r="AH134" s="71"/>
      <c r="AI134" s="71"/>
      <c r="AJ134" s="71"/>
      <c r="AK134" s="71"/>
      <c r="AL134" s="71"/>
      <c r="AM134" s="71"/>
      <c r="AN134" s="68"/>
      <c r="AO134" s="68"/>
      <c r="AP134" s="70"/>
      <c r="AQ134" s="71"/>
      <c r="AR134" s="77"/>
      <c r="AS134" s="70"/>
      <c r="AT134" s="68"/>
      <c r="AU134" s="70"/>
      <c r="AV134" s="70"/>
      <c r="AW134" s="71"/>
      <c r="AX134" s="71"/>
      <c r="AY134" s="70"/>
      <c r="AZ134" s="76"/>
      <c r="BA134" s="76"/>
      <c r="BB134" s="76"/>
      <c r="BC134" s="78"/>
    </row>
    <row r="135" spans="1:55" x14ac:dyDescent="0.25">
      <c r="A135" s="68"/>
      <c r="B135" s="68"/>
      <c r="C135" s="68"/>
      <c r="D135" s="70"/>
      <c r="E135" s="70"/>
      <c r="F135" s="70"/>
      <c r="G135" s="72"/>
      <c r="H135" s="74"/>
      <c r="I135" s="74"/>
      <c r="J135" s="75"/>
      <c r="K135" s="81"/>
      <c r="L135" s="76"/>
      <c r="M135" s="76"/>
      <c r="N135" s="76"/>
      <c r="O135" s="71"/>
      <c r="P135" s="70"/>
      <c r="Q135" s="71"/>
      <c r="R135" s="71"/>
      <c r="S135" s="70"/>
      <c r="T135" s="71"/>
      <c r="U135" s="71"/>
      <c r="V135" s="75"/>
      <c r="W135" s="69"/>
      <c r="X135" s="69"/>
      <c r="Y135" s="69"/>
      <c r="Z135" s="69"/>
      <c r="AA135" s="69"/>
      <c r="AB135" s="69"/>
      <c r="AC135" s="69"/>
      <c r="AD135" s="69"/>
      <c r="AE135" s="76"/>
      <c r="AF135" s="71"/>
      <c r="AG135" s="71"/>
      <c r="AH135" s="71"/>
      <c r="AI135" s="71"/>
      <c r="AJ135" s="71"/>
      <c r="AK135" s="71"/>
      <c r="AL135" s="71"/>
      <c r="AM135" s="71"/>
      <c r="AN135" s="68"/>
      <c r="AO135" s="68"/>
      <c r="AP135" s="70"/>
      <c r="AQ135" s="71"/>
      <c r="AR135" s="77"/>
      <c r="AS135" s="70"/>
      <c r="AT135" s="68"/>
      <c r="AU135" s="70"/>
      <c r="AV135" s="70"/>
      <c r="AW135" s="71"/>
      <c r="AX135" s="71"/>
      <c r="AY135" s="70"/>
      <c r="AZ135" s="76"/>
      <c r="BA135" s="76"/>
      <c r="BB135" s="76"/>
      <c r="BC135" s="78"/>
    </row>
    <row r="136" spans="1:55" x14ac:dyDescent="0.25">
      <c r="A136" s="68"/>
      <c r="B136" s="68"/>
      <c r="C136" s="68"/>
      <c r="D136" s="70"/>
      <c r="E136" s="70"/>
      <c r="F136" s="70"/>
      <c r="G136" s="72"/>
      <c r="H136" s="74"/>
      <c r="I136" s="74"/>
      <c r="J136" s="75"/>
      <c r="K136" s="81"/>
      <c r="L136" s="76"/>
      <c r="M136" s="76"/>
      <c r="N136" s="76"/>
      <c r="O136" s="71"/>
      <c r="P136" s="70"/>
      <c r="Q136" s="71"/>
      <c r="R136" s="71"/>
      <c r="S136" s="70"/>
      <c r="T136" s="71"/>
      <c r="U136" s="71"/>
      <c r="V136" s="75"/>
      <c r="W136" s="69"/>
      <c r="X136" s="69"/>
      <c r="Y136" s="69"/>
      <c r="Z136" s="69"/>
      <c r="AA136" s="69"/>
      <c r="AB136" s="69"/>
      <c r="AC136" s="69"/>
      <c r="AD136" s="69"/>
      <c r="AE136" s="76"/>
      <c r="AF136" s="71"/>
      <c r="AG136" s="71"/>
      <c r="AH136" s="71"/>
      <c r="AI136" s="71"/>
      <c r="AJ136" s="71"/>
      <c r="AK136" s="71"/>
      <c r="AL136" s="71"/>
      <c r="AM136" s="71"/>
      <c r="AN136" s="68"/>
      <c r="AO136" s="68"/>
      <c r="AP136" s="70"/>
      <c r="AQ136" s="71"/>
      <c r="AR136" s="77"/>
      <c r="AS136" s="70"/>
      <c r="AT136" s="68"/>
      <c r="AU136" s="70"/>
      <c r="AV136" s="70"/>
      <c r="AW136" s="71"/>
      <c r="AX136" s="71"/>
      <c r="AY136" s="70"/>
      <c r="AZ136" s="76"/>
      <c r="BA136" s="76"/>
      <c r="BB136" s="76"/>
      <c r="BC136" s="78"/>
    </row>
    <row r="137" spans="1:55" x14ac:dyDescent="0.25">
      <c r="A137" s="68"/>
      <c r="B137" s="68"/>
      <c r="C137" s="68"/>
      <c r="D137" s="70"/>
      <c r="E137" s="70"/>
      <c r="F137" s="70"/>
      <c r="G137" s="72"/>
      <c r="H137" s="74"/>
      <c r="I137" s="74"/>
      <c r="J137" s="75"/>
      <c r="K137" s="81"/>
      <c r="L137" s="76"/>
      <c r="M137" s="76"/>
      <c r="N137" s="76"/>
      <c r="O137" s="71"/>
      <c r="P137" s="70"/>
      <c r="Q137" s="71"/>
      <c r="R137" s="71"/>
      <c r="S137" s="70"/>
      <c r="T137" s="71"/>
      <c r="U137" s="71"/>
      <c r="V137" s="75"/>
      <c r="W137" s="69"/>
      <c r="X137" s="69"/>
      <c r="Y137" s="69"/>
      <c r="Z137" s="69"/>
      <c r="AA137" s="69"/>
      <c r="AB137" s="69"/>
      <c r="AC137" s="69"/>
      <c r="AD137" s="69"/>
      <c r="AE137" s="76"/>
      <c r="AF137" s="71"/>
      <c r="AG137" s="71"/>
      <c r="AH137" s="71"/>
      <c r="AI137" s="71"/>
      <c r="AJ137" s="71"/>
      <c r="AK137" s="71"/>
      <c r="AL137" s="71"/>
      <c r="AM137" s="71"/>
      <c r="AN137" s="68"/>
      <c r="AO137" s="68"/>
      <c r="AP137" s="70"/>
      <c r="AQ137" s="71"/>
      <c r="AR137" s="77"/>
      <c r="AS137" s="70"/>
      <c r="AT137" s="68"/>
      <c r="AU137" s="70"/>
      <c r="AV137" s="70"/>
      <c r="AW137" s="71"/>
      <c r="AX137" s="71"/>
      <c r="AY137" s="70"/>
      <c r="AZ137" s="76"/>
      <c r="BA137" s="76"/>
      <c r="BB137" s="76"/>
      <c r="BC137" s="78"/>
    </row>
    <row r="138" spans="1:55" x14ac:dyDescent="0.25">
      <c r="A138" s="68"/>
      <c r="B138" s="68"/>
      <c r="C138" s="68"/>
      <c r="D138" s="70"/>
      <c r="E138" s="70"/>
      <c r="F138" s="70"/>
      <c r="G138" s="72"/>
      <c r="H138" s="74"/>
      <c r="I138" s="74"/>
      <c r="J138" s="75"/>
      <c r="K138" s="81"/>
      <c r="L138" s="76"/>
      <c r="M138" s="76"/>
      <c r="N138" s="76"/>
      <c r="O138" s="71"/>
      <c r="P138" s="70"/>
      <c r="Q138" s="71"/>
      <c r="R138" s="71"/>
      <c r="S138" s="70"/>
      <c r="T138" s="71"/>
      <c r="U138" s="71"/>
      <c r="V138" s="75"/>
      <c r="W138" s="69"/>
      <c r="X138" s="69"/>
      <c r="Y138" s="69"/>
      <c r="Z138" s="69"/>
      <c r="AA138" s="69"/>
      <c r="AB138" s="69"/>
      <c r="AC138" s="69"/>
      <c r="AD138" s="69"/>
      <c r="AE138" s="76"/>
      <c r="AF138" s="71"/>
      <c r="AG138" s="71"/>
      <c r="AH138" s="71"/>
      <c r="AI138" s="71"/>
      <c r="AJ138" s="71"/>
      <c r="AK138" s="71"/>
      <c r="AL138" s="71"/>
      <c r="AM138" s="71"/>
      <c r="AN138" s="68"/>
      <c r="AO138" s="68"/>
      <c r="AP138" s="70"/>
      <c r="AQ138" s="71"/>
      <c r="AR138" s="77"/>
      <c r="AS138" s="70"/>
      <c r="AT138" s="68"/>
      <c r="AU138" s="70"/>
      <c r="AV138" s="70"/>
      <c r="AW138" s="71"/>
      <c r="AX138" s="71"/>
      <c r="AY138" s="70"/>
      <c r="AZ138" s="76"/>
      <c r="BA138" s="76"/>
      <c r="BB138" s="76"/>
      <c r="BC138" s="78"/>
    </row>
    <row r="139" spans="1:55" x14ac:dyDescent="0.25">
      <c r="A139" s="68"/>
      <c r="B139" s="68"/>
      <c r="C139" s="68"/>
      <c r="D139" s="70"/>
      <c r="E139" s="70"/>
      <c r="F139" s="70"/>
      <c r="G139" s="72"/>
      <c r="H139" s="74"/>
      <c r="I139" s="74"/>
      <c r="J139" s="75"/>
      <c r="K139" s="81"/>
      <c r="L139" s="76"/>
      <c r="M139" s="76"/>
      <c r="N139" s="76"/>
      <c r="O139" s="71"/>
      <c r="P139" s="70"/>
      <c r="Q139" s="71"/>
      <c r="R139" s="71"/>
      <c r="S139" s="70"/>
      <c r="T139" s="71"/>
      <c r="U139" s="71"/>
      <c r="V139" s="75"/>
      <c r="W139" s="69"/>
      <c r="X139" s="69"/>
      <c r="Y139" s="69"/>
      <c r="Z139" s="69"/>
      <c r="AA139" s="69"/>
      <c r="AB139" s="69"/>
      <c r="AC139" s="69"/>
      <c r="AD139" s="69"/>
      <c r="AE139" s="76"/>
      <c r="AF139" s="71"/>
      <c r="AG139" s="71"/>
      <c r="AH139" s="71"/>
      <c r="AI139" s="71"/>
      <c r="AJ139" s="71"/>
      <c r="AK139" s="71"/>
      <c r="AL139" s="71"/>
      <c r="AM139" s="71"/>
      <c r="AN139" s="68"/>
      <c r="AO139" s="68"/>
      <c r="AP139" s="70"/>
      <c r="AQ139" s="71"/>
      <c r="AR139" s="77"/>
      <c r="AS139" s="70"/>
      <c r="AT139" s="68"/>
      <c r="AU139" s="70"/>
      <c r="AV139" s="70"/>
      <c r="AW139" s="71"/>
      <c r="AX139" s="71"/>
      <c r="AY139" s="70"/>
      <c r="AZ139" s="76"/>
      <c r="BA139" s="76"/>
      <c r="BB139" s="76"/>
      <c r="BC139" s="78"/>
    </row>
    <row r="140" spans="1:55" x14ac:dyDescent="0.25">
      <c r="A140" s="68"/>
      <c r="B140" s="68"/>
      <c r="C140" s="68"/>
      <c r="D140" s="70"/>
      <c r="E140" s="70"/>
      <c r="F140" s="70"/>
      <c r="G140" s="72"/>
      <c r="H140" s="74"/>
      <c r="I140" s="74"/>
      <c r="J140" s="75"/>
      <c r="K140" s="81"/>
      <c r="L140" s="76"/>
      <c r="M140" s="76"/>
      <c r="N140" s="76"/>
      <c r="O140" s="71"/>
      <c r="P140" s="70"/>
      <c r="Q140" s="71"/>
      <c r="R140" s="71"/>
      <c r="S140" s="70"/>
      <c r="T140" s="71"/>
      <c r="U140" s="71"/>
      <c r="V140" s="75"/>
      <c r="W140" s="69"/>
      <c r="X140" s="69"/>
      <c r="Y140" s="69"/>
      <c r="Z140" s="69"/>
      <c r="AA140" s="69"/>
      <c r="AB140" s="69"/>
      <c r="AC140" s="69"/>
      <c r="AD140" s="69"/>
      <c r="AE140" s="76"/>
      <c r="AF140" s="71"/>
      <c r="AG140" s="71"/>
      <c r="AH140" s="71"/>
      <c r="AI140" s="71"/>
      <c r="AJ140" s="71"/>
      <c r="AK140" s="71"/>
      <c r="AL140" s="71"/>
      <c r="AM140" s="71"/>
      <c r="AN140" s="68"/>
      <c r="AO140" s="68"/>
      <c r="AP140" s="70"/>
      <c r="AQ140" s="71"/>
      <c r="AR140" s="77"/>
      <c r="AS140" s="70"/>
      <c r="AT140" s="68"/>
      <c r="AU140" s="70"/>
      <c r="AV140" s="70"/>
      <c r="AW140" s="71"/>
      <c r="AX140" s="71"/>
      <c r="AY140" s="70"/>
      <c r="AZ140" s="76"/>
      <c r="BA140" s="76"/>
      <c r="BB140" s="76"/>
      <c r="BC140" s="78"/>
    </row>
    <row r="141" spans="1:55" x14ac:dyDescent="0.25">
      <c r="A141" s="68"/>
      <c r="B141" s="68"/>
      <c r="C141" s="68"/>
      <c r="D141" s="70"/>
      <c r="E141" s="70"/>
      <c r="F141" s="70"/>
      <c r="G141" s="72"/>
      <c r="H141" s="74"/>
      <c r="I141" s="74"/>
      <c r="J141" s="75"/>
      <c r="K141" s="81"/>
      <c r="L141" s="76"/>
      <c r="M141" s="76"/>
      <c r="N141" s="76"/>
      <c r="O141" s="71"/>
      <c r="P141" s="70"/>
      <c r="Q141" s="71"/>
      <c r="R141" s="71"/>
      <c r="S141" s="70"/>
      <c r="T141" s="71"/>
      <c r="U141" s="71"/>
      <c r="V141" s="75"/>
      <c r="W141" s="69"/>
      <c r="X141" s="69"/>
      <c r="Y141" s="69"/>
      <c r="Z141" s="69"/>
      <c r="AA141" s="69"/>
      <c r="AB141" s="69"/>
      <c r="AC141" s="69"/>
      <c r="AD141" s="69"/>
      <c r="AE141" s="76"/>
      <c r="AF141" s="71"/>
      <c r="AG141" s="71"/>
      <c r="AH141" s="71"/>
      <c r="AI141" s="71"/>
      <c r="AJ141" s="71"/>
      <c r="AK141" s="71"/>
      <c r="AL141" s="71"/>
      <c r="AM141" s="71"/>
      <c r="AN141" s="68"/>
      <c r="AO141" s="68"/>
      <c r="AP141" s="70"/>
      <c r="AQ141" s="71"/>
      <c r="AR141" s="77"/>
      <c r="AS141" s="70"/>
      <c r="AT141" s="68"/>
      <c r="AU141" s="70"/>
      <c r="AV141" s="70"/>
      <c r="AW141" s="71"/>
      <c r="AX141" s="71"/>
      <c r="AY141" s="70"/>
      <c r="AZ141" s="76"/>
      <c r="BA141" s="76"/>
      <c r="BB141" s="76"/>
      <c r="BC141" s="78"/>
    </row>
    <row r="142" spans="1:55" x14ac:dyDescent="0.25">
      <c r="A142" s="68"/>
      <c r="B142" s="68"/>
      <c r="C142" s="68"/>
      <c r="D142" s="70"/>
      <c r="E142" s="70"/>
      <c r="F142" s="70"/>
      <c r="G142" s="72"/>
      <c r="H142" s="74"/>
      <c r="I142" s="74"/>
      <c r="J142" s="75"/>
      <c r="K142" s="81"/>
      <c r="L142" s="76"/>
      <c r="M142" s="76"/>
      <c r="N142" s="76"/>
      <c r="O142" s="71"/>
      <c r="P142" s="70"/>
      <c r="Q142" s="71"/>
      <c r="R142" s="71"/>
      <c r="S142" s="70"/>
      <c r="T142" s="71"/>
      <c r="U142" s="71"/>
      <c r="V142" s="75"/>
      <c r="W142" s="69"/>
      <c r="X142" s="69"/>
      <c r="Y142" s="69"/>
      <c r="Z142" s="69"/>
      <c r="AA142" s="69"/>
      <c r="AB142" s="69"/>
      <c r="AC142" s="69"/>
      <c r="AD142" s="69"/>
      <c r="AE142" s="76"/>
      <c r="AF142" s="71"/>
      <c r="AG142" s="71"/>
      <c r="AH142" s="71"/>
      <c r="AI142" s="71"/>
      <c r="AJ142" s="71"/>
      <c r="AK142" s="71"/>
      <c r="AL142" s="71"/>
      <c r="AM142" s="71"/>
      <c r="AN142" s="68"/>
      <c r="AO142" s="68"/>
      <c r="AP142" s="70"/>
      <c r="AQ142" s="71"/>
      <c r="AR142" s="77"/>
      <c r="AS142" s="70"/>
      <c r="AT142" s="68"/>
      <c r="AU142" s="70"/>
      <c r="AV142" s="70"/>
      <c r="AW142" s="71"/>
      <c r="AX142" s="71"/>
      <c r="AY142" s="70"/>
      <c r="AZ142" s="76"/>
      <c r="BA142" s="76"/>
      <c r="BB142" s="76"/>
      <c r="BC142" s="78"/>
    </row>
    <row r="143" spans="1:55" x14ac:dyDescent="0.25">
      <c r="A143" s="68"/>
      <c r="B143" s="68"/>
      <c r="C143" s="68"/>
      <c r="D143" s="70"/>
      <c r="E143" s="70"/>
      <c r="F143" s="70"/>
      <c r="G143" s="72"/>
      <c r="H143" s="74"/>
      <c r="I143" s="74"/>
      <c r="J143" s="75"/>
      <c r="K143" s="81"/>
      <c r="L143" s="76"/>
      <c r="M143" s="76"/>
      <c r="N143" s="76"/>
      <c r="O143" s="71"/>
      <c r="P143" s="70"/>
      <c r="Q143" s="71"/>
      <c r="R143" s="71"/>
      <c r="S143" s="70"/>
      <c r="T143" s="71"/>
      <c r="U143" s="71"/>
      <c r="V143" s="75"/>
      <c r="W143" s="69"/>
      <c r="X143" s="69"/>
      <c r="Y143" s="69"/>
      <c r="Z143" s="69"/>
      <c r="AA143" s="69"/>
      <c r="AB143" s="69"/>
      <c r="AC143" s="69"/>
      <c r="AD143" s="69"/>
      <c r="AE143" s="76"/>
      <c r="AF143" s="71"/>
      <c r="AG143" s="71"/>
      <c r="AH143" s="71"/>
      <c r="AI143" s="71"/>
      <c r="AJ143" s="71"/>
      <c r="AK143" s="71"/>
      <c r="AL143" s="71"/>
      <c r="AM143" s="71"/>
      <c r="AN143" s="68"/>
      <c r="AO143" s="68"/>
      <c r="AP143" s="70"/>
      <c r="AQ143" s="71"/>
      <c r="AR143" s="77"/>
      <c r="AS143" s="70"/>
      <c r="AT143" s="68"/>
      <c r="AU143" s="70"/>
      <c r="AV143" s="70"/>
      <c r="AW143" s="71"/>
      <c r="AX143" s="71"/>
      <c r="AY143" s="70"/>
      <c r="AZ143" s="76"/>
      <c r="BA143" s="76"/>
      <c r="BB143" s="76"/>
      <c r="BC143" s="78"/>
    </row>
    <row r="144" spans="1:55" x14ac:dyDescent="0.25">
      <c r="A144" s="68"/>
      <c r="B144" s="68"/>
      <c r="C144" s="68"/>
      <c r="D144" s="70"/>
      <c r="E144" s="70"/>
      <c r="F144" s="70"/>
      <c r="G144" s="72"/>
      <c r="H144" s="74"/>
      <c r="I144" s="74"/>
      <c r="J144" s="75"/>
      <c r="K144" s="81"/>
      <c r="L144" s="76"/>
      <c r="M144" s="76"/>
      <c r="N144" s="76"/>
      <c r="O144" s="71"/>
      <c r="P144" s="70"/>
      <c r="Q144" s="71"/>
      <c r="R144" s="71"/>
      <c r="S144" s="70"/>
      <c r="T144" s="71"/>
      <c r="U144" s="71"/>
      <c r="V144" s="75"/>
      <c r="W144" s="69"/>
      <c r="X144" s="69"/>
      <c r="Y144" s="69"/>
      <c r="Z144" s="69"/>
      <c r="AA144" s="69"/>
      <c r="AB144" s="69"/>
      <c r="AC144" s="69"/>
      <c r="AD144" s="69"/>
      <c r="AE144" s="76"/>
      <c r="AF144" s="71"/>
      <c r="AG144" s="71"/>
      <c r="AH144" s="71"/>
      <c r="AI144" s="71"/>
      <c r="AJ144" s="71"/>
      <c r="AK144" s="71"/>
      <c r="AL144" s="71"/>
      <c r="AM144" s="71"/>
      <c r="AN144" s="68"/>
      <c r="AO144" s="68"/>
      <c r="AP144" s="70"/>
      <c r="AQ144" s="71"/>
      <c r="AR144" s="77"/>
      <c r="AS144" s="70"/>
      <c r="AT144" s="68"/>
      <c r="AU144" s="70"/>
      <c r="AV144" s="70"/>
      <c r="AW144" s="71"/>
      <c r="AX144" s="71"/>
      <c r="AY144" s="70"/>
      <c r="AZ144" s="76"/>
      <c r="BA144" s="76"/>
      <c r="BB144" s="76"/>
      <c r="BC144" s="78"/>
    </row>
    <row r="145" spans="1:55" x14ac:dyDescent="0.25">
      <c r="A145" s="68"/>
      <c r="B145" s="68"/>
      <c r="C145" s="68"/>
      <c r="D145" s="70"/>
      <c r="E145" s="70"/>
      <c r="F145" s="70"/>
      <c r="G145" s="72"/>
      <c r="H145" s="74"/>
      <c r="I145" s="74"/>
      <c r="J145" s="75"/>
      <c r="K145" s="81"/>
      <c r="L145" s="76"/>
      <c r="M145" s="76"/>
      <c r="N145" s="76"/>
      <c r="O145" s="71"/>
      <c r="P145" s="70"/>
      <c r="Q145" s="71"/>
      <c r="R145" s="71"/>
      <c r="S145" s="70"/>
      <c r="T145" s="71"/>
      <c r="U145" s="71"/>
      <c r="V145" s="75"/>
      <c r="W145" s="69"/>
      <c r="X145" s="69"/>
      <c r="Y145" s="69"/>
      <c r="Z145" s="69"/>
      <c r="AA145" s="69"/>
      <c r="AB145" s="69"/>
      <c r="AC145" s="69"/>
      <c r="AD145" s="69"/>
      <c r="AE145" s="76"/>
      <c r="AF145" s="71"/>
      <c r="AG145" s="71"/>
      <c r="AH145" s="71"/>
      <c r="AI145" s="71"/>
      <c r="AJ145" s="71"/>
      <c r="AK145" s="71"/>
      <c r="AL145" s="71"/>
      <c r="AM145" s="71"/>
      <c r="AN145" s="68"/>
      <c r="AO145" s="68"/>
      <c r="AP145" s="70"/>
      <c r="AQ145" s="71"/>
      <c r="AR145" s="77"/>
      <c r="AS145" s="70"/>
      <c r="AT145" s="68"/>
      <c r="AU145" s="70"/>
      <c r="AV145" s="70"/>
      <c r="AW145" s="71"/>
      <c r="AX145" s="71"/>
      <c r="AY145" s="70"/>
      <c r="AZ145" s="76"/>
      <c r="BA145" s="76"/>
      <c r="BB145" s="76"/>
      <c r="BC145" s="78"/>
    </row>
    <row r="146" spans="1:55" x14ac:dyDescent="0.25">
      <c r="A146" s="68"/>
      <c r="B146" s="68"/>
      <c r="C146" s="68"/>
      <c r="D146" s="70"/>
      <c r="E146" s="70"/>
      <c r="F146" s="70"/>
      <c r="G146" s="72"/>
      <c r="H146" s="74"/>
      <c r="I146" s="74"/>
      <c r="J146" s="75"/>
      <c r="K146" s="81"/>
      <c r="L146" s="76"/>
      <c r="M146" s="76"/>
      <c r="N146" s="76"/>
      <c r="O146" s="71"/>
      <c r="P146" s="70"/>
      <c r="Q146" s="71"/>
      <c r="R146" s="71"/>
      <c r="S146" s="70"/>
      <c r="T146" s="71"/>
      <c r="U146" s="71"/>
      <c r="V146" s="75"/>
      <c r="W146" s="69"/>
      <c r="X146" s="69"/>
      <c r="Y146" s="69"/>
      <c r="Z146" s="69"/>
      <c r="AA146" s="69"/>
      <c r="AB146" s="69"/>
      <c r="AC146" s="69"/>
      <c r="AD146" s="69"/>
      <c r="AE146" s="76"/>
      <c r="AF146" s="71"/>
      <c r="AG146" s="71"/>
      <c r="AH146" s="71"/>
      <c r="AI146" s="71"/>
      <c r="AJ146" s="71"/>
      <c r="AK146" s="71"/>
      <c r="AL146" s="71"/>
      <c r="AM146" s="71"/>
      <c r="AN146" s="68"/>
      <c r="AO146" s="68"/>
      <c r="AP146" s="70"/>
      <c r="AQ146" s="71"/>
      <c r="AR146" s="77"/>
      <c r="AS146" s="70"/>
      <c r="AT146" s="68"/>
      <c r="AU146" s="70"/>
      <c r="AV146" s="70"/>
      <c r="AW146" s="71"/>
      <c r="AX146" s="71"/>
      <c r="AY146" s="70"/>
      <c r="AZ146" s="76"/>
      <c r="BA146" s="76"/>
      <c r="BB146" s="76"/>
      <c r="BC146" s="78"/>
    </row>
    <row r="147" spans="1:55" x14ac:dyDescent="0.25">
      <c r="A147" s="68"/>
      <c r="B147" s="68"/>
      <c r="C147" s="68"/>
      <c r="D147" s="70"/>
      <c r="E147" s="70"/>
      <c r="F147" s="70"/>
      <c r="G147" s="72"/>
      <c r="H147" s="74"/>
      <c r="I147" s="74"/>
      <c r="J147" s="75"/>
      <c r="K147" s="81"/>
      <c r="L147" s="76"/>
      <c r="M147" s="76"/>
      <c r="N147" s="76"/>
      <c r="O147" s="71"/>
      <c r="P147" s="70"/>
      <c r="Q147" s="71"/>
      <c r="R147" s="71"/>
      <c r="S147" s="70"/>
      <c r="T147" s="71"/>
      <c r="U147" s="71"/>
      <c r="V147" s="75"/>
      <c r="W147" s="69"/>
      <c r="X147" s="69"/>
      <c r="Y147" s="69"/>
      <c r="Z147" s="69"/>
      <c r="AA147" s="69"/>
      <c r="AB147" s="69"/>
      <c r="AC147" s="69"/>
      <c r="AD147" s="69"/>
      <c r="AE147" s="76"/>
      <c r="AF147" s="71"/>
      <c r="AG147" s="71"/>
      <c r="AH147" s="71"/>
      <c r="AI147" s="71"/>
      <c r="AJ147" s="71"/>
      <c r="AK147" s="71"/>
      <c r="AL147" s="71"/>
      <c r="AM147" s="71"/>
      <c r="AN147" s="68"/>
      <c r="AO147" s="68"/>
      <c r="AP147" s="70"/>
      <c r="AQ147" s="71"/>
      <c r="AR147" s="77"/>
      <c r="AS147" s="70"/>
      <c r="AT147" s="68"/>
      <c r="AU147" s="70"/>
      <c r="AV147" s="70"/>
      <c r="AW147" s="71"/>
      <c r="AX147" s="71"/>
      <c r="AY147" s="70"/>
      <c r="AZ147" s="76"/>
      <c r="BA147" s="76"/>
      <c r="BB147" s="76"/>
      <c r="BC147" s="78"/>
    </row>
    <row r="148" spans="1:55" x14ac:dyDescent="0.25">
      <c r="A148" s="68"/>
      <c r="B148" s="68"/>
      <c r="C148" s="68"/>
      <c r="D148" s="70"/>
      <c r="E148" s="70"/>
      <c r="F148" s="70"/>
      <c r="G148" s="72"/>
      <c r="H148" s="74"/>
      <c r="I148" s="74"/>
      <c r="J148" s="75"/>
      <c r="K148" s="81"/>
      <c r="L148" s="76"/>
      <c r="M148" s="76"/>
      <c r="N148" s="76"/>
      <c r="O148" s="71"/>
      <c r="P148" s="70"/>
      <c r="Q148" s="71"/>
      <c r="R148" s="71"/>
      <c r="S148" s="70"/>
      <c r="T148" s="71"/>
      <c r="U148" s="71"/>
      <c r="V148" s="75"/>
      <c r="W148" s="69"/>
      <c r="X148" s="69"/>
      <c r="Y148" s="69"/>
      <c r="Z148" s="69"/>
      <c r="AA148" s="69"/>
      <c r="AB148" s="69"/>
      <c r="AC148" s="69"/>
      <c r="AD148" s="69"/>
      <c r="AE148" s="76"/>
      <c r="AF148" s="71"/>
      <c r="AG148" s="71"/>
      <c r="AH148" s="71"/>
      <c r="AI148" s="71"/>
      <c r="AJ148" s="71"/>
      <c r="AK148" s="71"/>
      <c r="AL148" s="71"/>
      <c r="AM148" s="71"/>
      <c r="AN148" s="68"/>
      <c r="AO148" s="68"/>
      <c r="AP148" s="70"/>
      <c r="AQ148" s="71"/>
      <c r="AR148" s="77"/>
      <c r="AS148" s="70"/>
      <c r="AT148" s="68"/>
      <c r="AU148" s="70"/>
      <c r="AV148" s="70"/>
      <c r="AW148" s="71"/>
      <c r="AX148" s="71"/>
      <c r="AY148" s="70"/>
      <c r="AZ148" s="76"/>
      <c r="BA148" s="76"/>
      <c r="BB148" s="76"/>
      <c r="BC148" s="78"/>
    </row>
    <row r="149" spans="1:55" x14ac:dyDescent="0.25">
      <c r="A149" s="68"/>
      <c r="B149" s="68"/>
      <c r="C149" s="68"/>
      <c r="D149" s="70"/>
      <c r="E149" s="70"/>
      <c r="F149" s="70"/>
      <c r="G149" s="72"/>
      <c r="H149" s="74"/>
      <c r="I149" s="74"/>
      <c r="J149" s="75"/>
      <c r="K149" s="81"/>
      <c r="L149" s="76"/>
      <c r="M149" s="76"/>
      <c r="N149" s="76"/>
      <c r="O149" s="71"/>
      <c r="P149" s="70"/>
      <c r="Q149" s="71"/>
      <c r="R149" s="71"/>
      <c r="S149" s="70"/>
      <c r="T149" s="71"/>
      <c r="U149" s="71"/>
      <c r="V149" s="75"/>
      <c r="W149" s="69"/>
      <c r="X149" s="69"/>
      <c r="Y149" s="69"/>
      <c r="Z149" s="69"/>
      <c r="AA149" s="69"/>
      <c r="AB149" s="69"/>
      <c r="AC149" s="69"/>
      <c r="AD149" s="69"/>
      <c r="AE149" s="76"/>
      <c r="AF149" s="71"/>
      <c r="AG149" s="71"/>
      <c r="AH149" s="71"/>
      <c r="AI149" s="71"/>
      <c r="AJ149" s="71"/>
      <c r="AK149" s="71"/>
      <c r="AL149" s="71"/>
      <c r="AM149" s="71"/>
      <c r="AN149" s="68"/>
      <c r="AO149" s="68"/>
      <c r="AP149" s="70"/>
      <c r="AQ149" s="71"/>
      <c r="AR149" s="77"/>
      <c r="AS149" s="70"/>
      <c r="AT149" s="68"/>
      <c r="AU149" s="70"/>
      <c r="AV149" s="70"/>
      <c r="AW149" s="71"/>
      <c r="AX149" s="71"/>
      <c r="AY149" s="70"/>
      <c r="AZ149" s="76"/>
      <c r="BA149" s="76"/>
      <c r="BB149" s="76"/>
      <c r="BC149" s="78"/>
    </row>
    <row r="150" spans="1:55" x14ac:dyDescent="0.25">
      <c r="A150" s="68"/>
      <c r="B150" s="68"/>
      <c r="C150" s="68"/>
      <c r="D150" s="70"/>
      <c r="E150" s="70"/>
      <c r="F150" s="70"/>
      <c r="G150" s="72"/>
      <c r="H150" s="74"/>
      <c r="I150" s="74"/>
      <c r="J150" s="75"/>
      <c r="K150" s="81"/>
      <c r="L150" s="76"/>
      <c r="M150" s="76"/>
      <c r="N150" s="76"/>
      <c r="O150" s="71"/>
      <c r="P150" s="70"/>
      <c r="Q150" s="71"/>
      <c r="R150" s="71"/>
      <c r="S150" s="70"/>
      <c r="T150" s="71"/>
      <c r="U150" s="71"/>
      <c r="V150" s="75"/>
      <c r="W150" s="69"/>
      <c r="X150" s="69"/>
      <c r="Y150" s="69"/>
      <c r="Z150" s="69"/>
      <c r="AA150" s="69"/>
      <c r="AB150" s="69"/>
      <c r="AC150" s="69"/>
      <c r="AD150" s="69"/>
      <c r="AE150" s="76"/>
      <c r="AF150" s="71"/>
      <c r="AG150" s="71"/>
      <c r="AH150" s="71"/>
      <c r="AI150" s="71"/>
      <c r="AJ150" s="71"/>
      <c r="AK150" s="71"/>
      <c r="AL150" s="71"/>
      <c r="AM150" s="71"/>
      <c r="AN150" s="68"/>
      <c r="AO150" s="68"/>
      <c r="AP150" s="70"/>
      <c r="AQ150" s="71"/>
      <c r="AR150" s="77"/>
      <c r="AS150" s="70"/>
      <c r="AT150" s="68"/>
      <c r="AU150" s="70"/>
      <c r="AV150" s="70"/>
      <c r="AW150" s="71"/>
      <c r="AX150" s="71"/>
      <c r="AY150" s="70"/>
      <c r="AZ150" s="76"/>
      <c r="BA150" s="76"/>
      <c r="BB150" s="76"/>
      <c r="BC150" s="78"/>
    </row>
    <row r="151" spans="1:55" x14ac:dyDescent="0.25">
      <c r="A151" s="68"/>
      <c r="B151" s="68"/>
      <c r="C151" s="68"/>
      <c r="D151" s="70"/>
      <c r="E151" s="70"/>
      <c r="F151" s="70"/>
      <c r="G151" s="72"/>
      <c r="H151" s="74"/>
      <c r="I151" s="74"/>
      <c r="J151" s="75"/>
      <c r="K151" s="81"/>
      <c r="L151" s="76"/>
      <c r="M151" s="76"/>
      <c r="N151" s="76"/>
      <c r="O151" s="71"/>
      <c r="P151" s="70"/>
      <c r="Q151" s="71"/>
      <c r="R151" s="71"/>
      <c r="S151" s="70"/>
      <c r="T151" s="71"/>
      <c r="U151" s="71"/>
      <c r="V151" s="75"/>
      <c r="W151" s="69"/>
      <c r="X151" s="69"/>
      <c r="Y151" s="69"/>
      <c r="Z151" s="69"/>
      <c r="AA151" s="69"/>
      <c r="AB151" s="69"/>
      <c r="AC151" s="69"/>
      <c r="AD151" s="69"/>
      <c r="AE151" s="76"/>
      <c r="AF151" s="71"/>
      <c r="AG151" s="71"/>
      <c r="AH151" s="71"/>
      <c r="AI151" s="71"/>
      <c r="AJ151" s="71"/>
      <c r="AK151" s="71"/>
      <c r="AL151" s="71"/>
      <c r="AM151" s="71"/>
      <c r="AN151" s="68"/>
      <c r="AO151" s="68"/>
      <c r="AP151" s="70"/>
      <c r="AQ151" s="71"/>
      <c r="AR151" s="77"/>
      <c r="AS151" s="70"/>
      <c r="AT151" s="68"/>
      <c r="AU151" s="70"/>
      <c r="AV151" s="70"/>
      <c r="AW151" s="71"/>
      <c r="AX151" s="71"/>
      <c r="AY151" s="70"/>
      <c r="AZ151" s="76"/>
      <c r="BA151" s="76"/>
      <c r="BB151" s="76"/>
      <c r="BC151" s="78"/>
    </row>
    <row r="152" spans="1:55" x14ac:dyDescent="0.25">
      <c r="A152" s="68"/>
      <c r="B152" s="68"/>
      <c r="C152" s="68"/>
      <c r="D152" s="70"/>
      <c r="E152" s="70"/>
      <c r="F152" s="70"/>
      <c r="G152" s="72"/>
      <c r="H152" s="74"/>
      <c r="I152" s="74"/>
      <c r="J152" s="75"/>
      <c r="K152" s="81"/>
      <c r="L152" s="76"/>
      <c r="M152" s="76"/>
      <c r="N152" s="76"/>
      <c r="O152" s="71"/>
      <c r="P152" s="70"/>
      <c r="Q152" s="71"/>
      <c r="R152" s="71"/>
      <c r="S152" s="70"/>
      <c r="T152" s="71"/>
      <c r="U152" s="71"/>
      <c r="V152" s="75"/>
      <c r="W152" s="69"/>
      <c r="X152" s="69"/>
      <c r="Y152" s="69"/>
      <c r="Z152" s="69"/>
      <c r="AA152" s="69"/>
      <c r="AB152" s="69"/>
      <c r="AC152" s="69"/>
      <c r="AD152" s="69"/>
      <c r="AE152" s="76"/>
      <c r="AF152" s="71"/>
      <c r="AG152" s="71"/>
      <c r="AH152" s="71"/>
      <c r="AI152" s="71"/>
      <c r="AJ152" s="71"/>
      <c r="AK152" s="71"/>
      <c r="AL152" s="71"/>
      <c r="AM152" s="71"/>
      <c r="AN152" s="68"/>
      <c r="AO152" s="68"/>
      <c r="AP152" s="70"/>
      <c r="AQ152" s="71"/>
      <c r="AR152" s="77"/>
      <c r="AS152" s="70"/>
      <c r="AT152" s="68"/>
      <c r="AU152" s="70"/>
      <c r="AV152" s="70"/>
      <c r="AW152" s="71"/>
      <c r="AX152" s="71"/>
      <c r="AY152" s="70"/>
      <c r="AZ152" s="76"/>
      <c r="BA152" s="76"/>
      <c r="BB152" s="76"/>
      <c r="BC152" s="78"/>
    </row>
    <row r="153" spans="1:55" x14ac:dyDescent="0.25">
      <c r="A153" s="68"/>
      <c r="B153" s="68"/>
      <c r="C153" s="68"/>
      <c r="D153" s="70"/>
      <c r="E153" s="70"/>
      <c r="F153" s="70"/>
      <c r="G153" s="72"/>
      <c r="H153" s="74"/>
      <c r="I153" s="74"/>
      <c r="J153" s="75"/>
      <c r="K153" s="81"/>
      <c r="L153" s="76"/>
      <c r="M153" s="76"/>
      <c r="N153" s="76"/>
      <c r="O153" s="71"/>
      <c r="P153" s="70"/>
      <c r="Q153" s="71"/>
      <c r="R153" s="71"/>
      <c r="S153" s="70"/>
      <c r="T153" s="71"/>
      <c r="U153" s="71"/>
      <c r="V153" s="75"/>
      <c r="W153" s="69"/>
      <c r="X153" s="69"/>
      <c r="Y153" s="69"/>
      <c r="Z153" s="69"/>
      <c r="AA153" s="69"/>
      <c r="AB153" s="69"/>
      <c r="AC153" s="69"/>
      <c r="AD153" s="69"/>
      <c r="AE153" s="76"/>
      <c r="AF153" s="71"/>
      <c r="AG153" s="71"/>
      <c r="AH153" s="71"/>
      <c r="AI153" s="71"/>
      <c r="AJ153" s="71"/>
      <c r="AK153" s="71"/>
      <c r="AL153" s="71"/>
      <c r="AM153" s="71"/>
      <c r="AN153" s="68"/>
      <c r="AO153" s="68"/>
      <c r="AP153" s="70"/>
      <c r="AQ153" s="71"/>
      <c r="AR153" s="77"/>
      <c r="AS153" s="70"/>
      <c r="AT153" s="68"/>
      <c r="AU153" s="70"/>
      <c r="AV153" s="70"/>
      <c r="AW153" s="71"/>
      <c r="AX153" s="71"/>
      <c r="AY153" s="70"/>
      <c r="AZ153" s="76"/>
      <c r="BA153" s="76"/>
      <c r="BB153" s="76"/>
      <c r="BC153" s="78"/>
    </row>
    <row r="154" spans="1:55" x14ac:dyDescent="0.25">
      <c r="A154" s="68"/>
      <c r="B154" s="68"/>
      <c r="C154" s="68"/>
      <c r="D154" s="70"/>
      <c r="E154" s="70"/>
      <c r="F154" s="70"/>
      <c r="G154" s="72"/>
      <c r="H154" s="74"/>
      <c r="I154" s="74"/>
      <c r="J154" s="75"/>
      <c r="K154" s="81"/>
      <c r="L154" s="76"/>
      <c r="M154" s="76"/>
      <c r="N154" s="76"/>
      <c r="O154" s="71"/>
      <c r="P154" s="70"/>
      <c r="Q154" s="71"/>
      <c r="R154" s="71"/>
      <c r="S154" s="70"/>
      <c r="T154" s="71"/>
      <c r="U154" s="71"/>
      <c r="V154" s="75"/>
      <c r="W154" s="69"/>
      <c r="X154" s="69"/>
      <c r="Y154" s="69"/>
      <c r="Z154" s="69"/>
      <c r="AA154" s="69"/>
      <c r="AB154" s="69"/>
      <c r="AC154" s="69"/>
      <c r="AD154" s="69"/>
      <c r="AE154" s="76"/>
      <c r="AF154" s="71"/>
      <c r="AG154" s="71"/>
      <c r="AH154" s="71"/>
      <c r="AI154" s="71"/>
      <c r="AJ154" s="71"/>
      <c r="AK154" s="71"/>
      <c r="AL154" s="71"/>
      <c r="AM154" s="71"/>
      <c r="AN154" s="68"/>
      <c r="AO154" s="68"/>
      <c r="AP154" s="70"/>
      <c r="AQ154" s="71"/>
      <c r="AR154" s="77"/>
      <c r="AS154" s="70"/>
      <c r="AT154" s="68"/>
      <c r="AU154" s="70"/>
      <c r="AV154" s="70"/>
      <c r="AW154" s="71"/>
      <c r="AX154" s="71"/>
      <c r="AY154" s="70"/>
      <c r="AZ154" s="76"/>
      <c r="BA154" s="76"/>
      <c r="BB154" s="76"/>
      <c r="BC154" s="78"/>
    </row>
    <row r="155" spans="1:55" x14ac:dyDescent="0.25">
      <c r="A155" s="68"/>
      <c r="B155" s="68"/>
      <c r="C155" s="68"/>
      <c r="D155" s="70"/>
      <c r="E155" s="70"/>
      <c r="F155" s="70"/>
      <c r="G155" s="72"/>
      <c r="H155" s="74"/>
      <c r="I155" s="74"/>
      <c r="J155" s="75"/>
      <c r="K155" s="81"/>
      <c r="L155" s="76"/>
      <c r="M155" s="76"/>
      <c r="N155" s="76"/>
      <c r="O155" s="71"/>
      <c r="P155" s="70"/>
      <c r="Q155" s="71"/>
      <c r="R155" s="71"/>
      <c r="S155" s="70"/>
      <c r="T155" s="71"/>
      <c r="U155" s="71"/>
      <c r="V155" s="75"/>
      <c r="W155" s="69"/>
      <c r="X155" s="69"/>
      <c r="Y155" s="69"/>
      <c r="Z155" s="69"/>
      <c r="AA155" s="69"/>
      <c r="AB155" s="69"/>
      <c r="AC155" s="69"/>
      <c r="AD155" s="69"/>
      <c r="AE155" s="76"/>
      <c r="AF155" s="71"/>
      <c r="AG155" s="71"/>
      <c r="AH155" s="71"/>
      <c r="AI155" s="71"/>
      <c r="AJ155" s="71"/>
      <c r="AK155" s="71"/>
      <c r="AL155" s="71"/>
      <c r="AM155" s="71"/>
      <c r="AN155" s="68"/>
      <c r="AO155" s="68"/>
      <c r="AP155" s="70"/>
      <c r="AQ155" s="71"/>
      <c r="AR155" s="77"/>
      <c r="AS155" s="70"/>
      <c r="AT155" s="68"/>
      <c r="AU155" s="70"/>
      <c r="AV155" s="70"/>
      <c r="AW155" s="71"/>
      <c r="AX155" s="71"/>
      <c r="AY155" s="70"/>
      <c r="AZ155" s="76"/>
      <c r="BA155" s="76"/>
      <c r="BB155" s="76"/>
      <c r="BC155" s="78"/>
    </row>
    <row r="156" spans="1:55" x14ac:dyDescent="0.25">
      <c r="A156" s="68"/>
      <c r="B156" s="68"/>
      <c r="C156" s="68"/>
      <c r="D156" s="70"/>
      <c r="E156" s="70"/>
      <c r="F156" s="70"/>
      <c r="G156" s="72"/>
      <c r="H156" s="74"/>
      <c r="I156" s="74"/>
      <c r="J156" s="75"/>
      <c r="K156" s="81"/>
      <c r="L156" s="76"/>
      <c r="M156" s="76"/>
      <c r="N156" s="76"/>
      <c r="O156" s="71"/>
      <c r="P156" s="70"/>
      <c r="Q156" s="71"/>
      <c r="R156" s="71"/>
      <c r="S156" s="70"/>
      <c r="T156" s="71"/>
      <c r="U156" s="71"/>
      <c r="V156" s="75"/>
      <c r="W156" s="69"/>
      <c r="X156" s="69"/>
      <c r="Y156" s="69"/>
      <c r="Z156" s="69"/>
      <c r="AA156" s="69"/>
      <c r="AB156" s="69"/>
      <c r="AC156" s="69"/>
      <c r="AD156" s="69"/>
      <c r="AE156" s="76"/>
      <c r="AF156" s="71"/>
      <c r="AG156" s="71"/>
      <c r="AH156" s="71"/>
      <c r="AI156" s="71"/>
      <c r="AJ156" s="71"/>
      <c r="AK156" s="71"/>
      <c r="AL156" s="71"/>
      <c r="AM156" s="71"/>
      <c r="AN156" s="68"/>
      <c r="AO156" s="68"/>
      <c r="AP156" s="70"/>
      <c r="AQ156" s="71"/>
      <c r="AR156" s="77"/>
      <c r="AS156" s="70"/>
      <c r="AT156" s="68"/>
      <c r="AU156" s="70"/>
      <c r="AV156" s="70"/>
      <c r="AW156" s="71"/>
      <c r="AX156" s="71"/>
      <c r="AY156" s="70"/>
      <c r="AZ156" s="76"/>
      <c r="BA156" s="76"/>
      <c r="BB156" s="76"/>
      <c r="BC156" s="78"/>
    </row>
    <row r="157" spans="1:55" x14ac:dyDescent="0.25">
      <c r="A157" s="68"/>
      <c r="B157" s="68"/>
      <c r="C157" s="68"/>
      <c r="D157" s="70"/>
      <c r="E157" s="70"/>
      <c r="F157" s="70"/>
      <c r="G157" s="72"/>
      <c r="H157" s="74"/>
      <c r="I157" s="74"/>
      <c r="J157" s="75"/>
      <c r="K157" s="81"/>
      <c r="L157" s="76"/>
      <c r="M157" s="76"/>
      <c r="N157" s="76"/>
      <c r="O157" s="71"/>
      <c r="P157" s="70"/>
      <c r="Q157" s="71"/>
      <c r="R157" s="71"/>
      <c r="S157" s="70"/>
      <c r="T157" s="71"/>
      <c r="U157" s="71"/>
      <c r="V157" s="75"/>
      <c r="W157" s="69"/>
      <c r="X157" s="69"/>
      <c r="Y157" s="69"/>
      <c r="Z157" s="69"/>
      <c r="AA157" s="69"/>
      <c r="AB157" s="69"/>
      <c r="AC157" s="69"/>
      <c r="AD157" s="69"/>
      <c r="AE157" s="76"/>
      <c r="AF157" s="71"/>
      <c r="AG157" s="71"/>
      <c r="AH157" s="71"/>
      <c r="AI157" s="71"/>
      <c r="AJ157" s="71"/>
      <c r="AK157" s="71"/>
      <c r="AL157" s="71"/>
      <c r="AM157" s="71"/>
      <c r="AN157" s="68"/>
      <c r="AO157" s="68"/>
      <c r="AP157" s="70"/>
      <c r="AQ157" s="71"/>
      <c r="AR157" s="77"/>
      <c r="AS157" s="70"/>
      <c r="AT157" s="68"/>
      <c r="AU157" s="70"/>
      <c r="AV157" s="70"/>
      <c r="AW157" s="71"/>
      <c r="AX157" s="71"/>
      <c r="AY157" s="70"/>
      <c r="AZ157" s="76"/>
      <c r="BA157" s="76"/>
      <c r="BB157" s="76"/>
      <c r="BC157" s="78"/>
    </row>
    <row r="158" spans="1:55" x14ac:dyDescent="0.25">
      <c r="A158" s="68"/>
      <c r="B158" s="68"/>
      <c r="C158" s="68"/>
      <c r="D158" s="70"/>
      <c r="E158" s="70"/>
      <c r="F158" s="70"/>
      <c r="G158" s="72"/>
      <c r="H158" s="74"/>
      <c r="I158" s="74"/>
      <c r="J158" s="75"/>
      <c r="K158" s="81"/>
      <c r="L158" s="76"/>
      <c r="M158" s="76"/>
      <c r="N158" s="76"/>
      <c r="O158" s="71"/>
      <c r="P158" s="70"/>
      <c r="Q158" s="71"/>
      <c r="R158" s="71"/>
      <c r="S158" s="70"/>
      <c r="T158" s="71"/>
      <c r="U158" s="71"/>
      <c r="V158" s="75"/>
      <c r="W158" s="69"/>
      <c r="X158" s="69"/>
      <c r="Y158" s="69"/>
      <c r="Z158" s="69"/>
      <c r="AA158" s="69"/>
      <c r="AB158" s="69"/>
      <c r="AC158" s="69"/>
      <c r="AD158" s="69"/>
      <c r="AE158" s="76"/>
      <c r="AF158" s="71"/>
      <c r="AG158" s="71"/>
      <c r="AH158" s="71"/>
      <c r="AI158" s="71"/>
      <c r="AJ158" s="71"/>
      <c r="AK158" s="71"/>
      <c r="AL158" s="71"/>
      <c r="AM158" s="71"/>
      <c r="AN158" s="68"/>
      <c r="AO158" s="68"/>
      <c r="AP158" s="70"/>
      <c r="AQ158" s="71"/>
      <c r="AR158" s="77"/>
      <c r="AS158" s="70"/>
      <c r="AT158" s="68"/>
      <c r="AU158" s="70"/>
      <c r="AV158" s="70"/>
      <c r="AW158" s="71"/>
      <c r="AX158" s="71"/>
      <c r="AY158" s="70"/>
      <c r="AZ158" s="76"/>
      <c r="BA158" s="76"/>
      <c r="BB158" s="76"/>
      <c r="BC158" s="78"/>
    </row>
    <row r="159" spans="1:55" x14ac:dyDescent="0.25">
      <c r="A159" s="68"/>
      <c r="B159" s="68"/>
      <c r="C159" s="68"/>
      <c r="D159" s="70"/>
      <c r="E159" s="70"/>
      <c r="F159" s="70"/>
      <c r="G159" s="72"/>
      <c r="H159" s="74"/>
      <c r="I159" s="74"/>
      <c r="J159" s="75"/>
      <c r="K159" s="81"/>
      <c r="L159" s="76"/>
      <c r="M159" s="76"/>
      <c r="N159" s="76"/>
      <c r="O159" s="71"/>
      <c r="P159" s="70"/>
      <c r="Q159" s="71"/>
      <c r="R159" s="71"/>
      <c r="S159" s="70"/>
      <c r="T159" s="71"/>
      <c r="U159" s="71"/>
      <c r="V159" s="75"/>
      <c r="W159" s="69"/>
      <c r="X159" s="69"/>
      <c r="Y159" s="69"/>
      <c r="Z159" s="69"/>
      <c r="AA159" s="69"/>
      <c r="AB159" s="69"/>
      <c r="AC159" s="69"/>
      <c r="AD159" s="69"/>
      <c r="AE159" s="76"/>
      <c r="AF159" s="71"/>
      <c r="AG159" s="71"/>
      <c r="AH159" s="71"/>
      <c r="AI159" s="71"/>
      <c r="AJ159" s="71"/>
      <c r="AK159" s="71"/>
      <c r="AL159" s="71"/>
      <c r="AM159" s="71"/>
      <c r="AN159" s="68"/>
      <c r="AO159" s="68"/>
      <c r="AP159" s="70"/>
      <c r="AQ159" s="71"/>
      <c r="AR159" s="77"/>
      <c r="AS159" s="70"/>
      <c r="AT159" s="68"/>
      <c r="AU159" s="70"/>
      <c r="AV159" s="70"/>
      <c r="AW159" s="71"/>
      <c r="AX159" s="71"/>
      <c r="AY159" s="70"/>
      <c r="AZ159" s="76"/>
      <c r="BA159" s="76"/>
      <c r="BB159" s="76"/>
      <c r="BC159" s="78"/>
    </row>
    <row r="160" spans="1:55" x14ac:dyDescent="0.25">
      <c r="A160" s="68"/>
      <c r="B160" s="68"/>
      <c r="C160" s="68"/>
      <c r="D160" s="70"/>
      <c r="E160" s="70"/>
      <c r="F160" s="70"/>
      <c r="G160" s="72"/>
      <c r="H160" s="74"/>
      <c r="I160" s="74"/>
      <c r="J160" s="75"/>
      <c r="K160" s="81"/>
      <c r="L160" s="76"/>
      <c r="M160" s="76"/>
      <c r="N160" s="76"/>
      <c r="O160" s="71"/>
      <c r="P160" s="70"/>
      <c r="Q160" s="71"/>
      <c r="R160" s="71"/>
      <c r="S160" s="70"/>
      <c r="T160" s="71"/>
      <c r="U160" s="71"/>
      <c r="V160" s="75"/>
      <c r="W160" s="69"/>
      <c r="X160" s="69"/>
      <c r="Y160" s="69"/>
      <c r="Z160" s="69"/>
      <c r="AA160" s="69"/>
      <c r="AB160" s="69"/>
      <c r="AC160" s="69"/>
      <c r="AD160" s="69"/>
      <c r="AE160" s="76"/>
      <c r="AF160" s="71"/>
      <c r="AG160" s="71"/>
      <c r="AH160" s="71"/>
      <c r="AI160" s="71"/>
      <c r="AJ160" s="71"/>
      <c r="AK160" s="71"/>
      <c r="AL160" s="71"/>
      <c r="AM160" s="71"/>
      <c r="AN160" s="68"/>
      <c r="AO160" s="68"/>
      <c r="AP160" s="70"/>
      <c r="AQ160" s="71"/>
      <c r="AR160" s="77"/>
      <c r="AS160" s="70"/>
      <c r="AT160" s="68"/>
      <c r="AU160" s="70"/>
      <c r="AV160" s="70"/>
      <c r="AW160" s="71"/>
      <c r="AX160" s="71"/>
      <c r="AY160" s="70"/>
      <c r="AZ160" s="76"/>
      <c r="BA160" s="76"/>
      <c r="BB160" s="76"/>
      <c r="BC160" s="78"/>
    </row>
    <row r="161" spans="1:55" x14ac:dyDescent="0.25">
      <c r="A161" s="68"/>
      <c r="B161" s="68"/>
      <c r="C161" s="68"/>
      <c r="D161" s="70"/>
      <c r="E161" s="70"/>
      <c r="F161" s="70"/>
      <c r="G161" s="72"/>
      <c r="H161" s="74"/>
      <c r="I161" s="74"/>
      <c r="J161" s="75"/>
      <c r="K161" s="81"/>
      <c r="L161" s="76"/>
      <c r="M161" s="76"/>
      <c r="N161" s="76"/>
      <c r="O161" s="71"/>
      <c r="P161" s="70"/>
      <c r="Q161" s="71"/>
      <c r="R161" s="71"/>
      <c r="S161" s="70"/>
      <c r="T161" s="71"/>
      <c r="U161" s="71"/>
      <c r="V161" s="75"/>
      <c r="W161" s="69"/>
      <c r="X161" s="69"/>
      <c r="Y161" s="69"/>
      <c r="Z161" s="69"/>
      <c r="AA161" s="69"/>
      <c r="AB161" s="69"/>
      <c r="AC161" s="69"/>
      <c r="AD161" s="69"/>
      <c r="AE161" s="76"/>
      <c r="AF161" s="71"/>
      <c r="AG161" s="71"/>
      <c r="AH161" s="71"/>
      <c r="AI161" s="71"/>
      <c r="AJ161" s="71"/>
      <c r="AK161" s="71"/>
      <c r="AL161" s="71"/>
      <c r="AM161" s="71"/>
      <c r="AN161" s="68"/>
      <c r="AO161" s="68"/>
      <c r="AP161" s="70"/>
      <c r="AQ161" s="71"/>
      <c r="AR161" s="77"/>
      <c r="AS161" s="70"/>
      <c r="AT161" s="68"/>
      <c r="AU161" s="70"/>
      <c r="AV161" s="70"/>
      <c r="AW161" s="71"/>
      <c r="AX161" s="71"/>
      <c r="AY161" s="70"/>
      <c r="AZ161" s="76"/>
      <c r="BA161" s="76"/>
      <c r="BB161" s="76"/>
      <c r="BC161" s="78"/>
    </row>
    <row r="162" spans="1:55" x14ac:dyDescent="0.25">
      <c r="A162" s="68"/>
      <c r="B162" s="68"/>
      <c r="C162" s="68"/>
      <c r="D162" s="70"/>
      <c r="E162" s="70"/>
      <c r="F162" s="70"/>
      <c r="G162" s="72"/>
      <c r="H162" s="74"/>
      <c r="I162" s="74"/>
      <c r="J162" s="75"/>
      <c r="K162" s="81"/>
      <c r="L162" s="76"/>
      <c r="M162" s="76"/>
      <c r="N162" s="76"/>
      <c r="O162" s="71"/>
      <c r="P162" s="70"/>
      <c r="Q162" s="71"/>
      <c r="R162" s="71"/>
      <c r="S162" s="70"/>
      <c r="T162" s="71"/>
      <c r="U162" s="71"/>
      <c r="V162" s="75"/>
      <c r="W162" s="69"/>
      <c r="X162" s="69"/>
      <c r="Y162" s="69"/>
      <c r="Z162" s="69"/>
      <c r="AA162" s="69"/>
      <c r="AB162" s="69"/>
      <c r="AC162" s="69"/>
      <c r="AD162" s="69"/>
      <c r="AE162" s="76"/>
      <c r="AF162" s="71"/>
      <c r="AG162" s="71"/>
      <c r="AH162" s="71"/>
      <c r="AI162" s="71"/>
      <c r="AJ162" s="71"/>
      <c r="AK162" s="71"/>
      <c r="AL162" s="71"/>
      <c r="AM162" s="71"/>
      <c r="AN162" s="68"/>
      <c r="AO162" s="68"/>
      <c r="AP162" s="70"/>
      <c r="AQ162" s="71"/>
      <c r="AR162" s="77"/>
      <c r="AS162" s="70"/>
      <c r="AT162" s="68"/>
      <c r="AU162" s="70"/>
      <c r="AV162" s="70"/>
      <c r="AW162" s="71"/>
      <c r="AX162" s="71"/>
      <c r="AY162" s="70"/>
      <c r="AZ162" s="76"/>
      <c r="BA162" s="76"/>
      <c r="BB162" s="76"/>
      <c r="BC162" s="78"/>
    </row>
    <row r="163" spans="1:55" x14ac:dyDescent="0.25">
      <c r="A163" s="68"/>
      <c r="B163" s="68"/>
      <c r="C163" s="68"/>
      <c r="D163" s="70"/>
      <c r="E163" s="70"/>
      <c r="F163" s="70"/>
      <c r="G163" s="72"/>
      <c r="H163" s="74"/>
      <c r="I163" s="74"/>
      <c r="J163" s="75"/>
      <c r="K163" s="81"/>
      <c r="L163" s="76"/>
      <c r="M163" s="76"/>
      <c r="N163" s="76"/>
      <c r="O163" s="71"/>
      <c r="P163" s="70"/>
      <c r="Q163" s="71"/>
      <c r="R163" s="71"/>
      <c r="S163" s="70"/>
      <c r="T163" s="71"/>
      <c r="U163" s="71"/>
      <c r="V163" s="75"/>
      <c r="W163" s="69"/>
      <c r="X163" s="69"/>
      <c r="Y163" s="69"/>
      <c r="Z163" s="69"/>
      <c r="AA163" s="69"/>
      <c r="AB163" s="69"/>
      <c r="AC163" s="69"/>
      <c r="AD163" s="69"/>
      <c r="AE163" s="76"/>
      <c r="AF163" s="71"/>
      <c r="AG163" s="71"/>
      <c r="AH163" s="71"/>
      <c r="AI163" s="71"/>
      <c r="AJ163" s="71"/>
      <c r="AK163" s="71"/>
      <c r="AL163" s="71"/>
      <c r="AM163" s="71"/>
      <c r="AN163" s="68"/>
      <c r="AO163" s="68"/>
      <c r="AP163" s="70"/>
      <c r="AQ163" s="71"/>
      <c r="AR163" s="77"/>
      <c r="AS163" s="70"/>
      <c r="AT163" s="68"/>
      <c r="AU163" s="70"/>
      <c r="AV163" s="70"/>
      <c r="AW163" s="71"/>
      <c r="AX163" s="71"/>
      <c r="AY163" s="70"/>
      <c r="AZ163" s="76"/>
      <c r="BA163" s="76"/>
      <c r="BB163" s="76"/>
      <c r="BC163" s="78"/>
    </row>
    <row r="164" spans="1:55" x14ac:dyDescent="0.25">
      <c r="A164" s="68"/>
      <c r="B164" s="68"/>
      <c r="C164" s="68"/>
      <c r="D164" s="70"/>
      <c r="E164" s="70"/>
      <c r="F164" s="70"/>
      <c r="G164" s="72"/>
      <c r="H164" s="74"/>
      <c r="I164" s="74"/>
      <c r="J164" s="75"/>
      <c r="K164" s="81"/>
      <c r="L164" s="76"/>
      <c r="M164" s="76"/>
      <c r="N164" s="76"/>
      <c r="O164" s="71"/>
      <c r="P164" s="70"/>
      <c r="Q164" s="71"/>
      <c r="R164" s="71"/>
      <c r="S164" s="70"/>
      <c r="T164" s="71"/>
      <c r="U164" s="71"/>
      <c r="V164" s="75"/>
      <c r="W164" s="69"/>
      <c r="X164" s="69"/>
      <c r="Y164" s="69"/>
      <c r="Z164" s="69"/>
      <c r="AA164" s="69"/>
      <c r="AB164" s="69"/>
      <c r="AC164" s="69"/>
      <c r="AD164" s="69"/>
      <c r="AE164" s="76"/>
      <c r="AF164" s="71"/>
      <c r="AG164" s="71"/>
      <c r="AH164" s="71"/>
      <c r="AI164" s="71"/>
      <c r="AJ164" s="71"/>
      <c r="AK164" s="71"/>
      <c r="AL164" s="71"/>
      <c r="AM164" s="71"/>
      <c r="AN164" s="68"/>
      <c r="AO164" s="68"/>
      <c r="AP164" s="70"/>
      <c r="AQ164" s="71"/>
      <c r="AR164" s="77"/>
      <c r="AS164" s="70"/>
      <c r="AT164" s="68"/>
      <c r="AU164" s="70"/>
      <c r="AV164" s="70"/>
      <c r="AW164" s="71"/>
      <c r="AX164" s="71"/>
      <c r="AY164" s="70"/>
      <c r="AZ164" s="76"/>
      <c r="BA164" s="76"/>
      <c r="BB164" s="76"/>
      <c r="BC164" s="78"/>
    </row>
    <row r="165" spans="1:55" x14ac:dyDescent="0.25">
      <c r="A165" s="68"/>
      <c r="B165" s="68"/>
      <c r="C165" s="68"/>
      <c r="D165" s="70"/>
      <c r="E165" s="70"/>
      <c r="F165" s="70"/>
      <c r="G165" s="72"/>
      <c r="H165" s="74"/>
      <c r="I165" s="74"/>
      <c r="J165" s="75"/>
      <c r="K165" s="81"/>
      <c r="L165" s="76"/>
      <c r="M165" s="76"/>
      <c r="N165" s="76"/>
      <c r="O165" s="71"/>
      <c r="P165" s="70"/>
      <c r="Q165" s="71"/>
      <c r="R165" s="71"/>
      <c r="S165" s="70"/>
      <c r="T165" s="71"/>
      <c r="U165" s="71"/>
      <c r="V165" s="75"/>
      <c r="W165" s="69"/>
      <c r="X165" s="69"/>
      <c r="Y165" s="69"/>
      <c r="Z165" s="69"/>
      <c r="AA165" s="69"/>
      <c r="AB165" s="69"/>
      <c r="AC165" s="69"/>
      <c r="AD165" s="69"/>
      <c r="AE165" s="76"/>
      <c r="AF165" s="71"/>
      <c r="AG165" s="71"/>
      <c r="AH165" s="71"/>
      <c r="AI165" s="71"/>
      <c r="AJ165" s="71"/>
      <c r="AK165" s="71"/>
      <c r="AL165" s="71"/>
      <c r="AM165" s="71"/>
      <c r="AN165" s="68"/>
      <c r="AO165" s="68"/>
      <c r="AP165" s="70"/>
      <c r="AQ165" s="71"/>
      <c r="AR165" s="77"/>
      <c r="AS165" s="70"/>
      <c r="AT165" s="68"/>
      <c r="AU165" s="70"/>
      <c r="AV165" s="70"/>
      <c r="AW165" s="71"/>
      <c r="AX165" s="71"/>
      <c r="AY165" s="70"/>
      <c r="AZ165" s="76"/>
      <c r="BA165" s="76"/>
      <c r="BB165" s="76"/>
      <c r="BC165" s="78"/>
    </row>
    <row r="166" spans="1:55" x14ac:dyDescent="0.25">
      <c r="A166" s="68"/>
      <c r="B166" s="68"/>
      <c r="C166" s="68"/>
      <c r="D166" s="70"/>
      <c r="E166" s="70"/>
      <c r="F166" s="70"/>
      <c r="G166" s="72"/>
      <c r="H166" s="74"/>
      <c r="I166" s="74"/>
      <c r="J166" s="75"/>
      <c r="K166" s="81"/>
      <c r="L166" s="76"/>
      <c r="M166" s="76"/>
      <c r="N166" s="76"/>
      <c r="O166" s="71"/>
      <c r="P166" s="70"/>
      <c r="Q166" s="71"/>
      <c r="R166" s="71"/>
      <c r="S166" s="70"/>
      <c r="T166" s="71"/>
      <c r="U166" s="71"/>
      <c r="V166" s="75"/>
      <c r="W166" s="69"/>
      <c r="X166" s="69"/>
      <c r="Y166" s="69"/>
      <c r="Z166" s="69"/>
      <c r="AA166" s="69"/>
      <c r="AB166" s="69"/>
      <c r="AC166" s="69"/>
      <c r="AD166" s="69"/>
      <c r="AE166" s="76"/>
      <c r="AF166" s="71"/>
      <c r="AG166" s="71"/>
      <c r="AH166" s="71"/>
      <c r="AI166" s="71"/>
      <c r="AJ166" s="71"/>
      <c r="AK166" s="71"/>
      <c r="AL166" s="71"/>
      <c r="AM166" s="71"/>
      <c r="AN166" s="68"/>
      <c r="AO166" s="68"/>
      <c r="AP166" s="70"/>
      <c r="AQ166" s="71"/>
      <c r="AR166" s="77"/>
      <c r="AS166" s="70"/>
      <c r="AT166" s="68"/>
      <c r="AU166" s="70"/>
      <c r="AV166" s="70"/>
      <c r="AW166" s="71"/>
      <c r="AX166" s="71"/>
      <c r="AY166" s="70"/>
      <c r="AZ166" s="76"/>
      <c r="BA166" s="76"/>
      <c r="BB166" s="76"/>
      <c r="BC166" s="78"/>
    </row>
    <row r="167" spans="1:55" x14ac:dyDescent="0.25">
      <c r="A167" s="68"/>
      <c r="B167" s="68"/>
      <c r="C167" s="68"/>
      <c r="D167" s="70"/>
      <c r="E167" s="70"/>
      <c r="F167" s="70"/>
      <c r="G167" s="72"/>
      <c r="H167" s="74"/>
      <c r="I167" s="74"/>
      <c r="J167" s="75"/>
      <c r="K167" s="81"/>
      <c r="L167" s="76"/>
      <c r="M167" s="76"/>
      <c r="N167" s="76"/>
      <c r="O167" s="71"/>
      <c r="P167" s="70"/>
      <c r="Q167" s="71"/>
      <c r="R167" s="71"/>
      <c r="S167" s="70"/>
      <c r="T167" s="71"/>
      <c r="U167" s="71"/>
      <c r="V167" s="75"/>
      <c r="W167" s="69"/>
      <c r="X167" s="69"/>
      <c r="Y167" s="69"/>
      <c r="Z167" s="69"/>
      <c r="AA167" s="69"/>
      <c r="AB167" s="69"/>
      <c r="AC167" s="69"/>
      <c r="AD167" s="69"/>
      <c r="AE167" s="76"/>
      <c r="AF167" s="71"/>
      <c r="AG167" s="71"/>
      <c r="AH167" s="71"/>
      <c r="AI167" s="71"/>
      <c r="AJ167" s="71"/>
      <c r="AK167" s="71"/>
      <c r="AL167" s="71"/>
      <c r="AM167" s="71"/>
      <c r="AN167" s="68"/>
      <c r="AO167" s="68"/>
      <c r="AP167" s="70"/>
      <c r="AQ167" s="71"/>
      <c r="AR167" s="77"/>
      <c r="AS167" s="70"/>
      <c r="AT167" s="68"/>
      <c r="AU167" s="70"/>
      <c r="AV167" s="70"/>
      <c r="AW167" s="71"/>
      <c r="AX167" s="71"/>
      <c r="AY167" s="70"/>
      <c r="AZ167" s="76"/>
      <c r="BA167" s="76"/>
      <c r="BB167" s="76"/>
      <c r="BC167" s="78"/>
    </row>
    <row r="168" spans="1:55" x14ac:dyDescent="0.25">
      <c r="A168" s="68"/>
      <c r="B168" s="68"/>
      <c r="C168" s="68"/>
      <c r="D168" s="70"/>
      <c r="E168" s="70"/>
      <c r="F168" s="70"/>
      <c r="G168" s="72"/>
      <c r="H168" s="74"/>
      <c r="I168" s="74"/>
      <c r="J168" s="75"/>
      <c r="K168" s="81"/>
      <c r="L168" s="76"/>
      <c r="M168" s="76"/>
      <c r="N168" s="76"/>
      <c r="O168" s="71"/>
      <c r="P168" s="70"/>
      <c r="Q168" s="71"/>
      <c r="R168" s="71"/>
      <c r="S168" s="70"/>
      <c r="T168" s="71"/>
      <c r="U168" s="71"/>
      <c r="V168" s="75"/>
      <c r="W168" s="69"/>
      <c r="X168" s="69"/>
      <c r="Y168" s="69"/>
      <c r="Z168" s="69"/>
      <c r="AA168" s="69"/>
      <c r="AB168" s="69"/>
      <c r="AC168" s="69"/>
      <c r="AD168" s="69"/>
      <c r="AE168" s="76"/>
      <c r="AF168" s="71"/>
      <c r="AG168" s="71"/>
      <c r="AH168" s="71"/>
      <c r="AI168" s="71"/>
      <c r="AJ168" s="71"/>
      <c r="AK168" s="71"/>
      <c r="AL168" s="71"/>
      <c r="AM168" s="71"/>
      <c r="AN168" s="68"/>
      <c r="AO168" s="68"/>
      <c r="AP168" s="70"/>
      <c r="AQ168" s="71"/>
      <c r="AR168" s="77"/>
      <c r="AS168" s="70"/>
      <c r="AT168" s="68"/>
      <c r="AU168" s="70"/>
      <c r="AV168" s="70"/>
      <c r="AW168" s="71"/>
      <c r="AX168" s="71"/>
      <c r="AY168" s="70"/>
      <c r="AZ168" s="76"/>
      <c r="BA168" s="76"/>
      <c r="BB168" s="76"/>
      <c r="BC168" s="78"/>
    </row>
    <row r="169" spans="1:55" x14ac:dyDescent="0.25">
      <c r="A169" s="68"/>
      <c r="B169" s="68"/>
      <c r="C169" s="68"/>
      <c r="D169" s="70"/>
      <c r="E169" s="70"/>
      <c r="F169" s="70"/>
      <c r="G169" s="72"/>
      <c r="H169" s="74"/>
      <c r="I169" s="74"/>
      <c r="J169" s="75"/>
      <c r="K169" s="81"/>
      <c r="L169" s="76"/>
      <c r="M169" s="76"/>
      <c r="N169" s="76"/>
      <c r="O169" s="71"/>
      <c r="P169" s="70"/>
      <c r="Q169" s="71"/>
      <c r="R169" s="71"/>
      <c r="S169" s="70"/>
      <c r="T169" s="71"/>
      <c r="U169" s="71"/>
      <c r="V169" s="75"/>
      <c r="W169" s="69"/>
      <c r="X169" s="69"/>
      <c r="Y169" s="69"/>
      <c r="Z169" s="69"/>
      <c r="AA169" s="69"/>
      <c r="AB169" s="69"/>
      <c r="AC169" s="69"/>
      <c r="AD169" s="69"/>
      <c r="AE169" s="76"/>
      <c r="AF169" s="71"/>
      <c r="AG169" s="71"/>
      <c r="AH169" s="71"/>
      <c r="AI169" s="71"/>
      <c r="AJ169" s="71"/>
      <c r="AK169" s="71"/>
      <c r="AL169" s="71"/>
      <c r="AM169" s="71"/>
      <c r="AN169" s="68"/>
      <c r="AO169" s="68"/>
      <c r="AP169" s="70"/>
      <c r="AQ169" s="71"/>
      <c r="AR169" s="77"/>
      <c r="AS169" s="70"/>
      <c r="AT169" s="68"/>
      <c r="AU169" s="70"/>
      <c r="AV169" s="70"/>
      <c r="AW169" s="71"/>
      <c r="AX169" s="71"/>
      <c r="AY169" s="70"/>
      <c r="AZ169" s="76"/>
      <c r="BA169" s="76"/>
      <c r="BB169" s="76"/>
      <c r="BC169" s="78"/>
    </row>
    <row r="170" spans="1:55" x14ac:dyDescent="0.25">
      <c r="A170" s="68"/>
      <c r="B170" s="68"/>
      <c r="C170" s="68"/>
      <c r="D170" s="70"/>
      <c r="E170" s="70"/>
      <c r="F170" s="70"/>
      <c r="G170" s="72"/>
      <c r="H170" s="74"/>
      <c r="I170" s="74"/>
      <c r="J170" s="75"/>
      <c r="K170" s="81"/>
      <c r="L170" s="76"/>
      <c r="M170" s="76"/>
      <c r="N170" s="76"/>
      <c r="O170" s="71"/>
      <c r="P170" s="70"/>
      <c r="Q170" s="71"/>
      <c r="R170" s="71"/>
      <c r="S170" s="70"/>
      <c r="T170" s="71"/>
      <c r="U170" s="71"/>
      <c r="V170" s="75"/>
      <c r="W170" s="69"/>
      <c r="X170" s="69"/>
      <c r="Y170" s="69"/>
      <c r="Z170" s="69"/>
      <c r="AA170" s="69"/>
      <c r="AB170" s="69"/>
      <c r="AC170" s="69"/>
      <c r="AD170" s="69"/>
      <c r="AE170" s="76"/>
      <c r="AF170" s="71"/>
      <c r="AG170" s="71"/>
      <c r="AH170" s="71"/>
      <c r="AI170" s="71"/>
      <c r="AJ170" s="71"/>
      <c r="AK170" s="71"/>
      <c r="AL170" s="71"/>
      <c r="AM170" s="71"/>
      <c r="AN170" s="68"/>
      <c r="AO170" s="68"/>
      <c r="AP170" s="70"/>
      <c r="AQ170" s="71"/>
      <c r="AR170" s="77"/>
      <c r="AS170" s="70"/>
      <c r="AT170" s="68"/>
      <c r="AU170" s="70"/>
      <c r="AV170" s="70"/>
      <c r="AW170" s="71"/>
      <c r="AX170" s="71"/>
      <c r="AY170" s="70"/>
      <c r="AZ170" s="76"/>
      <c r="BA170" s="76"/>
      <c r="BB170" s="76"/>
      <c r="BC170" s="78"/>
    </row>
    <row r="171" spans="1:55" x14ac:dyDescent="0.25">
      <c r="A171" s="68"/>
      <c r="B171" s="68"/>
      <c r="C171" s="68"/>
      <c r="D171" s="70"/>
      <c r="E171" s="70"/>
      <c r="F171" s="70"/>
      <c r="G171" s="72"/>
      <c r="H171" s="74"/>
      <c r="I171" s="74"/>
      <c r="J171" s="75"/>
      <c r="K171" s="81"/>
      <c r="L171" s="76"/>
      <c r="M171" s="76"/>
      <c r="N171" s="76"/>
      <c r="O171" s="71"/>
      <c r="P171" s="70"/>
      <c r="Q171" s="71"/>
      <c r="R171" s="71"/>
      <c r="S171" s="70"/>
      <c r="T171" s="71"/>
      <c r="U171" s="71"/>
      <c r="V171" s="75"/>
      <c r="W171" s="69"/>
      <c r="X171" s="69"/>
      <c r="Y171" s="69"/>
      <c r="Z171" s="69"/>
      <c r="AA171" s="69"/>
      <c r="AB171" s="69"/>
      <c r="AC171" s="69"/>
      <c r="AD171" s="69"/>
      <c r="AE171" s="76"/>
      <c r="AF171" s="71"/>
      <c r="AG171" s="71"/>
      <c r="AH171" s="71"/>
      <c r="AI171" s="71"/>
      <c r="AJ171" s="71"/>
      <c r="AK171" s="71"/>
      <c r="AL171" s="71"/>
      <c r="AM171" s="71"/>
      <c r="AN171" s="68"/>
      <c r="AO171" s="68"/>
      <c r="AP171" s="70"/>
      <c r="AQ171" s="71"/>
      <c r="AR171" s="77"/>
      <c r="AS171" s="70"/>
      <c r="AT171" s="68"/>
      <c r="AU171" s="70"/>
      <c r="AV171" s="70"/>
      <c r="AW171" s="71"/>
      <c r="AX171" s="71"/>
      <c r="AY171" s="70"/>
      <c r="AZ171" s="76"/>
      <c r="BA171" s="76"/>
      <c r="BB171" s="76"/>
      <c r="BC171" s="78"/>
    </row>
    <row r="172" spans="1:55" x14ac:dyDescent="0.25">
      <c r="A172" s="68"/>
      <c r="B172" s="68"/>
      <c r="C172" s="68"/>
      <c r="D172" s="70"/>
      <c r="E172" s="70"/>
      <c r="F172" s="70"/>
      <c r="G172" s="72"/>
      <c r="H172" s="74"/>
      <c r="I172" s="74"/>
      <c r="J172" s="75"/>
      <c r="K172" s="81"/>
      <c r="L172" s="76"/>
      <c r="M172" s="76"/>
      <c r="N172" s="76"/>
      <c r="O172" s="71"/>
      <c r="P172" s="70"/>
      <c r="Q172" s="71"/>
      <c r="R172" s="71"/>
      <c r="S172" s="70"/>
      <c r="T172" s="71"/>
      <c r="U172" s="71"/>
      <c r="V172" s="75"/>
      <c r="W172" s="69"/>
      <c r="X172" s="69"/>
      <c r="Y172" s="69"/>
      <c r="Z172" s="69"/>
      <c r="AA172" s="69"/>
      <c r="AB172" s="69"/>
      <c r="AC172" s="69"/>
      <c r="AD172" s="69"/>
      <c r="AE172" s="76"/>
      <c r="AF172" s="71"/>
      <c r="AG172" s="71"/>
      <c r="AH172" s="71"/>
      <c r="AI172" s="71"/>
      <c r="AJ172" s="71"/>
      <c r="AK172" s="71"/>
      <c r="AL172" s="71"/>
      <c r="AM172" s="71"/>
      <c r="AN172" s="68"/>
      <c r="AO172" s="68"/>
      <c r="AP172" s="70"/>
      <c r="AQ172" s="71"/>
      <c r="AR172" s="77"/>
      <c r="AS172" s="70"/>
      <c r="AT172" s="68"/>
      <c r="AU172" s="70"/>
      <c r="AV172" s="70"/>
      <c r="AW172" s="71"/>
      <c r="AX172" s="71"/>
      <c r="AY172" s="70"/>
      <c r="AZ172" s="76"/>
      <c r="BA172" s="76"/>
      <c r="BB172" s="76"/>
      <c r="BC172" s="78"/>
    </row>
    <row r="173" spans="1:55" x14ac:dyDescent="0.25">
      <c r="A173" s="68"/>
      <c r="B173" s="68"/>
      <c r="C173" s="68"/>
      <c r="D173" s="70"/>
      <c r="E173" s="70"/>
      <c r="F173" s="70"/>
      <c r="G173" s="72"/>
      <c r="H173" s="74"/>
      <c r="I173" s="74"/>
      <c r="J173" s="75"/>
      <c r="K173" s="81"/>
      <c r="L173" s="76"/>
      <c r="M173" s="76"/>
      <c r="N173" s="76"/>
      <c r="O173" s="71"/>
      <c r="P173" s="70"/>
      <c r="Q173" s="71"/>
      <c r="R173" s="71"/>
      <c r="S173" s="70"/>
      <c r="T173" s="71"/>
      <c r="U173" s="71"/>
      <c r="V173" s="75"/>
      <c r="W173" s="69"/>
      <c r="X173" s="69"/>
      <c r="Y173" s="69"/>
      <c r="Z173" s="69"/>
      <c r="AA173" s="69"/>
      <c r="AB173" s="69"/>
      <c r="AC173" s="69"/>
      <c r="AD173" s="69"/>
      <c r="AE173" s="76"/>
      <c r="AF173" s="71"/>
      <c r="AG173" s="71"/>
      <c r="AH173" s="71"/>
      <c r="AI173" s="71"/>
      <c r="AJ173" s="71"/>
      <c r="AK173" s="71"/>
      <c r="AL173" s="71"/>
      <c r="AM173" s="71"/>
      <c r="AN173" s="68"/>
      <c r="AO173" s="68"/>
      <c r="AP173" s="70"/>
      <c r="AQ173" s="71"/>
      <c r="AR173" s="77"/>
      <c r="AS173" s="70"/>
      <c r="AT173" s="68"/>
      <c r="AU173" s="70"/>
      <c r="AV173" s="70"/>
      <c r="AW173" s="71"/>
      <c r="AX173" s="71"/>
      <c r="AY173" s="70"/>
      <c r="AZ173" s="76"/>
      <c r="BA173" s="76"/>
      <c r="BB173" s="76"/>
      <c r="BC173" s="78"/>
    </row>
    <row r="174" spans="1:55" x14ac:dyDescent="0.25">
      <c r="A174" s="68"/>
      <c r="B174" s="68"/>
      <c r="C174" s="68"/>
      <c r="D174" s="70"/>
      <c r="E174" s="70"/>
      <c r="F174" s="70"/>
      <c r="G174" s="72"/>
      <c r="H174" s="74"/>
      <c r="I174" s="74"/>
      <c r="J174" s="75"/>
      <c r="K174" s="81"/>
      <c r="L174" s="76"/>
      <c r="M174" s="76"/>
      <c r="N174" s="76"/>
      <c r="O174" s="71"/>
      <c r="P174" s="70"/>
      <c r="Q174" s="71"/>
      <c r="R174" s="71"/>
      <c r="S174" s="70"/>
      <c r="T174" s="71"/>
      <c r="U174" s="71"/>
      <c r="V174" s="75"/>
      <c r="W174" s="69"/>
      <c r="X174" s="69"/>
      <c r="Y174" s="69"/>
      <c r="Z174" s="69"/>
      <c r="AA174" s="69"/>
      <c r="AB174" s="69"/>
      <c r="AC174" s="69"/>
      <c r="AD174" s="69"/>
      <c r="AE174" s="76"/>
      <c r="AF174" s="71"/>
      <c r="AG174" s="71"/>
      <c r="AH174" s="71"/>
      <c r="AI174" s="71"/>
      <c r="AJ174" s="71"/>
      <c r="AK174" s="71"/>
      <c r="AL174" s="71"/>
      <c r="AM174" s="71"/>
      <c r="AN174" s="68"/>
      <c r="AO174" s="68"/>
      <c r="AP174" s="70"/>
      <c r="AQ174" s="71"/>
      <c r="AR174" s="77"/>
      <c r="AS174" s="70"/>
      <c r="AT174" s="68"/>
      <c r="AU174" s="70"/>
      <c r="AV174" s="70"/>
      <c r="AW174" s="71"/>
      <c r="AX174" s="71"/>
      <c r="AY174" s="70"/>
      <c r="AZ174" s="76"/>
      <c r="BA174" s="76"/>
      <c r="BB174" s="76"/>
      <c r="BC174" s="78"/>
    </row>
    <row r="175" spans="1:55" x14ac:dyDescent="0.25">
      <c r="A175" s="68"/>
      <c r="B175" s="68"/>
      <c r="C175" s="68"/>
      <c r="D175" s="70"/>
      <c r="E175" s="70"/>
      <c r="F175" s="70"/>
      <c r="G175" s="72"/>
      <c r="H175" s="74"/>
      <c r="I175" s="74"/>
      <c r="J175" s="75"/>
      <c r="K175" s="81"/>
      <c r="L175" s="76"/>
      <c r="M175" s="76"/>
      <c r="N175" s="76"/>
      <c r="O175" s="71"/>
      <c r="P175" s="70"/>
      <c r="Q175" s="71"/>
      <c r="R175" s="71"/>
      <c r="S175" s="70"/>
      <c r="T175" s="71"/>
      <c r="U175" s="71"/>
      <c r="V175" s="75"/>
      <c r="W175" s="69"/>
      <c r="X175" s="69"/>
      <c r="Y175" s="69"/>
      <c r="Z175" s="69"/>
      <c r="AA175" s="69"/>
      <c r="AB175" s="69"/>
      <c r="AC175" s="69"/>
      <c r="AD175" s="69"/>
      <c r="AE175" s="76"/>
      <c r="AF175" s="71"/>
      <c r="AG175" s="71"/>
      <c r="AH175" s="71"/>
      <c r="AI175" s="71"/>
      <c r="AJ175" s="71"/>
      <c r="AK175" s="71"/>
      <c r="AL175" s="71"/>
      <c r="AM175" s="71"/>
      <c r="AN175" s="68"/>
      <c r="AO175" s="68"/>
      <c r="AP175" s="70"/>
      <c r="AQ175" s="71"/>
      <c r="AR175" s="77"/>
      <c r="AS175" s="70"/>
      <c r="AT175" s="68"/>
      <c r="AU175" s="70"/>
      <c r="AV175" s="70"/>
      <c r="AW175" s="71"/>
      <c r="AX175" s="71"/>
      <c r="AY175" s="70"/>
      <c r="AZ175" s="76"/>
      <c r="BA175" s="76"/>
      <c r="BB175" s="76"/>
      <c r="BC175" s="78"/>
    </row>
    <row r="176" spans="1:55" x14ac:dyDescent="0.25">
      <c r="A176" s="68"/>
      <c r="B176" s="68"/>
      <c r="C176" s="68"/>
      <c r="D176" s="70"/>
      <c r="E176" s="70"/>
      <c r="F176" s="70"/>
      <c r="G176" s="72"/>
      <c r="H176" s="74"/>
      <c r="I176" s="74"/>
      <c r="J176" s="75"/>
      <c r="K176" s="81"/>
      <c r="L176" s="76"/>
      <c r="M176" s="76"/>
      <c r="N176" s="76"/>
      <c r="O176" s="71"/>
      <c r="P176" s="70"/>
      <c r="Q176" s="71"/>
      <c r="R176" s="71"/>
      <c r="S176" s="70"/>
      <c r="T176" s="71"/>
      <c r="U176" s="71"/>
      <c r="V176" s="75"/>
      <c r="W176" s="69"/>
      <c r="X176" s="69"/>
      <c r="Y176" s="69"/>
      <c r="Z176" s="69"/>
      <c r="AA176" s="69"/>
      <c r="AB176" s="69"/>
      <c r="AC176" s="69"/>
      <c r="AD176" s="69"/>
      <c r="AE176" s="76"/>
      <c r="AF176" s="71"/>
      <c r="AG176" s="71"/>
      <c r="AH176" s="71"/>
      <c r="AI176" s="71"/>
      <c r="AJ176" s="71"/>
      <c r="AK176" s="71"/>
      <c r="AL176" s="71"/>
      <c r="AM176" s="71"/>
      <c r="AN176" s="68"/>
      <c r="AO176" s="68"/>
      <c r="AP176" s="70"/>
      <c r="AQ176" s="71"/>
      <c r="AR176" s="77"/>
      <c r="AS176" s="70"/>
      <c r="AT176" s="68"/>
      <c r="AU176" s="70"/>
      <c r="AV176" s="70"/>
      <c r="AW176" s="71"/>
      <c r="AX176" s="71"/>
      <c r="AY176" s="70"/>
      <c r="AZ176" s="76"/>
      <c r="BA176" s="76"/>
      <c r="BB176" s="76"/>
      <c r="BC176" s="78"/>
    </row>
    <row r="177" spans="1:55" x14ac:dyDescent="0.25">
      <c r="A177" s="68"/>
      <c r="B177" s="68"/>
      <c r="C177" s="68"/>
      <c r="D177" s="70"/>
      <c r="E177" s="70"/>
      <c r="F177" s="70"/>
      <c r="G177" s="72"/>
      <c r="H177" s="74"/>
      <c r="I177" s="74"/>
      <c r="J177" s="75"/>
      <c r="K177" s="81"/>
      <c r="L177" s="76"/>
      <c r="M177" s="76"/>
      <c r="N177" s="76"/>
      <c r="O177" s="71"/>
      <c r="P177" s="70"/>
      <c r="Q177" s="71"/>
      <c r="R177" s="71"/>
      <c r="S177" s="70"/>
      <c r="T177" s="71"/>
      <c r="U177" s="71"/>
      <c r="V177" s="75"/>
      <c r="W177" s="69"/>
      <c r="X177" s="69"/>
      <c r="Y177" s="69"/>
      <c r="Z177" s="69"/>
      <c r="AA177" s="69"/>
      <c r="AB177" s="69"/>
      <c r="AC177" s="69"/>
      <c r="AD177" s="69"/>
      <c r="AE177" s="76"/>
      <c r="AF177" s="71"/>
      <c r="AG177" s="71"/>
      <c r="AH177" s="71"/>
      <c r="AI177" s="71"/>
      <c r="AJ177" s="71"/>
      <c r="AK177" s="71"/>
      <c r="AL177" s="71"/>
      <c r="AM177" s="71"/>
      <c r="AN177" s="68"/>
      <c r="AO177" s="68"/>
      <c r="AP177" s="70"/>
      <c r="AQ177" s="71"/>
      <c r="AR177" s="77"/>
      <c r="AS177" s="70"/>
      <c r="AT177" s="68"/>
      <c r="AU177" s="70"/>
      <c r="AV177" s="70"/>
      <c r="AW177" s="71"/>
      <c r="AX177" s="71"/>
      <c r="AY177" s="70"/>
      <c r="AZ177" s="76"/>
      <c r="BA177" s="76"/>
      <c r="BB177" s="76"/>
      <c r="BC177" s="78"/>
    </row>
    <row r="178" spans="1:55" x14ac:dyDescent="0.25">
      <c r="A178" s="68"/>
      <c r="B178" s="68"/>
      <c r="C178" s="68"/>
      <c r="D178" s="70"/>
      <c r="E178" s="70"/>
      <c r="F178" s="70"/>
      <c r="G178" s="72"/>
      <c r="H178" s="74"/>
      <c r="I178" s="74"/>
      <c r="J178" s="75"/>
      <c r="K178" s="81"/>
      <c r="L178" s="76"/>
      <c r="M178" s="76"/>
      <c r="N178" s="76"/>
      <c r="O178" s="71"/>
      <c r="P178" s="70"/>
      <c r="Q178" s="71"/>
      <c r="R178" s="71"/>
      <c r="S178" s="70"/>
      <c r="T178" s="71"/>
      <c r="U178" s="71"/>
      <c r="V178" s="75"/>
      <c r="W178" s="69"/>
      <c r="X178" s="69"/>
      <c r="Y178" s="69"/>
      <c r="Z178" s="69"/>
      <c r="AA178" s="69"/>
      <c r="AB178" s="69"/>
      <c r="AC178" s="69"/>
      <c r="AD178" s="69"/>
      <c r="AE178" s="76"/>
      <c r="AF178" s="71"/>
      <c r="AG178" s="71"/>
      <c r="AH178" s="71"/>
      <c r="AI178" s="71"/>
      <c r="AJ178" s="71"/>
      <c r="AK178" s="71"/>
      <c r="AL178" s="71"/>
      <c r="AM178" s="71"/>
      <c r="AN178" s="68"/>
      <c r="AO178" s="68"/>
      <c r="AP178" s="70"/>
      <c r="AQ178" s="71"/>
      <c r="AR178" s="77"/>
      <c r="AS178" s="70"/>
      <c r="AT178" s="68"/>
      <c r="AU178" s="70"/>
      <c r="AV178" s="70"/>
      <c r="AW178" s="71"/>
      <c r="AX178" s="71"/>
      <c r="AY178" s="70"/>
      <c r="AZ178" s="76"/>
      <c r="BA178" s="76"/>
      <c r="BB178" s="76"/>
      <c r="BC178" s="78"/>
    </row>
    <row r="179" spans="1:55" x14ac:dyDescent="0.25">
      <c r="A179" s="68"/>
      <c r="B179" s="68"/>
      <c r="C179" s="68"/>
      <c r="D179" s="70"/>
      <c r="E179" s="70"/>
      <c r="F179" s="70"/>
      <c r="G179" s="72"/>
      <c r="H179" s="74"/>
      <c r="I179" s="74"/>
      <c r="J179" s="75"/>
      <c r="K179" s="81"/>
      <c r="L179" s="76"/>
      <c r="M179" s="76"/>
      <c r="N179" s="76"/>
      <c r="O179" s="71"/>
      <c r="P179" s="70"/>
      <c r="Q179" s="71"/>
      <c r="R179" s="71"/>
      <c r="S179" s="70"/>
      <c r="T179" s="71"/>
      <c r="U179" s="71"/>
      <c r="V179" s="75"/>
      <c r="W179" s="69"/>
      <c r="X179" s="69"/>
      <c r="Y179" s="69"/>
      <c r="Z179" s="69"/>
      <c r="AA179" s="69"/>
      <c r="AB179" s="69"/>
      <c r="AC179" s="69"/>
      <c r="AD179" s="69"/>
      <c r="AE179" s="76"/>
      <c r="AF179" s="71"/>
      <c r="AG179" s="71"/>
      <c r="AH179" s="71"/>
      <c r="AI179" s="71"/>
      <c r="AJ179" s="71"/>
      <c r="AK179" s="71"/>
      <c r="AL179" s="71"/>
      <c r="AM179" s="71"/>
      <c r="AN179" s="68"/>
      <c r="AO179" s="68"/>
      <c r="AP179" s="70"/>
      <c r="AQ179" s="71"/>
      <c r="AR179" s="77"/>
      <c r="AS179" s="70"/>
      <c r="AT179" s="68"/>
      <c r="AU179" s="70"/>
      <c r="AV179" s="70"/>
      <c r="AW179" s="71"/>
      <c r="AX179" s="71"/>
      <c r="AY179" s="70"/>
      <c r="AZ179" s="76"/>
      <c r="BA179" s="76"/>
      <c r="BB179" s="76"/>
      <c r="BC179" s="78"/>
    </row>
    <row r="180" spans="1:55" x14ac:dyDescent="0.25">
      <c r="A180" s="68"/>
      <c r="B180" s="68"/>
      <c r="C180" s="68"/>
      <c r="D180" s="70"/>
      <c r="E180" s="70"/>
      <c r="F180" s="70"/>
      <c r="G180" s="72"/>
      <c r="H180" s="74"/>
      <c r="I180" s="74"/>
      <c r="J180" s="75"/>
      <c r="K180" s="81"/>
      <c r="L180" s="76"/>
      <c r="M180" s="76"/>
      <c r="N180" s="76"/>
      <c r="O180" s="71"/>
      <c r="P180" s="70"/>
      <c r="Q180" s="71"/>
      <c r="R180" s="71"/>
      <c r="S180" s="70"/>
      <c r="T180" s="71"/>
      <c r="U180" s="71"/>
      <c r="V180" s="75"/>
      <c r="W180" s="69"/>
      <c r="X180" s="69"/>
      <c r="Y180" s="69"/>
      <c r="Z180" s="69"/>
      <c r="AA180" s="69"/>
      <c r="AB180" s="69"/>
      <c r="AC180" s="69"/>
      <c r="AD180" s="69"/>
      <c r="AE180" s="76"/>
      <c r="AF180" s="71"/>
      <c r="AG180" s="71"/>
      <c r="AH180" s="71"/>
      <c r="AI180" s="71"/>
      <c r="AJ180" s="71"/>
      <c r="AK180" s="71"/>
      <c r="AL180" s="71"/>
      <c r="AM180" s="71"/>
      <c r="AN180" s="68"/>
      <c r="AO180" s="68"/>
      <c r="AP180" s="70"/>
      <c r="AQ180" s="71"/>
      <c r="AR180" s="77"/>
      <c r="AS180" s="70"/>
      <c r="AT180" s="68"/>
      <c r="AU180" s="70"/>
      <c r="AV180" s="70"/>
      <c r="AW180" s="71"/>
      <c r="AX180" s="71"/>
      <c r="AY180" s="70"/>
      <c r="AZ180" s="76"/>
      <c r="BA180" s="76"/>
      <c r="BB180" s="76"/>
      <c r="BC180" s="78"/>
    </row>
    <row r="181" spans="1:55" x14ac:dyDescent="0.25">
      <c r="A181" s="68"/>
      <c r="B181" s="68"/>
      <c r="C181" s="68"/>
      <c r="D181" s="70"/>
      <c r="E181" s="70"/>
      <c r="F181" s="70"/>
      <c r="G181" s="72"/>
      <c r="H181" s="74"/>
      <c r="I181" s="74"/>
      <c r="J181" s="75"/>
      <c r="K181" s="81"/>
      <c r="L181" s="76"/>
      <c r="M181" s="76"/>
      <c r="N181" s="76"/>
      <c r="O181" s="71"/>
      <c r="P181" s="70"/>
      <c r="Q181" s="71"/>
      <c r="R181" s="71"/>
      <c r="S181" s="70"/>
      <c r="T181" s="71"/>
      <c r="U181" s="71"/>
      <c r="V181" s="75"/>
      <c r="W181" s="69"/>
      <c r="X181" s="69"/>
      <c r="Y181" s="69"/>
      <c r="Z181" s="69"/>
      <c r="AA181" s="69"/>
      <c r="AB181" s="69"/>
      <c r="AC181" s="69"/>
      <c r="AD181" s="69"/>
      <c r="AE181" s="76"/>
      <c r="AF181" s="71"/>
      <c r="AG181" s="71"/>
      <c r="AH181" s="71"/>
      <c r="AI181" s="71"/>
      <c r="AJ181" s="71"/>
      <c r="AK181" s="71"/>
      <c r="AL181" s="71"/>
      <c r="AM181" s="71"/>
      <c r="AN181" s="68"/>
      <c r="AO181" s="68"/>
      <c r="AP181" s="70"/>
      <c r="AQ181" s="71"/>
      <c r="AR181" s="77"/>
      <c r="AS181" s="70"/>
      <c r="AT181" s="68"/>
      <c r="AU181" s="70"/>
      <c r="AV181" s="70"/>
      <c r="AW181" s="71"/>
      <c r="AX181" s="71"/>
      <c r="AY181" s="70"/>
      <c r="AZ181" s="76"/>
      <c r="BA181" s="76"/>
      <c r="BB181" s="76"/>
      <c r="BC181" s="78"/>
    </row>
    <row r="182" spans="1:55" x14ac:dyDescent="0.25">
      <c r="A182" s="68"/>
      <c r="B182" s="68"/>
      <c r="C182" s="68"/>
      <c r="D182" s="70"/>
      <c r="E182" s="70"/>
      <c r="F182" s="70"/>
      <c r="G182" s="72"/>
      <c r="H182" s="74"/>
      <c r="I182" s="74"/>
      <c r="J182" s="75"/>
      <c r="K182" s="81"/>
      <c r="L182" s="76"/>
      <c r="M182" s="76"/>
      <c r="N182" s="76"/>
      <c r="O182" s="71"/>
      <c r="P182" s="70"/>
      <c r="Q182" s="71"/>
      <c r="R182" s="71"/>
      <c r="S182" s="70"/>
      <c r="T182" s="71"/>
      <c r="U182" s="71"/>
      <c r="V182" s="75"/>
      <c r="W182" s="69"/>
      <c r="X182" s="69"/>
      <c r="Y182" s="69"/>
      <c r="Z182" s="69"/>
      <c r="AA182" s="69"/>
      <c r="AB182" s="69"/>
      <c r="AC182" s="69"/>
      <c r="AD182" s="69"/>
      <c r="AE182" s="76"/>
      <c r="AF182" s="71"/>
      <c r="AG182" s="71"/>
      <c r="AH182" s="71"/>
      <c r="AI182" s="71"/>
      <c r="AJ182" s="71"/>
      <c r="AK182" s="71"/>
      <c r="AL182" s="71"/>
      <c r="AM182" s="71"/>
      <c r="AN182" s="68"/>
      <c r="AO182" s="68"/>
      <c r="AP182" s="70"/>
      <c r="AQ182" s="71"/>
      <c r="AR182" s="77"/>
      <c r="AS182" s="70"/>
      <c r="AT182" s="68"/>
      <c r="AU182" s="70"/>
      <c r="AV182" s="70"/>
      <c r="AW182" s="71"/>
      <c r="AX182" s="71"/>
      <c r="AY182" s="70"/>
      <c r="AZ182" s="76"/>
      <c r="BA182" s="76"/>
      <c r="BB182" s="76"/>
      <c r="BC182" s="78"/>
    </row>
    <row r="183" spans="1:55" x14ac:dyDescent="0.25">
      <c r="A183" s="68"/>
      <c r="B183" s="68"/>
      <c r="C183" s="68"/>
      <c r="D183" s="70"/>
      <c r="E183" s="70"/>
      <c r="F183" s="70"/>
      <c r="G183" s="72"/>
      <c r="H183" s="74"/>
      <c r="I183" s="74"/>
      <c r="J183" s="75"/>
      <c r="K183" s="81"/>
      <c r="L183" s="76"/>
      <c r="M183" s="76"/>
      <c r="N183" s="76"/>
      <c r="O183" s="71"/>
      <c r="P183" s="70"/>
      <c r="Q183" s="71"/>
      <c r="R183" s="71"/>
      <c r="S183" s="70"/>
      <c r="T183" s="71"/>
      <c r="U183" s="71"/>
      <c r="V183" s="75"/>
      <c r="W183" s="69"/>
      <c r="X183" s="69"/>
      <c r="Y183" s="69"/>
      <c r="Z183" s="69"/>
      <c r="AA183" s="69"/>
      <c r="AB183" s="69"/>
      <c r="AC183" s="69"/>
      <c r="AD183" s="69"/>
      <c r="AE183" s="76"/>
      <c r="AF183" s="71"/>
      <c r="AG183" s="71"/>
      <c r="AH183" s="71"/>
      <c r="AI183" s="71"/>
      <c r="AJ183" s="71"/>
      <c r="AK183" s="71"/>
      <c r="AL183" s="71"/>
      <c r="AM183" s="71"/>
      <c r="AN183" s="68"/>
      <c r="AO183" s="68"/>
      <c r="AP183" s="70"/>
      <c r="AQ183" s="71"/>
      <c r="AR183" s="77"/>
      <c r="AS183" s="70"/>
      <c r="AT183" s="68"/>
      <c r="AU183" s="70"/>
      <c r="AV183" s="70"/>
      <c r="AW183" s="71"/>
      <c r="AX183" s="71"/>
      <c r="AY183" s="70"/>
      <c r="AZ183" s="76"/>
      <c r="BA183" s="76"/>
      <c r="BB183" s="76"/>
      <c r="BC183" s="78"/>
    </row>
    <row r="184" spans="1:55" x14ac:dyDescent="0.25">
      <c r="A184" s="68"/>
      <c r="B184" s="68"/>
      <c r="C184" s="68"/>
      <c r="D184" s="70"/>
      <c r="E184" s="70"/>
      <c r="F184" s="70"/>
      <c r="G184" s="72"/>
      <c r="H184" s="74"/>
      <c r="I184" s="74"/>
      <c r="J184" s="75"/>
      <c r="K184" s="81"/>
      <c r="L184" s="76"/>
      <c r="M184" s="76"/>
      <c r="N184" s="76"/>
      <c r="O184" s="71"/>
      <c r="P184" s="70"/>
      <c r="Q184" s="71"/>
      <c r="R184" s="71"/>
      <c r="S184" s="70"/>
      <c r="T184" s="71"/>
      <c r="U184" s="71"/>
      <c r="V184" s="75"/>
      <c r="W184" s="69"/>
      <c r="X184" s="69"/>
      <c r="Y184" s="69"/>
      <c r="Z184" s="69"/>
      <c r="AA184" s="69"/>
      <c r="AB184" s="69"/>
      <c r="AC184" s="69"/>
      <c r="AD184" s="69"/>
      <c r="AE184" s="76"/>
      <c r="AF184" s="71"/>
      <c r="AG184" s="71"/>
      <c r="AH184" s="71"/>
      <c r="AI184" s="71"/>
      <c r="AJ184" s="71"/>
      <c r="AK184" s="71"/>
      <c r="AL184" s="71"/>
      <c r="AM184" s="71"/>
      <c r="AN184" s="68"/>
      <c r="AO184" s="68"/>
      <c r="AP184" s="70"/>
      <c r="AQ184" s="71"/>
      <c r="AR184" s="77"/>
      <c r="AS184" s="70"/>
      <c r="AT184" s="68"/>
      <c r="AU184" s="70"/>
      <c r="AV184" s="70"/>
      <c r="AW184" s="71"/>
      <c r="AX184" s="71"/>
      <c r="AY184" s="70"/>
      <c r="AZ184" s="76"/>
      <c r="BA184" s="76"/>
      <c r="BB184" s="76"/>
      <c r="BC184" s="78"/>
    </row>
    <row r="185" spans="1:55" x14ac:dyDescent="0.25">
      <c r="A185" s="68"/>
      <c r="B185" s="68"/>
      <c r="C185" s="68"/>
      <c r="D185" s="70"/>
      <c r="E185" s="70"/>
      <c r="F185" s="70"/>
      <c r="G185" s="72"/>
      <c r="H185" s="74"/>
      <c r="I185" s="74"/>
      <c r="J185" s="75"/>
      <c r="K185" s="81"/>
      <c r="L185" s="76"/>
      <c r="M185" s="76"/>
      <c r="N185" s="76"/>
      <c r="O185" s="71"/>
      <c r="P185" s="70"/>
      <c r="Q185" s="71"/>
      <c r="R185" s="71"/>
      <c r="S185" s="70"/>
      <c r="T185" s="71"/>
      <c r="U185" s="71"/>
      <c r="V185" s="75"/>
      <c r="W185" s="69"/>
      <c r="X185" s="69"/>
      <c r="Y185" s="69"/>
      <c r="Z185" s="69"/>
      <c r="AA185" s="69"/>
      <c r="AB185" s="69"/>
      <c r="AC185" s="69"/>
      <c r="AD185" s="69"/>
      <c r="AE185" s="76"/>
      <c r="AF185" s="71"/>
      <c r="AG185" s="71"/>
      <c r="AH185" s="71"/>
      <c r="AI185" s="71"/>
      <c r="AJ185" s="71"/>
      <c r="AK185" s="71"/>
      <c r="AL185" s="71"/>
      <c r="AM185" s="71"/>
      <c r="AN185" s="68"/>
      <c r="AO185" s="68"/>
      <c r="AP185" s="70"/>
      <c r="AQ185" s="71"/>
      <c r="AR185" s="77"/>
      <c r="AS185" s="70"/>
      <c r="AT185" s="68"/>
      <c r="AU185" s="70"/>
      <c r="AV185" s="70"/>
      <c r="AW185" s="71"/>
      <c r="AX185" s="71"/>
      <c r="AY185" s="70"/>
      <c r="AZ185" s="76"/>
      <c r="BA185" s="76"/>
      <c r="BB185" s="76"/>
      <c r="BC185" s="78"/>
    </row>
    <row r="186" spans="1:55" x14ac:dyDescent="0.25">
      <c r="A186" s="68"/>
      <c r="B186" s="68"/>
      <c r="C186" s="68"/>
      <c r="D186" s="70"/>
      <c r="E186" s="70"/>
      <c r="F186" s="70"/>
      <c r="G186" s="72"/>
      <c r="H186" s="74"/>
      <c r="I186" s="74"/>
      <c r="J186" s="75"/>
      <c r="K186" s="81"/>
      <c r="L186" s="76"/>
      <c r="M186" s="76"/>
      <c r="N186" s="76"/>
      <c r="O186" s="71"/>
      <c r="P186" s="70"/>
      <c r="Q186" s="71"/>
      <c r="R186" s="71"/>
      <c r="S186" s="70"/>
      <c r="T186" s="71"/>
      <c r="U186" s="71"/>
      <c r="V186" s="75"/>
      <c r="W186" s="69"/>
      <c r="X186" s="69"/>
      <c r="Y186" s="69"/>
      <c r="Z186" s="69"/>
      <c r="AA186" s="69"/>
      <c r="AB186" s="69"/>
      <c r="AC186" s="69"/>
      <c r="AD186" s="69"/>
      <c r="AE186" s="76"/>
      <c r="AF186" s="71"/>
      <c r="AG186" s="71"/>
      <c r="AH186" s="71"/>
      <c r="AI186" s="71"/>
      <c r="AJ186" s="71"/>
      <c r="AK186" s="71"/>
      <c r="AL186" s="71"/>
      <c r="AM186" s="71"/>
      <c r="AN186" s="68"/>
      <c r="AO186" s="68"/>
      <c r="AP186" s="70"/>
      <c r="AQ186" s="71"/>
      <c r="AR186" s="77"/>
      <c r="AS186" s="70"/>
      <c r="AT186" s="68"/>
      <c r="AU186" s="70"/>
      <c r="AV186" s="70"/>
      <c r="AW186" s="71"/>
      <c r="AX186" s="71"/>
      <c r="AY186" s="70"/>
      <c r="AZ186" s="76"/>
      <c r="BA186" s="76"/>
      <c r="BB186" s="76"/>
      <c r="BC186" s="78"/>
    </row>
    <row r="187" spans="1:55" x14ac:dyDescent="0.25">
      <c r="A187" s="68"/>
      <c r="B187" s="68"/>
      <c r="C187" s="68"/>
      <c r="D187" s="70"/>
      <c r="E187" s="70"/>
      <c r="F187" s="70"/>
      <c r="G187" s="72"/>
      <c r="H187" s="74"/>
      <c r="I187" s="74"/>
      <c r="J187" s="75"/>
      <c r="K187" s="81"/>
      <c r="L187" s="76"/>
      <c r="M187" s="76"/>
      <c r="N187" s="76"/>
      <c r="O187" s="71"/>
      <c r="P187" s="70"/>
      <c r="Q187" s="71"/>
      <c r="R187" s="71"/>
      <c r="S187" s="70"/>
      <c r="T187" s="71"/>
      <c r="U187" s="71"/>
      <c r="V187" s="75"/>
      <c r="W187" s="69"/>
      <c r="X187" s="69"/>
      <c r="Y187" s="69"/>
      <c r="Z187" s="69"/>
      <c r="AA187" s="69"/>
      <c r="AB187" s="69"/>
      <c r="AC187" s="69"/>
      <c r="AD187" s="69"/>
      <c r="AE187" s="76"/>
      <c r="AF187" s="71"/>
      <c r="AG187" s="71"/>
      <c r="AH187" s="71"/>
      <c r="AI187" s="71"/>
      <c r="AJ187" s="71"/>
      <c r="AK187" s="71"/>
      <c r="AL187" s="71"/>
      <c r="AM187" s="71"/>
      <c r="AN187" s="68"/>
      <c r="AO187" s="68"/>
      <c r="AP187" s="70"/>
      <c r="AQ187" s="71"/>
      <c r="AR187" s="77"/>
      <c r="AS187" s="70"/>
      <c r="AT187" s="68"/>
      <c r="AU187" s="70"/>
      <c r="AV187" s="70"/>
      <c r="AW187" s="71"/>
      <c r="AX187" s="71"/>
      <c r="AY187" s="70"/>
      <c r="AZ187" s="76"/>
      <c r="BA187" s="76"/>
      <c r="BB187" s="76"/>
      <c r="BC187" s="78"/>
    </row>
    <row r="188" spans="1:55" x14ac:dyDescent="0.25">
      <c r="A188" s="68"/>
      <c r="B188" s="68"/>
      <c r="C188" s="68"/>
      <c r="D188" s="70"/>
      <c r="E188" s="70"/>
      <c r="F188" s="70"/>
      <c r="G188" s="72"/>
      <c r="H188" s="74"/>
      <c r="I188" s="74"/>
      <c r="J188" s="75"/>
      <c r="K188" s="81"/>
      <c r="L188" s="76"/>
      <c r="M188" s="76"/>
      <c r="N188" s="76"/>
      <c r="O188" s="71"/>
      <c r="P188" s="70"/>
      <c r="Q188" s="71"/>
      <c r="R188" s="71"/>
      <c r="S188" s="70"/>
      <c r="T188" s="71"/>
      <c r="U188" s="71"/>
      <c r="V188" s="75"/>
      <c r="W188" s="69"/>
      <c r="X188" s="69"/>
      <c r="Y188" s="69"/>
      <c r="Z188" s="69"/>
      <c r="AA188" s="69"/>
      <c r="AB188" s="69"/>
      <c r="AC188" s="69"/>
      <c r="AD188" s="69"/>
      <c r="AE188" s="76"/>
      <c r="AF188" s="71"/>
      <c r="AG188" s="71"/>
      <c r="AH188" s="71"/>
      <c r="AI188" s="71"/>
      <c r="AJ188" s="71"/>
      <c r="AK188" s="71"/>
      <c r="AL188" s="71"/>
      <c r="AM188" s="71"/>
      <c r="AN188" s="68"/>
      <c r="AO188" s="68"/>
      <c r="AP188" s="70"/>
      <c r="AQ188" s="71"/>
      <c r="AR188" s="77"/>
      <c r="AS188" s="70"/>
      <c r="AT188" s="68"/>
      <c r="AU188" s="70"/>
      <c r="AV188" s="70"/>
      <c r="AW188" s="71"/>
      <c r="AX188" s="71"/>
      <c r="AY188" s="70"/>
      <c r="AZ188" s="76"/>
      <c r="BA188" s="76"/>
      <c r="BB188" s="76"/>
      <c r="BC188" s="78"/>
    </row>
    <row r="189" spans="1:55" x14ac:dyDescent="0.25">
      <c r="A189" s="68"/>
      <c r="B189" s="68"/>
      <c r="C189" s="68"/>
      <c r="D189" s="70"/>
      <c r="E189" s="70"/>
      <c r="F189" s="70"/>
      <c r="G189" s="72"/>
      <c r="H189" s="74"/>
      <c r="I189" s="74"/>
      <c r="J189" s="75"/>
      <c r="K189" s="81"/>
      <c r="L189" s="76"/>
      <c r="M189" s="76"/>
      <c r="N189" s="76"/>
      <c r="O189" s="71"/>
      <c r="P189" s="70"/>
      <c r="Q189" s="71"/>
      <c r="R189" s="71"/>
      <c r="S189" s="70"/>
      <c r="T189" s="71"/>
      <c r="U189" s="71"/>
      <c r="V189" s="75"/>
      <c r="W189" s="69"/>
      <c r="X189" s="69"/>
      <c r="Y189" s="69"/>
      <c r="Z189" s="69"/>
      <c r="AA189" s="69"/>
      <c r="AB189" s="69"/>
      <c r="AC189" s="69"/>
      <c r="AD189" s="69"/>
      <c r="AE189" s="76"/>
      <c r="AF189" s="71"/>
      <c r="AG189" s="71"/>
      <c r="AH189" s="71"/>
      <c r="AI189" s="71"/>
      <c r="AJ189" s="71"/>
      <c r="AK189" s="71"/>
      <c r="AL189" s="71"/>
      <c r="AM189" s="71"/>
      <c r="AN189" s="68"/>
      <c r="AO189" s="68"/>
      <c r="AP189" s="70"/>
      <c r="AQ189" s="71"/>
      <c r="AR189" s="77"/>
      <c r="AS189" s="70"/>
      <c r="AT189" s="68"/>
      <c r="AU189" s="70"/>
      <c r="AV189" s="70"/>
      <c r="AW189" s="71"/>
      <c r="AX189" s="71"/>
      <c r="AY189" s="70"/>
      <c r="AZ189" s="76"/>
      <c r="BA189" s="76"/>
      <c r="BB189" s="76"/>
      <c r="BC189" s="78"/>
    </row>
    <row r="190" spans="1:55" x14ac:dyDescent="0.25">
      <c r="A190" s="68"/>
      <c r="B190" s="68"/>
      <c r="C190" s="68"/>
      <c r="D190" s="70"/>
      <c r="E190" s="70"/>
      <c r="F190" s="70"/>
      <c r="G190" s="72"/>
      <c r="H190" s="74"/>
      <c r="I190" s="74"/>
      <c r="J190" s="75"/>
      <c r="K190" s="81"/>
      <c r="L190" s="76"/>
      <c r="M190" s="76"/>
      <c r="N190" s="76"/>
      <c r="O190" s="71"/>
      <c r="P190" s="70"/>
      <c r="Q190" s="71"/>
      <c r="R190" s="71"/>
      <c r="S190" s="70"/>
      <c r="T190" s="71"/>
      <c r="U190" s="71"/>
      <c r="V190" s="75"/>
      <c r="W190" s="69"/>
      <c r="X190" s="69"/>
      <c r="Y190" s="69"/>
      <c r="Z190" s="69"/>
      <c r="AA190" s="69"/>
      <c r="AB190" s="69"/>
      <c r="AC190" s="69"/>
      <c r="AD190" s="69"/>
      <c r="AE190" s="76"/>
      <c r="AF190" s="71"/>
      <c r="AG190" s="71"/>
      <c r="AH190" s="71"/>
      <c r="AI190" s="71"/>
      <c r="AJ190" s="71"/>
      <c r="AK190" s="71"/>
      <c r="AL190" s="71"/>
      <c r="AM190" s="71"/>
      <c r="AN190" s="68"/>
      <c r="AO190" s="68"/>
      <c r="AP190" s="70"/>
      <c r="AQ190" s="71"/>
      <c r="AR190" s="77"/>
      <c r="AS190" s="70"/>
      <c r="AT190" s="68"/>
      <c r="AU190" s="70"/>
      <c r="AV190" s="70"/>
      <c r="AW190" s="71"/>
      <c r="AX190" s="71"/>
      <c r="AY190" s="70"/>
      <c r="AZ190" s="76"/>
      <c r="BA190" s="76"/>
      <c r="BB190" s="76"/>
      <c r="BC190" s="78"/>
    </row>
    <row r="191" spans="1:55" x14ac:dyDescent="0.25">
      <c r="A191" s="68"/>
      <c r="B191" s="68"/>
      <c r="C191" s="68"/>
      <c r="D191" s="70"/>
      <c r="E191" s="70"/>
      <c r="F191" s="70"/>
      <c r="G191" s="72"/>
      <c r="H191" s="74"/>
      <c r="I191" s="74"/>
      <c r="J191" s="75"/>
      <c r="K191" s="81"/>
      <c r="L191" s="76"/>
      <c r="M191" s="76"/>
      <c r="N191" s="76"/>
      <c r="O191" s="71"/>
      <c r="P191" s="70"/>
      <c r="Q191" s="71"/>
      <c r="R191" s="71"/>
      <c r="S191" s="70"/>
      <c r="T191" s="71"/>
      <c r="U191" s="71"/>
      <c r="V191" s="75"/>
      <c r="W191" s="69"/>
      <c r="X191" s="69"/>
      <c r="Y191" s="69"/>
      <c r="Z191" s="69"/>
      <c r="AA191" s="69"/>
      <c r="AB191" s="69"/>
      <c r="AC191" s="69"/>
      <c r="AD191" s="69"/>
      <c r="AE191" s="76"/>
      <c r="AF191" s="71"/>
      <c r="AG191" s="71"/>
      <c r="AH191" s="71"/>
      <c r="AI191" s="71"/>
      <c r="AJ191" s="71"/>
      <c r="AK191" s="71"/>
      <c r="AL191" s="71"/>
      <c r="AM191" s="71"/>
      <c r="AN191" s="68"/>
      <c r="AO191" s="68"/>
      <c r="AP191" s="70"/>
      <c r="AQ191" s="71"/>
      <c r="AR191" s="77"/>
      <c r="AS191" s="70"/>
      <c r="AT191" s="68"/>
      <c r="AU191" s="70"/>
      <c r="AV191" s="70"/>
      <c r="AW191" s="71"/>
      <c r="AX191" s="71"/>
      <c r="AY191" s="70"/>
      <c r="AZ191" s="76"/>
      <c r="BA191" s="76"/>
      <c r="BB191" s="76"/>
      <c r="BC191" s="78"/>
    </row>
    <row r="192" spans="1:55" x14ac:dyDescent="0.25">
      <c r="A192" s="68"/>
      <c r="B192" s="68"/>
      <c r="C192" s="68"/>
      <c r="D192" s="70"/>
      <c r="E192" s="70"/>
      <c r="F192" s="70"/>
      <c r="G192" s="72"/>
      <c r="H192" s="74"/>
      <c r="I192" s="74"/>
      <c r="J192" s="75"/>
      <c r="K192" s="81"/>
      <c r="L192" s="76"/>
      <c r="M192" s="76"/>
      <c r="N192" s="76"/>
      <c r="O192" s="71"/>
      <c r="P192" s="70"/>
      <c r="Q192" s="71"/>
      <c r="R192" s="71"/>
      <c r="S192" s="70"/>
      <c r="T192" s="71"/>
      <c r="U192" s="71"/>
      <c r="V192" s="75"/>
      <c r="W192" s="69"/>
      <c r="X192" s="69"/>
      <c r="Y192" s="69"/>
      <c r="Z192" s="69"/>
      <c r="AA192" s="69"/>
      <c r="AB192" s="69"/>
      <c r="AC192" s="69"/>
      <c r="AD192" s="69"/>
      <c r="AE192" s="76"/>
      <c r="AF192" s="71"/>
      <c r="AG192" s="71"/>
      <c r="AH192" s="71"/>
      <c r="AI192" s="71"/>
      <c r="AJ192" s="71"/>
      <c r="AK192" s="71"/>
      <c r="AL192" s="71"/>
      <c r="AM192" s="71"/>
      <c r="AN192" s="68"/>
      <c r="AO192" s="68"/>
      <c r="AP192" s="70"/>
      <c r="AQ192" s="71"/>
      <c r="AR192" s="77"/>
      <c r="AS192" s="70"/>
      <c r="AT192" s="68"/>
      <c r="AU192" s="70"/>
      <c r="AV192" s="70"/>
      <c r="AW192" s="71"/>
      <c r="AX192" s="71"/>
      <c r="AY192" s="70"/>
      <c r="AZ192" s="76"/>
      <c r="BA192" s="76"/>
      <c r="BB192" s="76"/>
      <c r="BC192" s="78"/>
    </row>
    <row r="193" spans="1:55" x14ac:dyDescent="0.25">
      <c r="A193" s="68"/>
      <c r="B193" s="68"/>
      <c r="C193" s="68"/>
      <c r="D193" s="70"/>
      <c r="E193" s="70"/>
      <c r="F193" s="70"/>
      <c r="G193" s="72"/>
      <c r="H193" s="74"/>
      <c r="I193" s="74"/>
      <c r="J193" s="75"/>
      <c r="K193" s="81"/>
      <c r="L193" s="76"/>
      <c r="M193" s="76"/>
      <c r="N193" s="76"/>
      <c r="O193" s="71"/>
      <c r="P193" s="70"/>
      <c r="Q193" s="71"/>
      <c r="R193" s="71"/>
      <c r="S193" s="70"/>
      <c r="T193" s="71"/>
      <c r="U193" s="71"/>
      <c r="V193" s="75"/>
      <c r="W193" s="69"/>
      <c r="X193" s="69"/>
      <c r="Y193" s="69"/>
      <c r="Z193" s="69"/>
      <c r="AA193" s="69"/>
      <c r="AB193" s="69"/>
      <c r="AC193" s="69"/>
      <c r="AD193" s="69"/>
      <c r="AE193" s="76"/>
      <c r="AF193" s="71"/>
      <c r="AG193" s="71"/>
      <c r="AH193" s="71"/>
      <c r="AI193" s="71"/>
      <c r="AJ193" s="71"/>
      <c r="AK193" s="71"/>
      <c r="AL193" s="71"/>
      <c r="AM193" s="71"/>
      <c r="AN193" s="68"/>
      <c r="AO193" s="68"/>
      <c r="AP193" s="70"/>
      <c r="AQ193" s="71"/>
      <c r="AR193" s="77"/>
      <c r="AS193" s="70"/>
      <c r="AT193" s="68"/>
      <c r="AU193" s="70"/>
      <c r="AV193" s="70"/>
      <c r="AW193" s="71"/>
      <c r="AX193" s="71"/>
      <c r="AY193" s="70"/>
      <c r="AZ193" s="76"/>
      <c r="BA193" s="76"/>
      <c r="BB193" s="76"/>
      <c r="BC193" s="78"/>
    </row>
    <row r="194" spans="1:55" x14ac:dyDescent="0.25">
      <c r="A194" s="68"/>
      <c r="B194" s="68"/>
      <c r="C194" s="68"/>
      <c r="D194" s="70"/>
      <c r="E194" s="70"/>
      <c r="F194" s="70"/>
      <c r="G194" s="72"/>
      <c r="H194" s="74"/>
      <c r="I194" s="74"/>
      <c r="J194" s="75"/>
      <c r="K194" s="81"/>
      <c r="L194" s="76"/>
      <c r="M194" s="76"/>
      <c r="N194" s="76"/>
      <c r="O194" s="71"/>
      <c r="P194" s="70"/>
      <c r="Q194" s="71"/>
      <c r="R194" s="71"/>
      <c r="S194" s="70"/>
      <c r="T194" s="71"/>
      <c r="U194" s="71"/>
      <c r="V194" s="75"/>
      <c r="W194" s="69"/>
      <c r="X194" s="69"/>
      <c r="Y194" s="69"/>
      <c r="Z194" s="69"/>
      <c r="AA194" s="69"/>
      <c r="AB194" s="69"/>
      <c r="AC194" s="69"/>
      <c r="AD194" s="69"/>
      <c r="AE194" s="76"/>
      <c r="AF194" s="71"/>
      <c r="AG194" s="71"/>
      <c r="AH194" s="71"/>
      <c r="AI194" s="71"/>
      <c r="AJ194" s="71"/>
      <c r="AK194" s="71"/>
      <c r="AL194" s="71"/>
      <c r="AM194" s="71"/>
      <c r="AN194" s="68"/>
      <c r="AO194" s="68"/>
      <c r="AP194" s="70"/>
      <c r="AQ194" s="71"/>
      <c r="AR194" s="77"/>
      <c r="AS194" s="70"/>
      <c r="AT194" s="68"/>
      <c r="AU194" s="70"/>
      <c r="AV194" s="70"/>
      <c r="AW194" s="71"/>
      <c r="AX194" s="71"/>
      <c r="AY194" s="70"/>
      <c r="AZ194" s="76"/>
      <c r="BA194" s="76"/>
      <c r="BB194" s="76"/>
      <c r="BC194" s="78"/>
    </row>
    <row r="195" spans="1:55" x14ac:dyDescent="0.25">
      <c r="A195" s="68"/>
      <c r="B195" s="68"/>
      <c r="C195" s="68"/>
      <c r="D195" s="70"/>
      <c r="E195" s="70"/>
      <c r="F195" s="70"/>
      <c r="G195" s="72"/>
      <c r="H195" s="74"/>
      <c r="I195" s="74"/>
      <c r="J195" s="75"/>
      <c r="K195" s="81"/>
      <c r="L195" s="76"/>
      <c r="M195" s="76"/>
      <c r="N195" s="76"/>
      <c r="O195" s="71"/>
      <c r="P195" s="70"/>
      <c r="Q195" s="71"/>
      <c r="R195" s="71"/>
      <c r="S195" s="70"/>
      <c r="T195" s="71"/>
      <c r="U195" s="71"/>
      <c r="V195" s="75"/>
      <c r="W195" s="69"/>
      <c r="X195" s="69"/>
      <c r="Y195" s="69"/>
      <c r="Z195" s="69"/>
      <c r="AA195" s="69"/>
      <c r="AB195" s="69"/>
      <c r="AC195" s="69"/>
      <c r="AD195" s="69"/>
      <c r="AE195" s="76"/>
      <c r="AF195" s="71"/>
      <c r="AG195" s="71"/>
      <c r="AH195" s="71"/>
      <c r="AI195" s="71"/>
      <c r="AJ195" s="71"/>
      <c r="AK195" s="71"/>
      <c r="AL195" s="71"/>
      <c r="AM195" s="71"/>
      <c r="AN195" s="68"/>
      <c r="AO195" s="68"/>
      <c r="AP195" s="70"/>
      <c r="AQ195" s="71"/>
      <c r="AR195" s="77"/>
      <c r="AS195" s="70"/>
      <c r="AT195" s="68"/>
      <c r="AU195" s="70"/>
      <c r="AV195" s="70"/>
      <c r="AW195" s="71"/>
      <c r="AX195" s="71"/>
      <c r="AY195" s="70"/>
      <c r="AZ195" s="76"/>
      <c r="BA195" s="76"/>
      <c r="BB195" s="76"/>
      <c r="BC195" s="78"/>
    </row>
    <row r="196" spans="1:55" x14ac:dyDescent="0.25">
      <c r="A196" s="68"/>
      <c r="B196" s="68"/>
      <c r="C196" s="68"/>
      <c r="D196" s="70"/>
      <c r="E196" s="70"/>
      <c r="F196" s="70"/>
      <c r="G196" s="72"/>
      <c r="H196" s="74"/>
      <c r="I196" s="74"/>
      <c r="J196" s="75"/>
      <c r="K196" s="81"/>
      <c r="L196" s="76"/>
      <c r="M196" s="76"/>
      <c r="N196" s="76"/>
      <c r="O196" s="71"/>
      <c r="P196" s="70"/>
      <c r="Q196" s="71"/>
      <c r="R196" s="71"/>
      <c r="S196" s="70"/>
      <c r="T196" s="71"/>
      <c r="U196" s="71"/>
      <c r="V196" s="75"/>
      <c r="W196" s="69"/>
      <c r="X196" s="69"/>
      <c r="Y196" s="69"/>
      <c r="Z196" s="69"/>
      <c r="AA196" s="69"/>
      <c r="AB196" s="69"/>
      <c r="AC196" s="69"/>
      <c r="AD196" s="69"/>
      <c r="AE196" s="76"/>
      <c r="AF196" s="71"/>
      <c r="AG196" s="71"/>
      <c r="AH196" s="71"/>
      <c r="AI196" s="71"/>
      <c r="AJ196" s="71"/>
      <c r="AK196" s="71"/>
      <c r="AL196" s="71"/>
      <c r="AM196" s="71"/>
      <c r="AN196" s="68"/>
      <c r="AO196" s="68"/>
      <c r="AP196" s="70"/>
      <c r="AQ196" s="71"/>
      <c r="AR196" s="77"/>
      <c r="AS196" s="70"/>
      <c r="AT196" s="68"/>
      <c r="AU196" s="70"/>
      <c r="AV196" s="70"/>
      <c r="AW196" s="71"/>
      <c r="AX196" s="71"/>
      <c r="AY196" s="70"/>
      <c r="AZ196" s="76"/>
      <c r="BA196" s="76"/>
      <c r="BB196" s="76"/>
      <c r="BC196" s="78"/>
    </row>
    <row r="197" spans="1:55" x14ac:dyDescent="0.25">
      <c r="A197" s="68"/>
      <c r="B197" s="68"/>
      <c r="C197" s="68"/>
      <c r="D197" s="70"/>
      <c r="E197" s="70"/>
      <c r="F197" s="70"/>
      <c r="G197" s="72"/>
      <c r="H197" s="74"/>
      <c r="I197" s="74"/>
      <c r="J197" s="75"/>
      <c r="K197" s="81"/>
      <c r="L197" s="76"/>
      <c r="M197" s="76"/>
      <c r="N197" s="76"/>
      <c r="O197" s="71"/>
      <c r="P197" s="70"/>
      <c r="Q197" s="71"/>
      <c r="R197" s="71"/>
      <c r="S197" s="70"/>
      <c r="T197" s="71"/>
      <c r="U197" s="71"/>
      <c r="V197" s="75"/>
      <c r="W197" s="69"/>
      <c r="X197" s="69"/>
      <c r="Y197" s="69"/>
      <c r="Z197" s="69"/>
      <c r="AA197" s="69"/>
      <c r="AB197" s="69"/>
      <c r="AC197" s="69"/>
      <c r="AD197" s="69"/>
      <c r="AE197" s="76"/>
      <c r="AF197" s="71"/>
      <c r="AG197" s="71"/>
      <c r="AH197" s="71"/>
      <c r="AI197" s="71"/>
      <c r="AJ197" s="71"/>
      <c r="AK197" s="71"/>
      <c r="AL197" s="71"/>
      <c r="AM197" s="71"/>
      <c r="AN197" s="68"/>
      <c r="AO197" s="68"/>
      <c r="AP197" s="70"/>
      <c r="AQ197" s="71"/>
      <c r="AR197" s="77"/>
      <c r="AS197" s="70"/>
      <c r="AT197" s="68"/>
      <c r="AU197" s="70"/>
      <c r="AV197" s="70"/>
      <c r="AW197" s="71"/>
      <c r="AX197" s="71"/>
      <c r="AY197" s="70"/>
      <c r="AZ197" s="76"/>
      <c r="BA197" s="76"/>
      <c r="BB197" s="76"/>
      <c r="BC197" s="78"/>
    </row>
    <row r="198" spans="1:55" x14ac:dyDescent="0.25">
      <c r="A198" s="68"/>
      <c r="B198" s="68"/>
      <c r="C198" s="68"/>
      <c r="D198" s="70"/>
      <c r="E198" s="70"/>
      <c r="F198" s="70"/>
      <c r="G198" s="72"/>
      <c r="H198" s="74"/>
      <c r="I198" s="74"/>
      <c r="J198" s="75"/>
      <c r="K198" s="81"/>
      <c r="L198" s="76"/>
      <c r="M198" s="76"/>
      <c r="N198" s="76"/>
      <c r="O198" s="71"/>
      <c r="P198" s="70"/>
      <c r="Q198" s="71"/>
      <c r="R198" s="71"/>
      <c r="S198" s="70"/>
      <c r="T198" s="71"/>
      <c r="U198" s="71"/>
      <c r="V198" s="75"/>
      <c r="W198" s="69"/>
      <c r="X198" s="69"/>
      <c r="Y198" s="69"/>
      <c r="Z198" s="69"/>
      <c r="AA198" s="69"/>
      <c r="AB198" s="69"/>
      <c r="AC198" s="69"/>
      <c r="AD198" s="69"/>
      <c r="AE198" s="76"/>
      <c r="AF198" s="71"/>
      <c r="AG198" s="71"/>
      <c r="AH198" s="71"/>
      <c r="AI198" s="71"/>
      <c r="AJ198" s="71"/>
      <c r="AK198" s="71"/>
      <c r="AL198" s="71"/>
      <c r="AM198" s="71"/>
      <c r="AN198" s="68"/>
      <c r="AO198" s="68"/>
      <c r="AP198" s="70"/>
      <c r="AQ198" s="71"/>
      <c r="AR198" s="77"/>
      <c r="AS198" s="70"/>
      <c r="AT198" s="68"/>
      <c r="AU198" s="70"/>
      <c r="AV198" s="70"/>
      <c r="AW198" s="71"/>
      <c r="AX198" s="71"/>
      <c r="AY198" s="70"/>
      <c r="AZ198" s="76"/>
      <c r="BA198" s="76"/>
      <c r="BB198" s="76"/>
      <c r="BC198" s="78"/>
    </row>
    <row r="199" spans="1:55" x14ac:dyDescent="0.25">
      <c r="A199" s="68"/>
      <c r="B199" s="68"/>
      <c r="C199" s="68"/>
      <c r="D199" s="70"/>
      <c r="E199" s="70"/>
      <c r="F199" s="70"/>
      <c r="G199" s="72"/>
      <c r="H199" s="74"/>
      <c r="I199" s="74"/>
      <c r="J199" s="75"/>
      <c r="K199" s="81"/>
      <c r="L199" s="76"/>
      <c r="M199" s="76"/>
      <c r="N199" s="76"/>
      <c r="O199" s="71"/>
      <c r="P199" s="70"/>
      <c r="Q199" s="71"/>
      <c r="R199" s="71"/>
      <c r="S199" s="70"/>
      <c r="T199" s="71"/>
      <c r="U199" s="71"/>
      <c r="V199" s="75"/>
      <c r="W199" s="69"/>
      <c r="X199" s="69"/>
      <c r="Y199" s="69"/>
      <c r="Z199" s="69"/>
      <c r="AA199" s="69"/>
      <c r="AB199" s="69"/>
      <c r="AC199" s="69"/>
      <c r="AD199" s="69"/>
      <c r="AE199" s="76"/>
      <c r="AF199" s="71"/>
      <c r="AG199" s="71"/>
      <c r="AH199" s="71"/>
      <c r="AI199" s="71"/>
      <c r="AJ199" s="71"/>
      <c r="AK199" s="71"/>
      <c r="AL199" s="71"/>
      <c r="AM199" s="71"/>
      <c r="AN199" s="68"/>
      <c r="AO199" s="68"/>
      <c r="AP199" s="70"/>
      <c r="AQ199" s="71"/>
      <c r="AR199" s="77"/>
      <c r="AS199" s="70"/>
      <c r="AT199" s="68"/>
      <c r="AU199" s="70"/>
      <c r="AV199" s="70"/>
      <c r="AW199" s="71"/>
      <c r="AX199" s="71"/>
      <c r="AY199" s="70"/>
      <c r="AZ199" s="76"/>
      <c r="BA199" s="76"/>
      <c r="BB199" s="76"/>
      <c r="BC199" s="78"/>
    </row>
    <row r="200" spans="1:55" x14ac:dyDescent="0.25">
      <c r="A200" s="68"/>
      <c r="B200" s="68"/>
      <c r="C200" s="68"/>
      <c r="D200" s="70"/>
      <c r="E200" s="70"/>
      <c r="F200" s="70"/>
      <c r="G200" s="72"/>
      <c r="H200" s="74"/>
      <c r="I200" s="74"/>
      <c r="J200" s="75"/>
      <c r="K200" s="81"/>
      <c r="L200" s="76"/>
      <c r="M200" s="76"/>
      <c r="N200" s="76"/>
      <c r="O200" s="71"/>
      <c r="P200" s="70"/>
      <c r="Q200" s="71"/>
      <c r="R200" s="71"/>
      <c r="S200" s="70"/>
      <c r="T200" s="71"/>
      <c r="U200" s="71"/>
      <c r="V200" s="75"/>
      <c r="W200" s="69"/>
      <c r="X200" s="69"/>
      <c r="Y200" s="69"/>
      <c r="Z200" s="69"/>
      <c r="AA200" s="69"/>
      <c r="AB200" s="69"/>
      <c r="AC200" s="69"/>
      <c r="AD200" s="69"/>
      <c r="AE200" s="76"/>
      <c r="AF200" s="71"/>
      <c r="AG200" s="71"/>
      <c r="AH200" s="71"/>
      <c r="AI200" s="71"/>
      <c r="AJ200" s="71"/>
      <c r="AK200" s="71"/>
      <c r="AL200" s="71"/>
      <c r="AM200" s="71"/>
      <c r="AN200" s="68"/>
      <c r="AO200" s="68"/>
      <c r="AP200" s="70"/>
      <c r="AQ200" s="71"/>
      <c r="AR200" s="77"/>
      <c r="AS200" s="70"/>
      <c r="AT200" s="68"/>
      <c r="AU200" s="70"/>
      <c r="AV200" s="70"/>
      <c r="AW200" s="71"/>
      <c r="AX200" s="71"/>
      <c r="AY200" s="70"/>
      <c r="AZ200" s="76"/>
      <c r="BA200" s="76"/>
      <c r="BB200" s="76"/>
      <c r="BC200" s="78"/>
    </row>
    <row r="201" spans="1:55" x14ac:dyDescent="0.25">
      <c r="A201" s="68"/>
      <c r="B201" s="68"/>
      <c r="C201" s="68"/>
      <c r="D201" s="70"/>
      <c r="E201" s="70"/>
      <c r="F201" s="70"/>
      <c r="G201" s="72"/>
      <c r="H201" s="74"/>
      <c r="I201" s="74"/>
      <c r="J201" s="75"/>
      <c r="K201" s="81"/>
      <c r="L201" s="76"/>
      <c r="M201" s="76"/>
      <c r="N201" s="76"/>
      <c r="O201" s="71"/>
      <c r="P201" s="70"/>
      <c r="Q201" s="71"/>
      <c r="R201" s="71"/>
      <c r="S201" s="70"/>
      <c r="T201" s="71"/>
      <c r="U201" s="71"/>
      <c r="V201" s="75"/>
      <c r="W201" s="69"/>
      <c r="X201" s="69"/>
      <c r="Y201" s="69"/>
      <c r="Z201" s="69"/>
      <c r="AA201" s="69"/>
      <c r="AB201" s="69"/>
      <c r="AC201" s="69"/>
      <c r="AD201" s="69"/>
      <c r="AE201" s="76"/>
      <c r="AF201" s="71"/>
      <c r="AG201" s="71"/>
      <c r="AH201" s="71"/>
      <c r="AI201" s="71"/>
      <c r="AJ201" s="71"/>
      <c r="AK201" s="71"/>
      <c r="AL201" s="71"/>
      <c r="AM201" s="71"/>
      <c r="AN201" s="68"/>
      <c r="AO201" s="68"/>
      <c r="AP201" s="70"/>
      <c r="AQ201" s="71"/>
      <c r="AR201" s="77"/>
      <c r="AS201" s="70"/>
      <c r="AT201" s="68"/>
      <c r="AU201" s="70"/>
      <c r="AV201" s="70"/>
      <c r="AW201" s="71"/>
      <c r="AX201" s="71"/>
      <c r="AY201" s="70"/>
      <c r="AZ201" s="76"/>
      <c r="BA201" s="76"/>
      <c r="BB201" s="76"/>
      <c r="BC201" s="78"/>
    </row>
    <row r="202" spans="1:55" x14ac:dyDescent="0.25">
      <c r="A202" s="68"/>
      <c r="B202" s="68"/>
      <c r="C202" s="68"/>
      <c r="D202" s="70"/>
      <c r="E202" s="70"/>
      <c r="F202" s="70"/>
      <c r="G202" s="72"/>
      <c r="H202" s="74"/>
      <c r="I202" s="74"/>
      <c r="J202" s="75"/>
      <c r="K202" s="81"/>
      <c r="L202" s="76"/>
      <c r="M202" s="76"/>
      <c r="N202" s="76"/>
      <c r="O202" s="71"/>
      <c r="P202" s="70"/>
      <c r="Q202" s="71"/>
      <c r="R202" s="71"/>
      <c r="S202" s="70"/>
      <c r="T202" s="71"/>
      <c r="U202" s="71"/>
      <c r="V202" s="75"/>
      <c r="W202" s="69"/>
      <c r="X202" s="69"/>
      <c r="Y202" s="69"/>
      <c r="Z202" s="69"/>
      <c r="AA202" s="69"/>
      <c r="AB202" s="69"/>
      <c r="AC202" s="69"/>
      <c r="AD202" s="69"/>
      <c r="AE202" s="76"/>
      <c r="AF202" s="71"/>
      <c r="AG202" s="71"/>
      <c r="AH202" s="71"/>
      <c r="AI202" s="71"/>
      <c r="AJ202" s="71"/>
      <c r="AK202" s="71"/>
      <c r="AL202" s="71"/>
      <c r="AM202" s="71"/>
      <c r="AN202" s="68"/>
      <c r="AO202" s="68"/>
      <c r="AP202" s="70"/>
      <c r="AQ202" s="71"/>
      <c r="AR202" s="77"/>
      <c r="AS202" s="70"/>
      <c r="AT202" s="68"/>
      <c r="AU202" s="70"/>
      <c r="AV202" s="70"/>
      <c r="AW202" s="71"/>
      <c r="AX202" s="71"/>
      <c r="AY202" s="70"/>
      <c r="AZ202" s="76"/>
      <c r="BA202" s="76"/>
      <c r="BB202" s="76"/>
      <c r="BC202" s="78"/>
    </row>
    <row r="203" spans="1:55" x14ac:dyDescent="0.25">
      <c r="A203" s="68"/>
      <c r="B203" s="68"/>
      <c r="C203" s="68"/>
      <c r="D203" s="70"/>
      <c r="E203" s="70"/>
      <c r="F203" s="70"/>
      <c r="G203" s="72"/>
      <c r="H203" s="74"/>
      <c r="I203" s="74"/>
      <c r="J203" s="75"/>
      <c r="K203" s="81"/>
      <c r="L203" s="76"/>
      <c r="M203" s="76"/>
      <c r="N203" s="76"/>
      <c r="O203" s="71"/>
      <c r="P203" s="70"/>
      <c r="Q203" s="71"/>
      <c r="R203" s="71"/>
      <c r="S203" s="70"/>
      <c r="T203" s="71"/>
      <c r="U203" s="71"/>
      <c r="V203" s="75"/>
      <c r="W203" s="69"/>
      <c r="X203" s="69"/>
      <c r="Y203" s="69"/>
      <c r="Z203" s="69"/>
      <c r="AA203" s="69"/>
      <c r="AB203" s="69"/>
      <c r="AC203" s="69"/>
      <c r="AD203" s="69"/>
      <c r="AE203" s="76"/>
      <c r="AF203" s="71"/>
      <c r="AG203" s="71"/>
      <c r="AH203" s="71"/>
      <c r="AI203" s="71"/>
      <c r="AJ203" s="71"/>
      <c r="AK203" s="71"/>
      <c r="AL203" s="71"/>
      <c r="AM203" s="71"/>
      <c r="AN203" s="68"/>
      <c r="AO203" s="68"/>
      <c r="AP203" s="70"/>
      <c r="AQ203" s="71"/>
      <c r="AR203" s="77"/>
      <c r="AS203" s="70"/>
      <c r="AT203" s="68"/>
      <c r="AU203" s="70"/>
      <c r="AV203" s="70"/>
      <c r="AW203" s="71"/>
      <c r="AX203" s="71"/>
      <c r="AY203" s="70"/>
      <c r="AZ203" s="76"/>
      <c r="BA203" s="76"/>
      <c r="BB203" s="76"/>
      <c r="BC203" s="78"/>
    </row>
    <row r="204" spans="1:55" x14ac:dyDescent="0.25">
      <c r="A204" s="68"/>
      <c r="B204" s="68"/>
      <c r="C204" s="68"/>
      <c r="D204" s="70"/>
      <c r="E204" s="70"/>
      <c r="F204" s="70"/>
      <c r="G204" s="72"/>
      <c r="H204" s="74"/>
      <c r="I204" s="74"/>
      <c r="J204" s="75"/>
      <c r="K204" s="81"/>
      <c r="L204" s="76"/>
      <c r="M204" s="76"/>
      <c r="N204" s="76"/>
      <c r="O204" s="71"/>
      <c r="P204" s="70"/>
      <c r="Q204" s="71"/>
      <c r="R204" s="71"/>
      <c r="S204" s="70"/>
      <c r="T204" s="71"/>
      <c r="U204" s="71"/>
      <c r="V204" s="75"/>
      <c r="W204" s="69"/>
      <c r="X204" s="69"/>
      <c r="Y204" s="69"/>
      <c r="Z204" s="69"/>
      <c r="AA204" s="69"/>
      <c r="AB204" s="69"/>
      <c r="AC204" s="69"/>
      <c r="AD204" s="69"/>
      <c r="AE204" s="76"/>
      <c r="AF204" s="71"/>
      <c r="AG204" s="71"/>
      <c r="AH204" s="71"/>
      <c r="AI204" s="71"/>
      <c r="AJ204" s="71"/>
      <c r="AK204" s="71"/>
      <c r="AL204" s="71"/>
      <c r="AM204" s="71"/>
      <c r="AN204" s="68"/>
      <c r="AO204" s="68"/>
      <c r="AP204" s="70"/>
      <c r="AQ204" s="71"/>
      <c r="AR204" s="77"/>
      <c r="AS204" s="70"/>
      <c r="AT204" s="68"/>
      <c r="AU204" s="70"/>
      <c r="AV204" s="70"/>
      <c r="AW204" s="71"/>
      <c r="AX204" s="71"/>
      <c r="AY204" s="70"/>
      <c r="AZ204" s="76"/>
      <c r="BA204" s="76"/>
      <c r="BB204" s="76"/>
      <c r="BC204" s="78"/>
    </row>
    <row r="205" spans="1:55" x14ac:dyDescent="0.25">
      <c r="A205" s="68"/>
      <c r="B205" s="68"/>
      <c r="C205" s="68"/>
      <c r="D205" s="70"/>
      <c r="E205" s="70"/>
      <c r="F205" s="70"/>
      <c r="G205" s="72"/>
      <c r="H205" s="74"/>
      <c r="I205" s="74"/>
      <c r="J205" s="75"/>
      <c r="K205" s="81"/>
      <c r="L205" s="76"/>
      <c r="M205" s="76"/>
      <c r="N205" s="76"/>
      <c r="O205" s="71"/>
      <c r="P205" s="70"/>
      <c r="Q205" s="71"/>
      <c r="R205" s="71"/>
      <c r="S205" s="70"/>
      <c r="T205" s="71"/>
      <c r="U205" s="71"/>
      <c r="V205" s="75"/>
      <c r="W205" s="69"/>
      <c r="X205" s="69"/>
      <c r="Y205" s="69"/>
      <c r="Z205" s="69"/>
      <c r="AA205" s="69"/>
      <c r="AB205" s="69"/>
      <c r="AC205" s="69"/>
      <c r="AD205" s="69"/>
      <c r="AE205" s="76"/>
      <c r="AF205" s="71"/>
      <c r="AG205" s="71"/>
      <c r="AH205" s="71"/>
      <c r="AI205" s="71"/>
      <c r="AJ205" s="71"/>
      <c r="AK205" s="71"/>
      <c r="AL205" s="71"/>
      <c r="AM205" s="71"/>
      <c r="AN205" s="68"/>
      <c r="AO205" s="68"/>
      <c r="AP205" s="70"/>
      <c r="AQ205" s="71"/>
      <c r="AR205" s="77"/>
      <c r="AS205" s="70"/>
      <c r="AT205" s="68"/>
      <c r="AU205" s="70"/>
      <c r="AV205" s="70"/>
      <c r="AW205" s="71"/>
      <c r="AX205" s="71"/>
      <c r="AY205" s="70"/>
      <c r="AZ205" s="76"/>
      <c r="BA205" s="76"/>
      <c r="BB205" s="76"/>
      <c r="BC205" s="78"/>
    </row>
    <row r="206" spans="1:55" x14ac:dyDescent="0.25">
      <c r="A206" s="68"/>
      <c r="B206" s="68"/>
      <c r="C206" s="68"/>
      <c r="D206" s="70"/>
      <c r="E206" s="70"/>
      <c r="F206" s="70"/>
      <c r="G206" s="72"/>
      <c r="H206" s="74"/>
      <c r="I206" s="74"/>
      <c r="J206" s="75"/>
      <c r="K206" s="81"/>
      <c r="L206" s="76"/>
      <c r="M206" s="76"/>
      <c r="N206" s="76"/>
      <c r="O206" s="71"/>
      <c r="P206" s="70"/>
      <c r="Q206" s="71"/>
      <c r="R206" s="71"/>
      <c r="S206" s="70"/>
      <c r="T206" s="71"/>
      <c r="U206" s="71"/>
      <c r="V206" s="75"/>
      <c r="W206" s="69"/>
      <c r="X206" s="69"/>
      <c r="Y206" s="69"/>
      <c r="Z206" s="69"/>
      <c r="AA206" s="69"/>
      <c r="AB206" s="69"/>
      <c r="AC206" s="69"/>
      <c r="AD206" s="69"/>
      <c r="AE206" s="76"/>
      <c r="AF206" s="71"/>
      <c r="AG206" s="71"/>
      <c r="AH206" s="71"/>
      <c r="AI206" s="71"/>
      <c r="AJ206" s="71"/>
      <c r="AK206" s="71"/>
      <c r="AL206" s="71"/>
      <c r="AM206" s="71"/>
      <c r="AN206" s="68"/>
      <c r="AO206" s="68"/>
      <c r="AP206" s="70"/>
      <c r="AQ206" s="71"/>
      <c r="AR206" s="77"/>
      <c r="AS206" s="70"/>
      <c r="AT206" s="68"/>
      <c r="AU206" s="70"/>
      <c r="AV206" s="70"/>
      <c r="AW206" s="71"/>
      <c r="AX206" s="71"/>
      <c r="AY206" s="70"/>
      <c r="AZ206" s="76"/>
      <c r="BA206" s="76"/>
      <c r="BB206" s="76"/>
      <c r="BC206" s="78"/>
    </row>
    <row r="207" spans="1:55" x14ac:dyDescent="0.25">
      <c r="A207" s="68"/>
      <c r="B207" s="68"/>
      <c r="C207" s="68"/>
      <c r="D207" s="70"/>
      <c r="E207" s="70"/>
      <c r="F207" s="70"/>
      <c r="G207" s="72"/>
      <c r="H207" s="74"/>
      <c r="I207" s="74"/>
      <c r="J207" s="75"/>
      <c r="K207" s="81"/>
      <c r="L207" s="76"/>
      <c r="M207" s="76"/>
      <c r="N207" s="76"/>
      <c r="O207" s="71"/>
      <c r="P207" s="70"/>
      <c r="Q207" s="71"/>
      <c r="R207" s="71"/>
      <c r="S207" s="70"/>
      <c r="T207" s="71"/>
      <c r="U207" s="71"/>
      <c r="V207" s="75"/>
      <c r="W207" s="69"/>
      <c r="X207" s="69"/>
      <c r="Y207" s="69"/>
      <c r="Z207" s="69"/>
      <c r="AA207" s="69"/>
      <c r="AB207" s="69"/>
      <c r="AC207" s="69"/>
      <c r="AD207" s="69"/>
      <c r="AE207" s="76"/>
      <c r="AF207" s="71"/>
      <c r="AG207" s="71"/>
      <c r="AH207" s="71"/>
      <c r="AI207" s="71"/>
      <c r="AJ207" s="71"/>
      <c r="AK207" s="71"/>
      <c r="AL207" s="71"/>
      <c r="AM207" s="71"/>
      <c r="AN207" s="68"/>
      <c r="AO207" s="68"/>
      <c r="AP207" s="70"/>
      <c r="AQ207" s="71"/>
      <c r="AR207" s="77"/>
      <c r="AS207" s="70"/>
      <c r="AT207" s="68"/>
      <c r="AU207" s="70"/>
      <c r="AV207" s="70"/>
      <c r="AW207" s="71"/>
      <c r="AX207" s="71"/>
      <c r="AY207" s="70"/>
      <c r="AZ207" s="76"/>
      <c r="BA207" s="76"/>
      <c r="BB207" s="76"/>
      <c r="BC207" s="78"/>
    </row>
    <row r="208" spans="1:55" x14ac:dyDescent="0.25">
      <c r="A208" s="68"/>
      <c r="B208" s="68"/>
      <c r="C208" s="68"/>
      <c r="D208" s="70"/>
      <c r="E208" s="70"/>
      <c r="F208" s="70"/>
      <c r="G208" s="72"/>
      <c r="H208" s="74"/>
      <c r="I208" s="74"/>
      <c r="J208" s="75"/>
      <c r="K208" s="81"/>
      <c r="L208" s="76"/>
      <c r="M208" s="76"/>
      <c r="N208" s="76"/>
      <c r="O208" s="71"/>
      <c r="P208" s="70"/>
      <c r="Q208" s="71"/>
      <c r="R208" s="71"/>
      <c r="S208" s="70"/>
      <c r="T208" s="71"/>
      <c r="U208" s="71"/>
      <c r="V208" s="75"/>
      <c r="W208" s="69"/>
      <c r="X208" s="69"/>
      <c r="Y208" s="69"/>
      <c r="Z208" s="69"/>
      <c r="AA208" s="69"/>
      <c r="AB208" s="69"/>
      <c r="AC208" s="69"/>
      <c r="AD208" s="69"/>
      <c r="AE208" s="76"/>
      <c r="AF208" s="71"/>
      <c r="AG208" s="71"/>
      <c r="AH208" s="71"/>
      <c r="AI208" s="71"/>
      <c r="AJ208" s="71"/>
      <c r="AK208" s="71"/>
      <c r="AL208" s="71"/>
      <c r="AM208" s="71"/>
      <c r="AN208" s="68"/>
      <c r="AO208" s="68"/>
      <c r="AP208" s="70"/>
      <c r="AQ208" s="71"/>
      <c r="AR208" s="77"/>
      <c r="AS208" s="70"/>
      <c r="AT208" s="68"/>
      <c r="AU208" s="70"/>
      <c r="AV208" s="70"/>
      <c r="AW208" s="71"/>
      <c r="AX208" s="71"/>
      <c r="AY208" s="70"/>
      <c r="AZ208" s="76"/>
      <c r="BA208" s="76"/>
      <c r="BB208" s="76"/>
      <c r="BC208" s="78"/>
    </row>
    <row r="209" spans="1:55" x14ac:dyDescent="0.25">
      <c r="A209" s="68"/>
      <c r="B209" s="68"/>
      <c r="C209" s="68"/>
      <c r="D209" s="70"/>
      <c r="E209" s="70"/>
      <c r="F209" s="70"/>
      <c r="G209" s="72"/>
      <c r="H209" s="74"/>
      <c r="I209" s="74"/>
      <c r="J209" s="75"/>
      <c r="K209" s="81"/>
      <c r="L209" s="76"/>
      <c r="M209" s="76"/>
      <c r="N209" s="76"/>
      <c r="O209" s="71"/>
      <c r="P209" s="70"/>
      <c r="Q209" s="71"/>
      <c r="R209" s="71"/>
      <c r="S209" s="70"/>
      <c r="T209" s="71"/>
      <c r="U209" s="71"/>
      <c r="V209" s="75"/>
      <c r="W209" s="69"/>
      <c r="X209" s="69"/>
      <c r="Y209" s="69"/>
      <c r="Z209" s="69"/>
      <c r="AA209" s="69"/>
      <c r="AB209" s="69"/>
      <c r="AC209" s="69"/>
      <c r="AD209" s="69"/>
      <c r="AE209" s="76"/>
      <c r="AF209" s="71"/>
      <c r="AG209" s="71"/>
      <c r="AH209" s="71"/>
      <c r="AI209" s="71"/>
      <c r="AJ209" s="71"/>
      <c r="AK209" s="71"/>
      <c r="AL209" s="71"/>
      <c r="AM209" s="71"/>
      <c r="AN209" s="68"/>
      <c r="AO209" s="68"/>
      <c r="AP209" s="70"/>
      <c r="AQ209" s="71"/>
      <c r="AR209" s="77"/>
      <c r="AS209" s="70"/>
      <c r="AT209" s="68"/>
      <c r="AU209" s="70"/>
      <c r="AV209" s="70"/>
      <c r="AW209" s="71"/>
      <c r="AX209" s="71"/>
      <c r="AY209" s="70"/>
      <c r="AZ209" s="76"/>
      <c r="BA209" s="76"/>
      <c r="BB209" s="76"/>
      <c r="BC209" s="78"/>
    </row>
    <row r="210" spans="1:55" x14ac:dyDescent="0.25">
      <c r="A210" s="68"/>
      <c r="B210" s="68"/>
      <c r="C210" s="68"/>
      <c r="D210" s="70"/>
      <c r="E210" s="70"/>
      <c r="F210" s="70"/>
      <c r="G210" s="72"/>
      <c r="H210" s="74"/>
      <c r="I210" s="74"/>
      <c r="J210" s="75"/>
      <c r="K210" s="81"/>
      <c r="L210" s="76"/>
      <c r="M210" s="76"/>
      <c r="N210" s="76"/>
      <c r="O210" s="71"/>
      <c r="P210" s="70"/>
      <c r="Q210" s="71"/>
      <c r="R210" s="71"/>
      <c r="S210" s="70"/>
      <c r="T210" s="71"/>
      <c r="U210" s="71"/>
      <c r="V210" s="75"/>
      <c r="W210" s="69"/>
      <c r="X210" s="69"/>
      <c r="Y210" s="69"/>
      <c r="Z210" s="69"/>
      <c r="AA210" s="69"/>
      <c r="AB210" s="69"/>
      <c r="AC210" s="69"/>
      <c r="AD210" s="69"/>
      <c r="AE210" s="76"/>
      <c r="AF210" s="71"/>
      <c r="AG210" s="71"/>
      <c r="AH210" s="71"/>
      <c r="AI210" s="71"/>
      <c r="AJ210" s="71"/>
      <c r="AK210" s="71"/>
      <c r="AL210" s="71"/>
      <c r="AM210" s="71"/>
      <c r="AN210" s="68"/>
      <c r="AO210" s="68"/>
      <c r="AP210" s="70"/>
      <c r="AQ210" s="71"/>
      <c r="AR210" s="77"/>
      <c r="AS210" s="70"/>
      <c r="AT210" s="68"/>
      <c r="AU210" s="70"/>
      <c r="AV210" s="70"/>
      <c r="AW210" s="71"/>
      <c r="AX210" s="71"/>
      <c r="AY210" s="70"/>
      <c r="AZ210" s="76"/>
      <c r="BA210" s="76"/>
      <c r="BB210" s="76"/>
      <c r="BC210" s="78"/>
    </row>
    <row r="211" spans="1:55" x14ac:dyDescent="0.25">
      <c r="A211" s="68"/>
      <c r="B211" s="68"/>
      <c r="C211" s="68"/>
      <c r="D211" s="70"/>
      <c r="E211" s="70"/>
      <c r="F211" s="70"/>
      <c r="G211" s="72"/>
      <c r="H211" s="74"/>
      <c r="I211" s="74"/>
      <c r="J211" s="75"/>
      <c r="K211" s="81"/>
      <c r="L211" s="76"/>
      <c r="M211" s="76"/>
      <c r="N211" s="76"/>
      <c r="O211" s="71"/>
      <c r="P211" s="70"/>
      <c r="Q211" s="71"/>
      <c r="R211" s="71"/>
      <c r="S211" s="70"/>
      <c r="T211" s="71"/>
      <c r="U211" s="71"/>
      <c r="V211" s="75"/>
      <c r="W211" s="69"/>
      <c r="X211" s="69"/>
      <c r="Y211" s="69"/>
      <c r="Z211" s="69"/>
      <c r="AA211" s="69"/>
      <c r="AB211" s="69"/>
      <c r="AC211" s="69"/>
      <c r="AD211" s="69"/>
      <c r="AE211" s="76"/>
      <c r="AF211" s="71"/>
      <c r="AG211" s="71"/>
      <c r="AH211" s="71"/>
      <c r="AI211" s="71"/>
      <c r="AJ211" s="71"/>
      <c r="AK211" s="71"/>
      <c r="AL211" s="71"/>
      <c r="AM211" s="71"/>
      <c r="AN211" s="68"/>
      <c r="AO211" s="68"/>
      <c r="AP211" s="70"/>
      <c r="AQ211" s="71"/>
      <c r="AR211" s="77"/>
      <c r="AS211" s="70"/>
      <c r="AT211" s="68"/>
      <c r="AU211" s="70"/>
      <c r="AV211" s="70"/>
      <c r="AW211" s="71"/>
      <c r="AX211" s="71"/>
      <c r="AY211" s="70"/>
      <c r="AZ211" s="76"/>
      <c r="BA211" s="76"/>
      <c r="BB211" s="76"/>
      <c r="BC211" s="78"/>
    </row>
    <row r="212" spans="1:55" x14ac:dyDescent="0.25">
      <c r="A212" s="68"/>
      <c r="B212" s="68"/>
      <c r="C212" s="68"/>
      <c r="D212" s="70"/>
      <c r="E212" s="70"/>
      <c r="F212" s="70"/>
      <c r="G212" s="72"/>
      <c r="H212" s="74"/>
      <c r="I212" s="74"/>
      <c r="J212" s="75"/>
      <c r="K212" s="81"/>
      <c r="L212" s="76"/>
      <c r="M212" s="76"/>
      <c r="N212" s="76"/>
      <c r="O212" s="71"/>
      <c r="P212" s="70"/>
      <c r="Q212" s="71"/>
      <c r="R212" s="71"/>
      <c r="S212" s="70"/>
      <c r="T212" s="71"/>
      <c r="U212" s="71"/>
      <c r="V212" s="75"/>
      <c r="W212" s="69"/>
      <c r="X212" s="69"/>
      <c r="Y212" s="69"/>
      <c r="Z212" s="69"/>
      <c r="AA212" s="69"/>
      <c r="AB212" s="69"/>
      <c r="AC212" s="69"/>
      <c r="AD212" s="69"/>
      <c r="AE212" s="76"/>
      <c r="AF212" s="71"/>
      <c r="AG212" s="71"/>
      <c r="AH212" s="71"/>
      <c r="AI212" s="71"/>
      <c r="AJ212" s="71"/>
      <c r="AK212" s="71"/>
      <c r="AL212" s="71"/>
      <c r="AM212" s="71"/>
      <c r="AN212" s="68"/>
      <c r="AO212" s="68"/>
      <c r="AP212" s="70"/>
      <c r="AQ212" s="71"/>
      <c r="AR212" s="77"/>
      <c r="AS212" s="70"/>
      <c r="AT212" s="68"/>
      <c r="AU212" s="70"/>
      <c r="AV212" s="70"/>
      <c r="AW212" s="71"/>
      <c r="AX212" s="71"/>
      <c r="AY212" s="70"/>
      <c r="AZ212" s="76"/>
      <c r="BA212" s="76"/>
      <c r="BB212" s="76"/>
      <c r="BC212" s="78"/>
    </row>
    <row r="213" spans="1:55" x14ac:dyDescent="0.25">
      <c r="A213" s="68"/>
      <c r="B213" s="68"/>
      <c r="C213" s="68"/>
      <c r="D213" s="70"/>
      <c r="E213" s="70"/>
      <c r="F213" s="70"/>
      <c r="G213" s="72"/>
      <c r="H213" s="74"/>
      <c r="I213" s="74"/>
      <c r="J213" s="75"/>
      <c r="K213" s="81"/>
      <c r="L213" s="76"/>
      <c r="M213" s="76"/>
      <c r="N213" s="76"/>
      <c r="O213" s="71"/>
      <c r="P213" s="70"/>
      <c r="Q213" s="71"/>
      <c r="R213" s="71"/>
      <c r="S213" s="70"/>
      <c r="T213" s="71"/>
      <c r="U213" s="71"/>
      <c r="V213" s="75"/>
      <c r="W213" s="69"/>
      <c r="X213" s="69"/>
      <c r="Y213" s="69"/>
      <c r="Z213" s="69"/>
      <c r="AA213" s="69"/>
      <c r="AB213" s="69"/>
      <c r="AC213" s="69"/>
      <c r="AD213" s="69"/>
      <c r="AE213" s="76"/>
      <c r="AF213" s="71"/>
      <c r="AG213" s="71"/>
      <c r="AH213" s="71"/>
      <c r="AI213" s="71"/>
      <c r="AJ213" s="71"/>
      <c r="AK213" s="71"/>
      <c r="AL213" s="71"/>
      <c r="AM213" s="71"/>
      <c r="AN213" s="68"/>
      <c r="AO213" s="68"/>
      <c r="AP213" s="70"/>
      <c r="AQ213" s="71"/>
      <c r="AR213" s="77"/>
      <c r="AS213" s="70"/>
      <c r="AT213" s="68"/>
      <c r="AU213" s="70"/>
      <c r="AV213" s="70"/>
      <c r="AW213" s="71"/>
      <c r="AX213" s="71"/>
      <c r="AY213" s="70"/>
      <c r="AZ213" s="76"/>
      <c r="BA213" s="76"/>
      <c r="BB213" s="76"/>
      <c r="BC213" s="78"/>
    </row>
    <row r="214" spans="1:55" x14ac:dyDescent="0.25">
      <c r="A214" s="68"/>
      <c r="B214" s="68"/>
      <c r="C214" s="68"/>
      <c r="D214" s="70"/>
      <c r="E214" s="70"/>
      <c r="F214" s="70"/>
      <c r="G214" s="72"/>
      <c r="H214" s="74"/>
      <c r="I214" s="74"/>
      <c r="J214" s="75"/>
      <c r="K214" s="81"/>
      <c r="L214" s="76"/>
      <c r="M214" s="76"/>
      <c r="N214" s="76"/>
      <c r="O214" s="71"/>
      <c r="P214" s="70"/>
      <c r="Q214" s="71"/>
      <c r="R214" s="71"/>
      <c r="S214" s="70"/>
      <c r="T214" s="71"/>
      <c r="U214" s="71"/>
      <c r="V214" s="75"/>
      <c r="W214" s="69"/>
      <c r="X214" s="69"/>
      <c r="Y214" s="69"/>
      <c r="Z214" s="69"/>
      <c r="AA214" s="69"/>
      <c r="AB214" s="69"/>
      <c r="AC214" s="69"/>
      <c r="AD214" s="69"/>
      <c r="AE214" s="76"/>
      <c r="AF214" s="71"/>
      <c r="AG214" s="71"/>
      <c r="AH214" s="71"/>
      <c r="AI214" s="71"/>
      <c r="AJ214" s="71"/>
      <c r="AK214" s="71"/>
      <c r="AL214" s="71"/>
      <c r="AM214" s="71"/>
      <c r="AN214" s="68"/>
      <c r="AO214" s="68"/>
      <c r="AP214" s="70"/>
      <c r="AQ214" s="71"/>
      <c r="AR214" s="77"/>
      <c r="AS214" s="70"/>
      <c r="AT214" s="68"/>
      <c r="AU214" s="70"/>
      <c r="AV214" s="70"/>
      <c r="AW214" s="71"/>
      <c r="AX214" s="71"/>
      <c r="AY214" s="70"/>
      <c r="AZ214" s="76"/>
      <c r="BA214" s="76"/>
      <c r="BB214" s="76"/>
      <c r="BC214" s="78"/>
    </row>
    <row r="215" spans="1:55" x14ac:dyDescent="0.25">
      <c r="A215" s="68"/>
      <c r="B215" s="68"/>
      <c r="C215" s="68"/>
      <c r="D215" s="70"/>
      <c r="E215" s="70"/>
      <c r="F215" s="70"/>
      <c r="G215" s="72"/>
      <c r="H215" s="74"/>
      <c r="I215" s="74"/>
      <c r="J215" s="75"/>
      <c r="K215" s="81"/>
      <c r="L215" s="76"/>
      <c r="M215" s="76"/>
      <c r="N215" s="76"/>
      <c r="O215" s="71"/>
      <c r="P215" s="70"/>
      <c r="Q215" s="71"/>
      <c r="R215" s="71"/>
      <c r="S215" s="70"/>
      <c r="T215" s="71"/>
      <c r="U215" s="71"/>
      <c r="V215" s="75"/>
      <c r="W215" s="69"/>
      <c r="X215" s="69"/>
      <c r="Y215" s="69"/>
      <c r="Z215" s="69"/>
      <c r="AA215" s="69"/>
      <c r="AB215" s="69"/>
      <c r="AC215" s="69"/>
      <c r="AD215" s="69"/>
      <c r="AE215" s="76"/>
      <c r="AF215" s="71"/>
      <c r="AG215" s="71"/>
      <c r="AH215" s="71"/>
      <c r="AI215" s="71"/>
      <c r="AJ215" s="71"/>
      <c r="AK215" s="71"/>
      <c r="AL215" s="71"/>
      <c r="AM215" s="71"/>
      <c r="AN215" s="68"/>
      <c r="AO215" s="68"/>
      <c r="AP215" s="70"/>
      <c r="AQ215" s="71"/>
      <c r="AR215" s="77"/>
      <c r="AS215" s="70"/>
      <c r="AT215" s="68"/>
      <c r="AU215" s="70"/>
      <c r="AV215" s="70"/>
      <c r="AW215" s="71"/>
      <c r="AX215" s="71"/>
      <c r="AY215" s="70"/>
      <c r="AZ215" s="76"/>
      <c r="BA215" s="76"/>
      <c r="BB215" s="76"/>
      <c r="BC215" s="78"/>
    </row>
    <row r="216" spans="1:55" x14ac:dyDescent="0.25">
      <c r="A216" s="68"/>
      <c r="B216" s="68"/>
      <c r="C216" s="68"/>
      <c r="D216" s="70"/>
      <c r="E216" s="70"/>
      <c r="F216" s="70"/>
      <c r="G216" s="72"/>
      <c r="H216" s="74"/>
      <c r="I216" s="74"/>
      <c r="J216" s="75"/>
      <c r="K216" s="81"/>
      <c r="L216" s="76"/>
      <c r="M216" s="76"/>
      <c r="N216" s="76"/>
      <c r="O216" s="71"/>
      <c r="P216" s="70"/>
      <c r="Q216" s="71"/>
      <c r="R216" s="71"/>
      <c r="S216" s="70"/>
      <c r="T216" s="71"/>
      <c r="U216" s="71"/>
      <c r="V216" s="75"/>
      <c r="W216" s="69"/>
      <c r="X216" s="69"/>
      <c r="Y216" s="69"/>
      <c r="Z216" s="69"/>
      <c r="AA216" s="69"/>
      <c r="AB216" s="69"/>
      <c r="AC216" s="69"/>
      <c r="AD216" s="69"/>
      <c r="AE216" s="76"/>
      <c r="AF216" s="71"/>
      <c r="AG216" s="71"/>
      <c r="AH216" s="71"/>
      <c r="AI216" s="71"/>
      <c r="AJ216" s="71"/>
      <c r="AK216" s="71"/>
      <c r="AL216" s="71"/>
      <c r="AM216" s="71"/>
      <c r="AN216" s="68"/>
      <c r="AO216" s="68"/>
      <c r="AP216" s="70"/>
      <c r="AQ216" s="71"/>
      <c r="AR216" s="77"/>
      <c r="AS216" s="70"/>
      <c r="AT216" s="68"/>
      <c r="AU216" s="70"/>
      <c r="AV216" s="70"/>
      <c r="AW216" s="71"/>
      <c r="AX216" s="71"/>
      <c r="AY216" s="70"/>
      <c r="AZ216" s="76"/>
      <c r="BA216" s="76"/>
      <c r="BB216" s="76"/>
      <c r="BC216" s="78"/>
    </row>
    <row r="217" spans="1:55" x14ac:dyDescent="0.25">
      <c r="A217" s="68"/>
      <c r="B217" s="68"/>
      <c r="C217" s="68"/>
      <c r="D217" s="70"/>
      <c r="E217" s="70"/>
      <c r="F217" s="70"/>
      <c r="G217" s="72"/>
      <c r="H217" s="74"/>
      <c r="I217" s="74"/>
      <c r="J217" s="75"/>
      <c r="K217" s="81"/>
      <c r="L217" s="76"/>
      <c r="M217" s="76"/>
      <c r="N217" s="76"/>
      <c r="O217" s="71"/>
      <c r="P217" s="70"/>
      <c r="Q217" s="71"/>
      <c r="R217" s="71"/>
      <c r="S217" s="70"/>
      <c r="T217" s="71"/>
      <c r="U217" s="71"/>
      <c r="V217" s="75"/>
      <c r="W217" s="69"/>
      <c r="X217" s="69"/>
      <c r="Y217" s="69"/>
      <c r="Z217" s="69"/>
      <c r="AA217" s="69"/>
      <c r="AB217" s="69"/>
      <c r="AC217" s="69"/>
      <c r="AD217" s="69"/>
      <c r="AE217" s="76"/>
      <c r="AF217" s="71"/>
      <c r="AG217" s="71"/>
      <c r="AH217" s="71"/>
      <c r="AI217" s="71"/>
      <c r="AJ217" s="71"/>
      <c r="AK217" s="71"/>
      <c r="AL217" s="71"/>
      <c r="AM217" s="71"/>
      <c r="AN217" s="68"/>
      <c r="AO217" s="68"/>
      <c r="AP217" s="70"/>
      <c r="AQ217" s="71"/>
      <c r="AR217" s="77"/>
      <c r="AS217" s="70"/>
      <c r="AT217" s="68"/>
      <c r="AU217" s="70"/>
      <c r="AV217" s="70"/>
      <c r="AW217" s="71"/>
      <c r="AX217" s="71"/>
      <c r="AY217" s="70"/>
      <c r="AZ217" s="76"/>
      <c r="BA217" s="76"/>
      <c r="BB217" s="76"/>
      <c r="BC217" s="78"/>
    </row>
    <row r="218" spans="1:55" x14ac:dyDescent="0.25">
      <c r="A218" s="68"/>
      <c r="B218" s="68"/>
      <c r="C218" s="68"/>
      <c r="D218" s="70"/>
      <c r="E218" s="70"/>
      <c r="F218" s="70"/>
      <c r="G218" s="72"/>
      <c r="H218" s="74"/>
      <c r="I218" s="74"/>
      <c r="J218" s="75"/>
      <c r="K218" s="81"/>
      <c r="L218" s="76"/>
      <c r="M218" s="76"/>
      <c r="N218" s="76"/>
      <c r="O218" s="71"/>
      <c r="P218" s="70"/>
      <c r="Q218" s="71"/>
      <c r="R218" s="71"/>
      <c r="S218" s="70"/>
      <c r="T218" s="71"/>
      <c r="U218" s="71"/>
      <c r="V218" s="75"/>
      <c r="W218" s="69"/>
      <c r="X218" s="69"/>
      <c r="Y218" s="69"/>
      <c r="Z218" s="69"/>
      <c r="AA218" s="69"/>
      <c r="AB218" s="69"/>
      <c r="AC218" s="69"/>
      <c r="AD218" s="69"/>
      <c r="AE218" s="76"/>
      <c r="AF218" s="71"/>
      <c r="AG218" s="71"/>
      <c r="AH218" s="71"/>
      <c r="AI218" s="71"/>
      <c r="AJ218" s="71"/>
      <c r="AK218" s="71"/>
      <c r="AL218" s="71"/>
      <c r="AM218" s="71"/>
      <c r="AN218" s="68"/>
      <c r="AO218" s="68"/>
      <c r="AP218" s="70"/>
      <c r="AQ218" s="71"/>
      <c r="AR218" s="77"/>
      <c r="AS218" s="70"/>
      <c r="AT218" s="68"/>
      <c r="AU218" s="70"/>
      <c r="AV218" s="70"/>
      <c r="AW218" s="71"/>
      <c r="AX218" s="71"/>
      <c r="AY218" s="70"/>
      <c r="AZ218" s="76"/>
      <c r="BA218" s="76"/>
      <c r="BB218" s="76"/>
      <c r="BC218" s="78"/>
    </row>
    <row r="219" spans="1:55" x14ac:dyDescent="0.25">
      <c r="A219" s="68"/>
      <c r="B219" s="68"/>
      <c r="C219" s="68"/>
      <c r="D219" s="70"/>
      <c r="E219" s="70"/>
      <c r="F219" s="70"/>
      <c r="G219" s="72"/>
      <c r="H219" s="74"/>
      <c r="I219" s="74"/>
      <c r="J219" s="75"/>
      <c r="K219" s="81"/>
      <c r="L219" s="76"/>
      <c r="M219" s="76"/>
      <c r="N219" s="76"/>
      <c r="O219" s="71"/>
      <c r="P219" s="70"/>
      <c r="Q219" s="71"/>
      <c r="R219" s="71"/>
      <c r="S219" s="70"/>
      <c r="T219" s="71"/>
      <c r="U219" s="71"/>
      <c r="V219" s="75"/>
      <c r="W219" s="69"/>
      <c r="X219" s="69"/>
      <c r="Y219" s="69"/>
      <c r="Z219" s="69"/>
      <c r="AA219" s="69"/>
      <c r="AB219" s="69"/>
      <c r="AC219" s="69"/>
      <c r="AD219" s="69"/>
      <c r="AE219" s="76"/>
      <c r="AF219" s="71"/>
      <c r="AG219" s="71"/>
      <c r="AH219" s="71"/>
      <c r="AI219" s="71"/>
      <c r="AJ219" s="71"/>
      <c r="AK219" s="71"/>
      <c r="AL219" s="71"/>
      <c r="AM219" s="71"/>
      <c r="AN219" s="68"/>
      <c r="AO219" s="68"/>
      <c r="AP219" s="70"/>
      <c r="AQ219" s="71"/>
      <c r="AR219" s="77"/>
      <c r="AS219" s="70"/>
      <c r="AT219" s="68"/>
      <c r="AU219" s="70"/>
      <c r="AV219" s="70"/>
      <c r="AW219" s="71"/>
      <c r="AX219" s="71"/>
      <c r="AY219" s="70"/>
      <c r="AZ219" s="76"/>
      <c r="BA219" s="76"/>
      <c r="BB219" s="76"/>
      <c r="BC219" s="78"/>
    </row>
    <row r="220" spans="1:55" x14ac:dyDescent="0.25">
      <c r="A220" s="68"/>
      <c r="B220" s="68"/>
      <c r="C220" s="68"/>
      <c r="D220" s="70"/>
      <c r="E220" s="70"/>
      <c r="F220" s="70"/>
      <c r="G220" s="72"/>
      <c r="H220" s="74"/>
      <c r="I220" s="74"/>
      <c r="J220" s="75"/>
      <c r="K220" s="81"/>
      <c r="L220" s="76"/>
      <c r="M220" s="76"/>
      <c r="N220" s="76"/>
      <c r="O220" s="71"/>
      <c r="P220" s="70"/>
      <c r="Q220" s="71"/>
      <c r="R220" s="71"/>
      <c r="S220" s="70"/>
      <c r="T220" s="71"/>
      <c r="U220" s="71"/>
      <c r="V220" s="75"/>
      <c r="W220" s="69"/>
      <c r="X220" s="69"/>
      <c r="Y220" s="69"/>
      <c r="Z220" s="69"/>
      <c r="AA220" s="69"/>
      <c r="AB220" s="69"/>
      <c r="AC220" s="69"/>
      <c r="AD220" s="69"/>
      <c r="AE220" s="76"/>
      <c r="AF220" s="71"/>
      <c r="AG220" s="71"/>
      <c r="AH220" s="71"/>
      <c r="AI220" s="71"/>
      <c r="AJ220" s="71"/>
      <c r="AK220" s="71"/>
      <c r="AL220" s="71"/>
      <c r="AM220" s="71"/>
      <c r="AN220" s="68"/>
      <c r="AO220" s="68"/>
      <c r="AP220" s="70"/>
      <c r="AQ220" s="71"/>
      <c r="AR220" s="77"/>
      <c r="AS220" s="70"/>
      <c r="AT220" s="68"/>
      <c r="AU220" s="70"/>
      <c r="AV220" s="70"/>
      <c r="AW220" s="71"/>
      <c r="AX220" s="71"/>
      <c r="AY220" s="70"/>
      <c r="AZ220" s="76"/>
      <c r="BA220" s="76"/>
      <c r="BB220" s="76"/>
      <c r="BC220" s="78"/>
    </row>
    <row r="221" spans="1:55" x14ac:dyDescent="0.25">
      <c r="A221" s="68"/>
      <c r="B221" s="68"/>
      <c r="C221" s="68"/>
      <c r="D221" s="70"/>
      <c r="E221" s="70"/>
      <c r="F221" s="70"/>
      <c r="G221" s="72"/>
      <c r="H221" s="74"/>
      <c r="I221" s="74"/>
      <c r="J221" s="75"/>
      <c r="K221" s="81"/>
      <c r="L221" s="76"/>
      <c r="M221" s="76"/>
      <c r="N221" s="76"/>
      <c r="O221" s="71"/>
      <c r="P221" s="70"/>
      <c r="Q221" s="71"/>
      <c r="R221" s="71"/>
      <c r="S221" s="70"/>
      <c r="T221" s="71"/>
      <c r="U221" s="71"/>
      <c r="V221" s="75"/>
      <c r="W221" s="69"/>
      <c r="X221" s="69"/>
      <c r="Y221" s="69"/>
      <c r="Z221" s="69"/>
      <c r="AA221" s="69"/>
      <c r="AB221" s="69"/>
      <c r="AC221" s="69"/>
      <c r="AD221" s="69"/>
      <c r="AE221" s="76"/>
      <c r="AF221" s="71"/>
      <c r="AG221" s="71"/>
      <c r="AH221" s="71"/>
      <c r="AI221" s="71"/>
      <c r="AJ221" s="71"/>
      <c r="AK221" s="71"/>
      <c r="AL221" s="71"/>
      <c r="AM221" s="71"/>
      <c r="AN221" s="68"/>
      <c r="AO221" s="68"/>
      <c r="AP221" s="70"/>
      <c r="AQ221" s="71"/>
      <c r="AR221" s="77"/>
      <c r="AS221" s="70"/>
      <c r="AT221" s="68"/>
      <c r="AU221" s="70"/>
      <c r="AV221" s="70"/>
      <c r="AW221" s="71"/>
      <c r="AX221" s="71"/>
      <c r="AY221" s="70"/>
      <c r="AZ221" s="76"/>
      <c r="BA221" s="76"/>
      <c r="BB221" s="76"/>
      <c r="BC221" s="78"/>
    </row>
    <row r="222" spans="1:55" x14ac:dyDescent="0.25">
      <c r="A222" s="68"/>
      <c r="B222" s="68"/>
      <c r="C222" s="68"/>
      <c r="D222" s="70"/>
      <c r="E222" s="70"/>
      <c r="F222" s="70"/>
      <c r="G222" s="72"/>
      <c r="H222" s="74"/>
      <c r="I222" s="74"/>
      <c r="J222" s="75"/>
      <c r="K222" s="81"/>
      <c r="L222" s="76"/>
      <c r="M222" s="76"/>
      <c r="N222" s="76"/>
      <c r="O222" s="71"/>
      <c r="P222" s="70"/>
      <c r="Q222" s="71"/>
      <c r="R222" s="71"/>
      <c r="S222" s="70"/>
      <c r="T222" s="71"/>
      <c r="U222" s="71"/>
      <c r="V222" s="75"/>
      <c r="W222" s="69"/>
      <c r="X222" s="69"/>
      <c r="Y222" s="69"/>
      <c r="Z222" s="69"/>
      <c r="AA222" s="69"/>
      <c r="AB222" s="69"/>
      <c r="AC222" s="69"/>
      <c r="AD222" s="69"/>
      <c r="AE222" s="76"/>
      <c r="AF222" s="71"/>
      <c r="AG222" s="71"/>
      <c r="AH222" s="71"/>
      <c r="AI222" s="71"/>
      <c r="AJ222" s="71"/>
      <c r="AK222" s="71"/>
      <c r="AL222" s="71"/>
      <c r="AM222" s="71"/>
      <c r="AN222" s="68"/>
      <c r="AO222" s="68"/>
      <c r="AP222" s="70"/>
      <c r="AQ222" s="71"/>
      <c r="AR222" s="77"/>
      <c r="AS222" s="70"/>
      <c r="AT222" s="68"/>
      <c r="AU222" s="70"/>
      <c r="AV222" s="70"/>
      <c r="AW222" s="71"/>
      <c r="AX222" s="71"/>
      <c r="AY222" s="70"/>
      <c r="AZ222" s="76"/>
      <c r="BA222" s="76"/>
      <c r="BB222" s="76"/>
      <c r="BC222" s="78"/>
    </row>
    <row r="223" spans="1:55" x14ac:dyDescent="0.25">
      <c r="A223" s="68"/>
      <c r="B223" s="68"/>
      <c r="C223" s="68"/>
      <c r="D223" s="70"/>
      <c r="E223" s="70"/>
      <c r="F223" s="70"/>
      <c r="G223" s="72"/>
      <c r="H223" s="74"/>
      <c r="I223" s="74"/>
      <c r="J223" s="75"/>
      <c r="K223" s="81"/>
      <c r="L223" s="76"/>
      <c r="M223" s="76"/>
      <c r="N223" s="76"/>
      <c r="O223" s="71"/>
      <c r="P223" s="70"/>
      <c r="Q223" s="71"/>
      <c r="R223" s="71"/>
      <c r="S223" s="70"/>
      <c r="T223" s="71"/>
      <c r="U223" s="71"/>
      <c r="V223" s="75"/>
      <c r="W223" s="69"/>
      <c r="X223" s="69"/>
      <c r="Y223" s="69"/>
      <c r="Z223" s="69"/>
      <c r="AA223" s="69"/>
      <c r="AB223" s="69"/>
      <c r="AC223" s="69"/>
      <c r="AD223" s="69"/>
      <c r="AE223" s="76"/>
      <c r="AF223" s="71"/>
      <c r="AG223" s="71"/>
      <c r="AH223" s="71"/>
      <c r="AI223" s="71"/>
      <c r="AJ223" s="71"/>
      <c r="AK223" s="71"/>
      <c r="AL223" s="71"/>
      <c r="AM223" s="71"/>
      <c r="AN223" s="68"/>
      <c r="AO223" s="68"/>
      <c r="AP223" s="70"/>
      <c r="AQ223" s="71"/>
      <c r="AR223" s="77"/>
      <c r="AS223" s="70"/>
      <c r="AT223" s="68"/>
      <c r="AU223" s="70"/>
      <c r="AV223" s="70"/>
      <c r="AW223" s="71"/>
      <c r="AX223" s="71"/>
      <c r="AY223" s="70"/>
      <c r="AZ223" s="76"/>
      <c r="BA223" s="76"/>
      <c r="BB223" s="76"/>
      <c r="BC223" s="78"/>
    </row>
    <row r="224" spans="1:55" x14ac:dyDescent="0.25">
      <c r="A224" s="68"/>
      <c r="B224" s="68"/>
      <c r="C224" s="68"/>
      <c r="D224" s="70"/>
      <c r="E224" s="70"/>
      <c r="F224" s="70"/>
      <c r="G224" s="72"/>
      <c r="H224" s="74"/>
      <c r="I224" s="74"/>
      <c r="J224" s="75"/>
      <c r="K224" s="81"/>
      <c r="L224" s="76"/>
      <c r="M224" s="76"/>
      <c r="N224" s="76"/>
      <c r="O224" s="71"/>
      <c r="P224" s="70"/>
      <c r="Q224" s="71"/>
      <c r="R224" s="71"/>
      <c r="S224" s="70"/>
      <c r="T224" s="71"/>
      <c r="U224" s="71"/>
      <c r="V224" s="75"/>
      <c r="W224" s="69"/>
      <c r="X224" s="69"/>
      <c r="Y224" s="69"/>
      <c r="Z224" s="69"/>
      <c r="AA224" s="69"/>
      <c r="AB224" s="69"/>
      <c r="AC224" s="69"/>
      <c r="AD224" s="69"/>
      <c r="AE224" s="76"/>
      <c r="AF224" s="71"/>
      <c r="AG224" s="71"/>
      <c r="AH224" s="71"/>
      <c r="AI224" s="71"/>
      <c r="AJ224" s="71"/>
      <c r="AK224" s="71"/>
      <c r="AL224" s="71"/>
      <c r="AM224" s="71"/>
      <c r="AN224" s="68"/>
      <c r="AO224" s="68"/>
      <c r="AP224" s="70"/>
      <c r="AQ224" s="71"/>
      <c r="AR224" s="77"/>
      <c r="AS224" s="70"/>
      <c r="AT224" s="68"/>
      <c r="AU224" s="70"/>
      <c r="AV224" s="70"/>
      <c r="AW224" s="71"/>
      <c r="AX224" s="71"/>
      <c r="AY224" s="70"/>
      <c r="AZ224" s="76"/>
      <c r="BA224" s="76"/>
      <c r="BB224" s="76"/>
      <c r="BC224" s="78"/>
    </row>
    <row r="225" spans="1:55" x14ac:dyDescent="0.25">
      <c r="A225" s="68"/>
      <c r="B225" s="68"/>
      <c r="C225" s="68"/>
      <c r="D225" s="70"/>
      <c r="E225" s="70"/>
      <c r="F225" s="70"/>
      <c r="G225" s="72"/>
      <c r="H225" s="74"/>
      <c r="I225" s="74"/>
      <c r="J225" s="75"/>
      <c r="K225" s="81"/>
      <c r="L225" s="76"/>
      <c r="M225" s="76"/>
      <c r="N225" s="76"/>
      <c r="O225" s="71"/>
      <c r="P225" s="70"/>
      <c r="Q225" s="71"/>
      <c r="R225" s="71"/>
      <c r="S225" s="70"/>
      <c r="T225" s="71"/>
      <c r="U225" s="71"/>
      <c r="V225" s="75"/>
      <c r="W225" s="69"/>
      <c r="X225" s="69"/>
      <c r="Y225" s="69"/>
      <c r="Z225" s="69"/>
      <c r="AA225" s="69"/>
      <c r="AB225" s="69"/>
      <c r="AC225" s="69"/>
      <c r="AD225" s="69"/>
      <c r="AE225" s="76"/>
      <c r="AF225" s="71"/>
      <c r="AG225" s="71"/>
      <c r="AH225" s="71"/>
      <c r="AI225" s="71"/>
      <c r="AJ225" s="71"/>
      <c r="AK225" s="71"/>
      <c r="AL225" s="71"/>
      <c r="AM225" s="71"/>
      <c r="AN225" s="68"/>
      <c r="AO225" s="68"/>
      <c r="AP225" s="70"/>
      <c r="AQ225" s="71"/>
      <c r="AR225" s="77"/>
      <c r="AS225" s="70"/>
      <c r="AT225" s="68"/>
      <c r="AU225" s="70"/>
      <c r="AV225" s="70"/>
      <c r="AW225" s="71"/>
      <c r="AX225" s="71"/>
      <c r="AY225" s="70"/>
      <c r="AZ225" s="76"/>
      <c r="BA225" s="76"/>
      <c r="BB225" s="76"/>
      <c r="BC225" s="78"/>
    </row>
    <row r="226" spans="1:55" x14ac:dyDescent="0.25">
      <c r="A226" s="68"/>
      <c r="B226" s="68"/>
      <c r="C226" s="68"/>
      <c r="D226" s="70"/>
      <c r="E226" s="70"/>
      <c r="F226" s="70"/>
      <c r="G226" s="72"/>
      <c r="H226" s="74"/>
      <c r="I226" s="74"/>
      <c r="J226" s="75"/>
      <c r="K226" s="81"/>
      <c r="L226" s="76"/>
      <c r="M226" s="76"/>
      <c r="N226" s="76"/>
      <c r="O226" s="71"/>
      <c r="P226" s="70"/>
      <c r="Q226" s="71"/>
      <c r="R226" s="71"/>
      <c r="S226" s="70"/>
      <c r="T226" s="71"/>
      <c r="U226" s="71"/>
      <c r="V226" s="75"/>
      <c r="W226" s="69"/>
      <c r="X226" s="69"/>
      <c r="Y226" s="69"/>
      <c r="Z226" s="69"/>
      <c r="AA226" s="69"/>
      <c r="AB226" s="69"/>
      <c r="AC226" s="69"/>
      <c r="AD226" s="69"/>
      <c r="AE226" s="76"/>
      <c r="AF226" s="71"/>
      <c r="AG226" s="71"/>
      <c r="AH226" s="71"/>
      <c r="AI226" s="71"/>
      <c r="AJ226" s="71"/>
      <c r="AK226" s="71"/>
      <c r="AL226" s="71"/>
      <c r="AM226" s="71"/>
      <c r="AN226" s="68"/>
      <c r="AO226" s="68"/>
      <c r="AP226" s="70"/>
      <c r="AQ226" s="71"/>
      <c r="AR226" s="77"/>
      <c r="AS226" s="70"/>
      <c r="AT226" s="68"/>
      <c r="AU226" s="70"/>
      <c r="AV226" s="70"/>
      <c r="AW226" s="71"/>
      <c r="AX226" s="71"/>
      <c r="AY226" s="70"/>
      <c r="AZ226" s="76"/>
      <c r="BA226" s="76"/>
      <c r="BB226" s="76"/>
      <c r="BC226" s="78"/>
    </row>
    <row r="227" spans="1:55" x14ac:dyDescent="0.25">
      <c r="A227" s="68"/>
      <c r="B227" s="68"/>
      <c r="C227" s="68"/>
      <c r="D227" s="70"/>
      <c r="E227" s="70"/>
      <c r="F227" s="70"/>
      <c r="G227" s="72"/>
      <c r="H227" s="74"/>
      <c r="I227" s="74"/>
      <c r="J227" s="75"/>
      <c r="K227" s="81"/>
      <c r="L227" s="76"/>
      <c r="M227" s="76"/>
      <c r="N227" s="76"/>
      <c r="O227" s="71"/>
      <c r="P227" s="70"/>
      <c r="Q227" s="71"/>
      <c r="R227" s="71"/>
      <c r="S227" s="70"/>
      <c r="T227" s="71"/>
      <c r="U227" s="71"/>
      <c r="V227" s="75"/>
      <c r="W227" s="69"/>
      <c r="X227" s="69"/>
      <c r="Y227" s="69"/>
      <c r="Z227" s="69"/>
      <c r="AA227" s="69"/>
      <c r="AB227" s="69"/>
      <c r="AC227" s="69"/>
      <c r="AD227" s="69"/>
      <c r="AE227" s="76"/>
      <c r="AF227" s="71"/>
      <c r="AG227" s="71"/>
      <c r="AH227" s="71"/>
      <c r="AI227" s="71"/>
      <c r="AJ227" s="71"/>
      <c r="AK227" s="71"/>
      <c r="AL227" s="71"/>
      <c r="AM227" s="71"/>
      <c r="AN227" s="68"/>
      <c r="AO227" s="68"/>
      <c r="AP227" s="70"/>
      <c r="AQ227" s="71"/>
      <c r="AR227" s="77"/>
      <c r="AS227" s="70"/>
      <c r="AT227" s="68"/>
      <c r="AU227" s="70"/>
      <c r="AV227" s="70"/>
      <c r="AW227" s="71"/>
      <c r="AX227" s="71"/>
      <c r="AY227" s="70"/>
      <c r="AZ227" s="76"/>
      <c r="BA227" s="76"/>
      <c r="BB227" s="76"/>
      <c r="BC227" s="78"/>
    </row>
    <row r="228" spans="1:55" x14ac:dyDescent="0.25">
      <c r="A228" s="68"/>
      <c r="B228" s="68"/>
      <c r="C228" s="68"/>
      <c r="D228" s="70"/>
      <c r="E228" s="70"/>
      <c r="F228" s="70"/>
      <c r="G228" s="72"/>
      <c r="H228" s="74"/>
      <c r="I228" s="74"/>
      <c r="J228" s="75"/>
      <c r="K228" s="81"/>
      <c r="L228" s="76"/>
      <c r="M228" s="76"/>
      <c r="N228" s="76"/>
      <c r="O228" s="71"/>
      <c r="P228" s="70"/>
      <c r="Q228" s="71"/>
      <c r="R228" s="71"/>
      <c r="S228" s="70"/>
      <c r="T228" s="71"/>
      <c r="U228" s="71"/>
      <c r="V228" s="75"/>
      <c r="W228" s="69"/>
      <c r="X228" s="69"/>
      <c r="Y228" s="69"/>
      <c r="Z228" s="69"/>
      <c r="AA228" s="69"/>
      <c r="AB228" s="69"/>
      <c r="AC228" s="69"/>
      <c r="AD228" s="69"/>
      <c r="AE228" s="76"/>
      <c r="AF228" s="71"/>
      <c r="AG228" s="71"/>
      <c r="AH228" s="71"/>
      <c r="AI228" s="71"/>
      <c r="AJ228" s="71"/>
      <c r="AK228" s="71"/>
      <c r="AL228" s="71"/>
      <c r="AM228" s="71"/>
      <c r="AN228" s="68"/>
      <c r="AO228" s="68"/>
      <c r="AP228" s="70"/>
      <c r="AQ228" s="71"/>
      <c r="AR228" s="77"/>
      <c r="AS228" s="70"/>
      <c r="AT228" s="68"/>
      <c r="AU228" s="70"/>
      <c r="AV228" s="70"/>
      <c r="AW228" s="71"/>
      <c r="AX228" s="71"/>
      <c r="AY228" s="70"/>
      <c r="AZ228" s="76"/>
      <c r="BA228" s="76"/>
      <c r="BB228" s="76"/>
      <c r="BC228" s="78"/>
    </row>
    <row r="229" spans="1:55" x14ac:dyDescent="0.25">
      <c r="A229" s="68"/>
      <c r="B229" s="68"/>
      <c r="C229" s="68"/>
      <c r="D229" s="70"/>
      <c r="E229" s="70"/>
      <c r="F229" s="70"/>
      <c r="G229" s="72"/>
      <c r="H229" s="74"/>
      <c r="I229" s="74"/>
      <c r="J229" s="75"/>
      <c r="K229" s="81"/>
      <c r="L229" s="76"/>
      <c r="M229" s="76"/>
      <c r="N229" s="76"/>
      <c r="O229" s="71"/>
      <c r="P229" s="70"/>
      <c r="Q229" s="71"/>
      <c r="R229" s="71"/>
      <c r="S229" s="70"/>
      <c r="T229" s="71"/>
      <c r="U229" s="71"/>
      <c r="V229" s="75"/>
      <c r="W229" s="69"/>
      <c r="X229" s="69"/>
      <c r="Y229" s="69"/>
      <c r="Z229" s="69"/>
      <c r="AA229" s="69"/>
      <c r="AB229" s="69"/>
      <c r="AC229" s="69"/>
      <c r="AD229" s="69"/>
      <c r="AE229" s="76"/>
      <c r="AF229" s="71"/>
      <c r="AG229" s="71"/>
      <c r="AH229" s="71"/>
      <c r="AI229" s="71"/>
      <c r="AJ229" s="71"/>
      <c r="AK229" s="71"/>
      <c r="AL229" s="71"/>
      <c r="AM229" s="71"/>
      <c r="AN229" s="68"/>
      <c r="AO229" s="68"/>
      <c r="AP229" s="70"/>
      <c r="AQ229" s="71"/>
      <c r="AR229" s="77"/>
      <c r="AS229" s="70"/>
      <c r="AT229" s="68"/>
      <c r="AU229" s="70"/>
      <c r="AV229" s="70"/>
      <c r="AW229" s="71"/>
      <c r="AX229" s="71"/>
      <c r="AY229" s="70"/>
      <c r="AZ229" s="76"/>
      <c r="BA229" s="76"/>
      <c r="BB229" s="76"/>
      <c r="BC229" s="78"/>
    </row>
    <row r="230" spans="1:55" x14ac:dyDescent="0.25">
      <c r="A230" s="68"/>
      <c r="B230" s="68"/>
      <c r="C230" s="68"/>
      <c r="D230" s="70"/>
      <c r="E230" s="70"/>
      <c r="F230" s="70"/>
      <c r="G230" s="72"/>
      <c r="H230" s="74"/>
      <c r="I230" s="74"/>
      <c r="J230" s="75"/>
      <c r="K230" s="81"/>
      <c r="L230" s="76"/>
      <c r="M230" s="76"/>
      <c r="N230" s="76"/>
      <c r="O230" s="71"/>
      <c r="P230" s="70"/>
      <c r="Q230" s="71"/>
      <c r="R230" s="71"/>
      <c r="S230" s="70"/>
      <c r="T230" s="71"/>
      <c r="U230" s="71"/>
      <c r="V230" s="75"/>
      <c r="W230" s="69"/>
      <c r="X230" s="69"/>
      <c r="Y230" s="69"/>
      <c r="Z230" s="69"/>
      <c r="AA230" s="69"/>
      <c r="AB230" s="69"/>
      <c r="AC230" s="69"/>
      <c r="AD230" s="69"/>
      <c r="AE230" s="76"/>
      <c r="AF230" s="71"/>
      <c r="AG230" s="71"/>
      <c r="AH230" s="71"/>
      <c r="AI230" s="71"/>
      <c r="AJ230" s="71"/>
      <c r="AK230" s="71"/>
      <c r="AL230" s="71"/>
      <c r="AM230" s="71"/>
      <c r="AN230" s="68"/>
      <c r="AO230" s="68"/>
      <c r="AP230" s="70"/>
      <c r="AQ230" s="71"/>
      <c r="AR230" s="77"/>
      <c r="AS230" s="70"/>
      <c r="AT230" s="68"/>
      <c r="AU230" s="70"/>
      <c r="AV230" s="70"/>
      <c r="AW230" s="71"/>
      <c r="AX230" s="71"/>
      <c r="AY230" s="70"/>
      <c r="AZ230" s="76"/>
      <c r="BA230" s="76"/>
      <c r="BB230" s="76"/>
      <c r="BC230" s="78"/>
    </row>
    <row r="231" spans="1:55" x14ac:dyDescent="0.25">
      <c r="A231" s="68"/>
      <c r="B231" s="68"/>
      <c r="C231" s="68"/>
      <c r="D231" s="70"/>
      <c r="E231" s="70"/>
      <c r="F231" s="70"/>
      <c r="G231" s="72"/>
      <c r="H231" s="74"/>
      <c r="I231" s="74"/>
      <c r="J231" s="75"/>
      <c r="K231" s="81"/>
      <c r="L231" s="76"/>
      <c r="M231" s="76"/>
      <c r="N231" s="76"/>
      <c r="O231" s="71"/>
      <c r="P231" s="70"/>
      <c r="Q231" s="71"/>
      <c r="R231" s="71"/>
      <c r="S231" s="70"/>
      <c r="T231" s="71"/>
      <c r="U231" s="71"/>
      <c r="V231" s="75"/>
      <c r="W231" s="69"/>
      <c r="X231" s="69"/>
      <c r="Y231" s="69"/>
      <c r="Z231" s="69"/>
      <c r="AA231" s="69"/>
      <c r="AB231" s="69"/>
      <c r="AC231" s="69"/>
      <c r="AD231" s="69"/>
      <c r="AE231" s="76"/>
      <c r="AF231" s="71"/>
      <c r="AG231" s="71"/>
      <c r="AH231" s="71"/>
      <c r="AI231" s="71"/>
      <c r="AJ231" s="71"/>
      <c r="AK231" s="71"/>
      <c r="AL231" s="71"/>
      <c r="AM231" s="71"/>
      <c r="AN231" s="68"/>
      <c r="AO231" s="68"/>
      <c r="AP231" s="70"/>
      <c r="AQ231" s="71"/>
      <c r="AR231" s="77"/>
      <c r="AS231" s="70"/>
      <c r="AT231" s="68"/>
      <c r="AU231" s="70"/>
      <c r="AV231" s="70"/>
      <c r="AW231" s="71"/>
      <c r="AX231" s="71"/>
      <c r="AY231" s="70"/>
      <c r="AZ231" s="76"/>
      <c r="BA231" s="76"/>
      <c r="BB231" s="76"/>
      <c r="BC231" s="78"/>
    </row>
    <row r="232" spans="1:55" x14ac:dyDescent="0.25">
      <c r="A232" s="68"/>
      <c r="B232" s="68"/>
      <c r="C232" s="68"/>
      <c r="D232" s="70"/>
      <c r="E232" s="70"/>
      <c r="F232" s="70"/>
      <c r="G232" s="72"/>
      <c r="H232" s="74"/>
      <c r="I232" s="74"/>
      <c r="J232" s="75"/>
      <c r="K232" s="81"/>
      <c r="L232" s="76"/>
      <c r="M232" s="76"/>
      <c r="N232" s="76"/>
      <c r="O232" s="71"/>
      <c r="P232" s="70"/>
      <c r="Q232" s="71"/>
      <c r="R232" s="71"/>
      <c r="S232" s="70"/>
      <c r="T232" s="71"/>
      <c r="U232" s="71"/>
      <c r="V232" s="75"/>
      <c r="W232" s="69"/>
      <c r="X232" s="69"/>
      <c r="Y232" s="69"/>
      <c r="Z232" s="69"/>
      <c r="AA232" s="69"/>
      <c r="AB232" s="69"/>
      <c r="AC232" s="69"/>
      <c r="AD232" s="69"/>
      <c r="AE232" s="76"/>
      <c r="AF232" s="71"/>
      <c r="AG232" s="71"/>
      <c r="AH232" s="71"/>
      <c r="AI232" s="71"/>
      <c r="AJ232" s="71"/>
      <c r="AK232" s="71"/>
      <c r="AL232" s="71"/>
      <c r="AM232" s="71"/>
      <c r="AN232" s="68"/>
      <c r="AO232" s="68"/>
      <c r="AP232" s="70"/>
      <c r="AQ232" s="71"/>
      <c r="AR232" s="77"/>
      <c r="AS232" s="70"/>
      <c r="AT232" s="68"/>
      <c r="AU232" s="70"/>
      <c r="AV232" s="70"/>
      <c r="AW232" s="71"/>
      <c r="AX232" s="71"/>
      <c r="AY232" s="70"/>
      <c r="AZ232" s="76"/>
      <c r="BA232" s="76"/>
      <c r="BB232" s="76"/>
      <c r="BC232" s="78"/>
    </row>
    <row r="233" spans="1:55" x14ac:dyDescent="0.25">
      <c r="A233" s="68"/>
      <c r="B233" s="68"/>
      <c r="C233" s="68"/>
      <c r="D233" s="70"/>
      <c r="E233" s="70"/>
      <c r="F233" s="70"/>
      <c r="G233" s="72"/>
      <c r="H233" s="74"/>
      <c r="I233" s="74"/>
      <c r="J233" s="75"/>
      <c r="K233" s="81"/>
      <c r="L233" s="76"/>
      <c r="M233" s="76"/>
      <c r="N233" s="76"/>
      <c r="O233" s="71"/>
      <c r="P233" s="70"/>
      <c r="Q233" s="71"/>
      <c r="R233" s="71"/>
      <c r="S233" s="70"/>
      <c r="T233" s="71"/>
      <c r="U233" s="71"/>
      <c r="V233" s="75"/>
      <c r="W233" s="69"/>
      <c r="X233" s="69"/>
      <c r="Y233" s="69"/>
      <c r="Z233" s="69"/>
      <c r="AA233" s="69"/>
      <c r="AB233" s="69"/>
      <c r="AC233" s="69"/>
      <c r="AD233" s="69"/>
      <c r="AE233" s="76"/>
      <c r="AF233" s="71"/>
      <c r="AG233" s="71"/>
      <c r="AH233" s="71"/>
      <c r="AI233" s="71"/>
      <c r="AJ233" s="71"/>
      <c r="AK233" s="71"/>
      <c r="AL233" s="71"/>
      <c r="AM233" s="71"/>
      <c r="AN233" s="68"/>
      <c r="AO233" s="68"/>
      <c r="AP233" s="70"/>
      <c r="AQ233" s="71"/>
      <c r="AR233" s="77"/>
      <c r="AS233" s="70"/>
      <c r="AT233" s="68"/>
      <c r="AU233" s="70"/>
      <c r="AV233" s="70"/>
      <c r="AW233" s="71"/>
      <c r="AX233" s="71"/>
      <c r="AY233" s="70"/>
      <c r="AZ233" s="76"/>
      <c r="BA233" s="76"/>
      <c r="BB233" s="76"/>
      <c r="BC233" s="78"/>
    </row>
    <row r="234" spans="1:55" x14ac:dyDescent="0.25">
      <c r="A234" s="68"/>
      <c r="B234" s="68"/>
      <c r="C234" s="68"/>
      <c r="D234" s="70"/>
      <c r="E234" s="70"/>
      <c r="F234" s="70"/>
      <c r="G234" s="72"/>
      <c r="H234" s="74"/>
      <c r="I234" s="74"/>
      <c r="J234" s="75"/>
      <c r="K234" s="81"/>
      <c r="L234" s="76"/>
      <c r="M234" s="76"/>
      <c r="N234" s="76"/>
      <c r="O234" s="71"/>
      <c r="P234" s="70"/>
      <c r="Q234" s="71"/>
      <c r="R234" s="71"/>
      <c r="S234" s="70"/>
      <c r="T234" s="71"/>
      <c r="U234" s="71"/>
      <c r="V234" s="75"/>
      <c r="W234" s="69"/>
      <c r="X234" s="69"/>
      <c r="Y234" s="69"/>
      <c r="Z234" s="69"/>
      <c r="AA234" s="69"/>
      <c r="AB234" s="69"/>
      <c r="AC234" s="69"/>
      <c r="AD234" s="69"/>
      <c r="AE234" s="76"/>
      <c r="AF234" s="71"/>
      <c r="AG234" s="71"/>
      <c r="AH234" s="71"/>
      <c r="AI234" s="71"/>
      <c r="AJ234" s="71"/>
      <c r="AK234" s="71"/>
      <c r="AL234" s="71"/>
      <c r="AM234" s="71"/>
      <c r="AN234" s="68"/>
      <c r="AO234" s="68"/>
      <c r="AP234" s="70"/>
      <c r="AQ234" s="71"/>
      <c r="AR234" s="77"/>
      <c r="AS234" s="70"/>
      <c r="AT234" s="68"/>
      <c r="AU234" s="70"/>
      <c r="AV234" s="70"/>
      <c r="AW234" s="71"/>
      <c r="AX234" s="71"/>
      <c r="AY234" s="70"/>
      <c r="AZ234" s="76"/>
      <c r="BA234" s="76"/>
      <c r="BB234" s="76"/>
      <c r="BC234" s="78"/>
    </row>
    <row r="235" spans="1:55" x14ac:dyDescent="0.25">
      <c r="A235" s="68"/>
      <c r="B235" s="68"/>
      <c r="C235" s="68"/>
      <c r="D235" s="70"/>
      <c r="E235" s="70"/>
      <c r="F235" s="70"/>
      <c r="G235" s="72"/>
      <c r="H235" s="74"/>
      <c r="I235" s="74"/>
      <c r="J235" s="75"/>
      <c r="K235" s="81"/>
      <c r="L235" s="76"/>
      <c r="M235" s="76"/>
      <c r="N235" s="76"/>
      <c r="O235" s="71"/>
      <c r="P235" s="70"/>
      <c r="Q235" s="71"/>
      <c r="R235" s="71"/>
      <c r="S235" s="70"/>
      <c r="T235" s="71"/>
      <c r="U235" s="71"/>
      <c r="V235" s="75"/>
      <c r="W235" s="69"/>
      <c r="X235" s="69"/>
      <c r="Y235" s="69"/>
      <c r="Z235" s="69"/>
      <c r="AA235" s="69"/>
      <c r="AB235" s="69"/>
      <c r="AC235" s="69"/>
      <c r="AD235" s="69"/>
      <c r="AE235" s="76"/>
      <c r="AF235" s="71"/>
      <c r="AG235" s="71"/>
      <c r="AH235" s="71"/>
      <c r="AI235" s="71"/>
      <c r="AJ235" s="71"/>
      <c r="AK235" s="71"/>
      <c r="AL235" s="71"/>
      <c r="AM235" s="71"/>
      <c r="AN235" s="68"/>
      <c r="AO235" s="68"/>
      <c r="AP235" s="70"/>
      <c r="AQ235" s="71"/>
      <c r="AR235" s="77"/>
      <c r="AS235" s="70"/>
      <c r="AT235" s="68"/>
      <c r="AU235" s="70"/>
      <c r="AV235" s="70"/>
      <c r="AW235" s="71"/>
      <c r="AX235" s="71"/>
      <c r="AY235" s="70"/>
      <c r="AZ235" s="76"/>
      <c r="BA235" s="76"/>
      <c r="BB235" s="76"/>
      <c r="BC235" s="78"/>
    </row>
    <row r="236" spans="1:55" x14ac:dyDescent="0.25">
      <c r="A236" s="68"/>
      <c r="B236" s="68"/>
      <c r="C236" s="68"/>
      <c r="D236" s="70"/>
      <c r="E236" s="70"/>
      <c r="F236" s="70"/>
      <c r="G236" s="72"/>
      <c r="H236" s="74"/>
      <c r="I236" s="74"/>
      <c r="J236" s="75"/>
      <c r="K236" s="81"/>
      <c r="L236" s="76"/>
      <c r="M236" s="76"/>
      <c r="N236" s="76"/>
      <c r="O236" s="71"/>
      <c r="P236" s="70"/>
      <c r="Q236" s="71"/>
      <c r="R236" s="71"/>
      <c r="S236" s="70"/>
      <c r="T236" s="71"/>
      <c r="U236" s="71"/>
      <c r="V236" s="75"/>
      <c r="W236" s="69"/>
      <c r="X236" s="69"/>
      <c r="Y236" s="69"/>
      <c r="Z236" s="69"/>
      <c r="AA236" s="69"/>
      <c r="AB236" s="69"/>
      <c r="AC236" s="69"/>
      <c r="AD236" s="69"/>
      <c r="AE236" s="76"/>
      <c r="AF236" s="71"/>
      <c r="AG236" s="71"/>
      <c r="AH236" s="71"/>
      <c r="AI236" s="71"/>
      <c r="AJ236" s="71"/>
      <c r="AK236" s="71"/>
      <c r="AL236" s="71"/>
      <c r="AM236" s="71"/>
      <c r="AN236" s="68"/>
      <c r="AO236" s="68"/>
      <c r="AP236" s="70"/>
      <c r="AQ236" s="71"/>
      <c r="AR236" s="77"/>
      <c r="AS236" s="70"/>
      <c r="AT236" s="68"/>
      <c r="AU236" s="70"/>
      <c r="AV236" s="70"/>
      <c r="AW236" s="71"/>
      <c r="AX236" s="71"/>
      <c r="AY236" s="70"/>
      <c r="AZ236" s="76"/>
      <c r="BA236" s="76"/>
      <c r="BB236" s="76"/>
      <c r="BC236" s="78"/>
    </row>
    <row r="237" spans="1:55" x14ac:dyDescent="0.25">
      <c r="A237" s="68"/>
      <c r="B237" s="68"/>
      <c r="C237" s="68"/>
      <c r="D237" s="70"/>
      <c r="E237" s="70"/>
      <c r="F237" s="70"/>
      <c r="G237" s="72"/>
      <c r="H237" s="74"/>
      <c r="I237" s="74"/>
      <c r="J237" s="75"/>
      <c r="K237" s="81"/>
      <c r="L237" s="76"/>
      <c r="M237" s="76"/>
      <c r="N237" s="76"/>
      <c r="O237" s="71"/>
      <c r="P237" s="70"/>
      <c r="Q237" s="71"/>
      <c r="R237" s="71"/>
      <c r="S237" s="70"/>
      <c r="T237" s="71"/>
      <c r="U237" s="71"/>
      <c r="V237" s="75"/>
      <c r="W237" s="69"/>
      <c r="X237" s="69"/>
      <c r="Y237" s="69"/>
      <c r="Z237" s="69"/>
      <c r="AA237" s="69"/>
      <c r="AB237" s="69"/>
      <c r="AC237" s="69"/>
      <c r="AD237" s="69"/>
      <c r="AE237" s="76"/>
      <c r="AF237" s="71"/>
      <c r="AG237" s="71"/>
      <c r="AH237" s="71"/>
      <c r="AI237" s="71"/>
      <c r="AJ237" s="71"/>
      <c r="AK237" s="71"/>
      <c r="AL237" s="71"/>
      <c r="AM237" s="71"/>
      <c r="AN237" s="68"/>
      <c r="AO237" s="68"/>
      <c r="AP237" s="70"/>
      <c r="AQ237" s="71"/>
      <c r="AR237" s="77"/>
      <c r="AS237" s="70"/>
      <c r="AT237" s="68"/>
      <c r="AU237" s="70"/>
      <c r="AV237" s="70"/>
      <c r="AW237" s="71"/>
      <c r="AX237" s="71"/>
      <c r="AY237" s="70"/>
      <c r="AZ237" s="76"/>
      <c r="BA237" s="76"/>
      <c r="BB237" s="76"/>
      <c r="BC237" s="78"/>
    </row>
    <row r="238" spans="1:55" x14ac:dyDescent="0.25">
      <c r="A238" s="68"/>
      <c r="B238" s="68"/>
      <c r="C238" s="68"/>
      <c r="D238" s="70"/>
      <c r="E238" s="70"/>
      <c r="F238" s="70"/>
      <c r="G238" s="72"/>
      <c r="H238" s="74"/>
      <c r="I238" s="74"/>
      <c r="J238" s="75"/>
      <c r="K238" s="81"/>
      <c r="L238" s="76"/>
      <c r="M238" s="76"/>
      <c r="N238" s="76"/>
      <c r="O238" s="71"/>
      <c r="P238" s="70"/>
      <c r="Q238" s="71"/>
      <c r="R238" s="71"/>
      <c r="S238" s="70"/>
      <c r="T238" s="71"/>
      <c r="U238" s="71"/>
      <c r="V238" s="75"/>
      <c r="W238" s="69"/>
      <c r="X238" s="69"/>
      <c r="Y238" s="69"/>
      <c r="Z238" s="69"/>
      <c r="AA238" s="69"/>
      <c r="AB238" s="69"/>
      <c r="AC238" s="69"/>
      <c r="AD238" s="69"/>
      <c r="AE238" s="76"/>
      <c r="AF238" s="71"/>
      <c r="AG238" s="71"/>
      <c r="AH238" s="71"/>
      <c r="AI238" s="71"/>
      <c r="AJ238" s="71"/>
      <c r="AK238" s="71"/>
      <c r="AL238" s="71"/>
      <c r="AM238" s="71"/>
      <c r="AN238" s="68"/>
      <c r="AO238" s="68"/>
      <c r="AP238" s="70"/>
      <c r="AQ238" s="71"/>
      <c r="AR238" s="77"/>
      <c r="AS238" s="70"/>
      <c r="AT238" s="68"/>
      <c r="AU238" s="70"/>
      <c r="AV238" s="70"/>
      <c r="AW238" s="71"/>
      <c r="AX238" s="71"/>
      <c r="AY238" s="70"/>
      <c r="AZ238" s="76"/>
      <c r="BA238" s="76"/>
      <c r="BB238" s="76"/>
      <c r="BC238" s="78"/>
    </row>
    <row r="239" spans="1:55" x14ac:dyDescent="0.25">
      <c r="A239" s="68"/>
      <c r="B239" s="68"/>
      <c r="C239" s="68"/>
      <c r="D239" s="70"/>
      <c r="E239" s="70"/>
      <c r="F239" s="70"/>
      <c r="G239" s="72"/>
      <c r="H239" s="74"/>
      <c r="I239" s="74"/>
      <c r="J239" s="75"/>
      <c r="K239" s="81"/>
      <c r="L239" s="76"/>
      <c r="M239" s="76"/>
      <c r="N239" s="76"/>
      <c r="O239" s="71"/>
      <c r="P239" s="70"/>
      <c r="Q239" s="71"/>
      <c r="R239" s="71"/>
      <c r="S239" s="70"/>
      <c r="T239" s="71"/>
      <c r="U239" s="71"/>
      <c r="V239" s="75"/>
      <c r="W239" s="69"/>
      <c r="X239" s="69"/>
      <c r="Y239" s="69"/>
      <c r="Z239" s="69"/>
      <c r="AA239" s="69"/>
      <c r="AB239" s="69"/>
      <c r="AC239" s="69"/>
      <c r="AD239" s="69"/>
      <c r="AE239" s="76"/>
      <c r="AF239" s="71"/>
      <c r="AG239" s="71"/>
      <c r="AH239" s="71"/>
      <c r="AI239" s="71"/>
      <c r="AJ239" s="71"/>
      <c r="AK239" s="71"/>
      <c r="AL239" s="71"/>
      <c r="AM239" s="71"/>
      <c r="AN239" s="68"/>
      <c r="AO239" s="68"/>
      <c r="AP239" s="70"/>
      <c r="AQ239" s="71"/>
      <c r="AR239" s="77"/>
      <c r="AS239" s="70"/>
      <c r="AT239" s="68"/>
      <c r="AU239" s="70"/>
      <c r="AV239" s="70"/>
      <c r="AW239" s="71"/>
      <c r="AX239" s="71"/>
      <c r="AY239" s="70"/>
      <c r="AZ239" s="76"/>
      <c r="BA239" s="76"/>
      <c r="BB239" s="76"/>
      <c r="BC239" s="78"/>
    </row>
    <row r="240" spans="1:55" x14ac:dyDescent="0.25">
      <c r="A240" s="68"/>
      <c r="B240" s="68"/>
      <c r="C240" s="68"/>
      <c r="D240" s="70"/>
      <c r="E240" s="70"/>
      <c r="F240" s="70"/>
      <c r="G240" s="72"/>
      <c r="H240" s="74"/>
      <c r="I240" s="74"/>
      <c r="J240" s="75"/>
      <c r="K240" s="81"/>
      <c r="L240" s="76"/>
      <c r="M240" s="76"/>
      <c r="N240" s="76"/>
      <c r="O240" s="71"/>
      <c r="P240" s="70"/>
      <c r="Q240" s="71"/>
      <c r="R240" s="71"/>
      <c r="S240" s="70"/>
      <c r="T240" s="71"/>
      <c r="U240" s="71"/>
      <c r="V240" s="75"/>
      <c r="W240" s="69"/>
      <c r="X240" s="69"/>
      <c r="Y240" s="69"/>
      <c r="Z240" s="69"/>
      <c r="AA240" s="69"/>
      <c r="AB240" s="69"/>
      <c r="AC240" s="69"/>
      <c r="AD240" s="69"/>
      <c r="AE240" s="76"/>
      <c r="AF240" s="71"/>
      <c r="AG240" s="71"/>
      <c r="AH240" s="71"/>
      <c r="AI240" s="71"/>
      <c r="AJ240" s="71"/>
      <c r="AK240" s="71"/>
      <c r="AL240" s="71"/>
      <c r="AM240" s="71"/>
      <c r="AN240" s="68"/>
      <c r="AO240" s="68"/>
      <c r="AP240" s="70"/>
      <c r="AQ240" s="71"/>
      <c r="AR240" s="77"/>
      <c r="AS240" s="70"/>
      <c r="AT240" s="68"/>
      <c r="AU240" s="70"/>
      <c r="AV240" s="70"/>
      <c r="AW240" s="71"/>
      <c r="AX240" s="71"/>
      <c r="AY240" s="70"/>
      <c r="AZ240" s="76"/>
      <c r="BA240" s="76"/>
      <c r="BB240" s="76"/>
      <c r="BC240" s="78"/>
    </row>
    <row r="241" spans="1:55" x14ac:dyDescent="0.25">
      <c r="A241" s="68"/>
      <c r="B241" s="68"/>
      <c r="C241" s="68"/>
      <c r="D241" s="70"/>
      <c r="E241" s="70"/>
      <c r="F241" s="70"/>
      <c r="G241" s="72"/>
      <c r="H241" s="74"/>
      <c r="I241" s="74"/>
      <c r="J241" s="75"/>
      <c r="K241" s="81"/>
      <c r="L241" s="76"/>
      <c r="M241" s="76"/>
      <c r="N241" s="76"/>
      <c r="O241" s="71"/>
      <c r="P241" s="70"/>
      <c r="Q241" s="71"/>
      <c r="R241" s="71"/>
      <c r="S241" s="70"/>
      <c r="T241" s="71"/>
      <c r="U241" s="71"/>
      <c r="V241" s="75"/>
      <c r="W241" s="69"/>
      <c r="X241" s="69"/>
      <c r="Y241" s="69"/>
      <c r="Z241" s="69"/>
      <c r="AA241" s="69"/>
      <c r="AB241" s="69"/>
      <c r="AC241" s="69"/>
      <c r="AD241" s="69"/>
      <c r="AE241" s="76"/>
      <c r="AF241" s="71"/>
      <c r="AG241" s="71"/>
      <c r="AH241" s="71"/>
      <c r="AI241" s="71"/>
      <c r="AJ241" s="71"/>
      <c r="AK241" s="71"/>
      <c r="AL241" s="71"/>
      <c r="AM241" s="71"/>
      <c r="AN241" s="68"/>
      <c r="AO241" s="68"/>
      <c r="AP241" s="70"/>
      <c r="AQ241" s="71"/>
      <c r="AR241" s="77"/>
      <c r="AS241" s="70"/>
      <c r="AT241" s="68"/>
      <c r="AU241" s="70"/>
      <c r="AV241" s="70"/>
      <c r="AW241" s="71"/>
      <c r="AX241" s="71"/>
      <c r="AY241" s="70"/>
      <c r="AZ241" s="76"/>
      <c r="BA241" s="76"/>
      <c r="BB241" s="76"/>
      <c r="BC241" s="78"/>
    </row>
    <row r="242" spans="1:55" x14ac:dyDescent="0.25">
      <c r="A242" s="68"/>
      <c r="B242" s="68"/>
      <c r="C242" s="68"/>
      <c r="D242" s="70"/>
      <c r="E242" s="70"/>
      <c r="F242" s="70"/>
      <c r="G242" s="72"/>
      <c r="H242" s="74"/>
      <c r="I242" s="74"/>
      <c r="J242" s="75"/>
      <c r="K242" s="81"/>
      <c r="L242" s="76"/>
      <c r="M242" s="76"/>
      <c r="N242" s="76"/>
      <c r="O242" s="71"/>
      <c r="P242" s="70"/>
      <c r="Q242" s="71"/>
      <c r="R242" s="71"/>
      <c r="S242" s="70"/>
      <c r="T242" s="71"/>
      <c r="U242" s="71"/>
      <c r="V242" s="75"/>
      <c r="W242" s="69"/>
      <c r="X242" s="69"/>
      <c r="Y242" s="69"/>
      <c r="Z242" s="69"/>
      <c r="AA242" s="69"/>
      <c r="AB242" s="69"/>
      <c r="AC242" s="69"/>
      <c r="AD242" s="69"/>
      <c r="AE242" s="76"/>
      <c r="AF242" s="71"/>
      <c r="AG242" s="71"/>
      <c r="AH242" s="71"/>
      <c r="AI242" s="71"/>
      <c r="AJ242" s="71"/>
      <c r="AK242" s="71"/>
      <c r="AL242" s="71"/>
      <c r="AM242" s="71"/>
      <c r="AN242" s="68"/>
      <c r="AO242" s="68"/>
      <c r="AP242" s="70"/>
      <c r="AQ242" s="71"/>
      <c r="AR242" s="77"/>
      <c r="AS242" s="70"/>
      <c r="AT242" s="68"/>
      <c r="AU242" s="70"/>
      <c r="AV242" s="70"/>
      <c r="AW242" s="71"/>
      <c r="AX242" s="71"/>
      <c r="AY242" s="70"/>
      <c r="AZ242" s="76"/>
      <c r="BA242" s="76"/>
      <c r="BB242" s="76"/>
      <c r="BC242" s="78"/>
    </row>
    <row r="243" spans="1:55" x14ac:dyDescent="0.25">
      <c r="A243" s="68"/>
      <c r="B243" s="68"/>
      <c r="C243" s="68"/>
      <c r="D243" s="70"/>
      <c r="E243" s="70"/>
      <c r="F243" s="70"/>
      <c r="G243" s="72"/>
      <c r="H243" s="74"/>
      <c r="I243" s="74"/>
      <c r="J243" s="75"/>
      <c r="K243" s="81"/>
      <c r="L243" s="76"/>
      <c r="M243" s="76"/>
      <c r="N243" s="76"/>
      <c r="O243" s="71"/>
      <c r="P243" s="70"/>
      <c r="Q243" s="71"/>
      <c r="R243" s="71"/>
      <c r="S243" s="70"/>
      <c r="T243" s="71"/>
      <c r="U243" s="71"/>
      <c r="V243" s="75"/>
      <c r="W243" s="69"/>
      <c r="X243" s="69"/>
      <c r="Y243" s="69"/>
      <c r="Z243" s="69"/>
      <c r="AA243" s="69"/>
      <c r="AB243" s="69"/>
      <c r="AC243" s="69"/>
      <c r="AD243" s="69"/>
      <c r="AE243" s="76"/>
      <c r="AF243" s="71"/>
      <c r="AG243" s="71"/>
      <c r="AH243" s="71"/>
      <c r="AI243" s="71"/>
      <c r="AJ243" s="71"/>
      <c r="AK243" s="71"/>
      <c r="AL243" s="71"/>
      <c r="AM243" s="71"/>
      <c r="AN243" s="68"/>
      <c r="AO243" s="68"/>
      <c r="AP243" s="70"/>
      <c r="AQ243" s="71"/>
      <c r="AR243" s="77"/>
      <c r="AS243" s="70"/>
      <c r="AT243" s="68"/>
      <c r="AU243" s="70"/>
      <c r="AV243" s="70"/>
      <c r="AW243" s="71"/>
      <c r="AX243" s="71"/>
      <c r="AY243" s="70"/>
      <c r="AZ243" s="76"/>
      <c r="BA243" s="76"/>
      <c r="BB243" s="76"/>
      <c r="BC243" s="78"/>
    </row>
    <row r="244" spans="1:55" x14ac:dyDescent="0.25">
      <c r="A244" s="68"/>
      <c r="B244" s="68"/>
      <c r="C244" s="68"/>
      <c r="D244" s="70"/>
      <c r="E244" s="70"/>
      <c r="F244" s="70"/>
      <c r="G244" s="72"/>
      <c r="H244" s="74"/>
      <c r="I244" s="74"/>
      <c r="J244" s="75"/>
      <c r="K244" s="81"/>
      <c r="L244" s="76"/>
      <c r="M244" s="76"/>
      <c r="N244" s="76"/>
      <c r="O244" s="71"/>
      <c r="P244" s="70"/>
      <c r="Q244" s="71"/>
      <c r="R244" s="71"/>
      <c r="S244" s="70"/>
      <c r="T244" s="71"/>
      <c r="U244" s="71"/>
      <c r="V244" s="75"/>
      <c r="W244" s="69"/>
      <c r="X244" s="69"/>
      <c r="Y244" s="69"/>
      <c r="Z244" s="69"/>
      <c r="AA244" s="69"/>
      <c r="AB244" s="69"/>
      <c r="AC244" s="69"/>
      <c r="AD244" s="69"/>
      <c r="AE244" s="76"/>
      <c r="AF244" s="71"/>
      <c r="AG244" s="71"/>
      <c r="AH244" s="71"/>
      <c r="AI244" s="71"/>
      <c r="AJ244" s="71"/>
      <c r="AK244" s="71"/>
      <c r="AL244" s="71"/>
      <c r="AM244" s="71"/>
      <c r="AN244" s="68"/>
      <c r="AO244" s="68"/>
      <c r="AP244" s="70"/>
      <c r="AQ244" s="71"/>
      <c r="AR244" s="77"/>
      <c r="AS244" s="70"/>
      <c r="AT244" s="68"/>
      <c r="AU244" s="70"/>
      <c r="AV244" s="70"/>
      <c r="AW244" s="71"/>
      <c r="AX244" s="71"/>
      <c r="AY244" s="70"/>
      <c r="AZ244" s="76"/>
      <c r="BA244" s="76"/>
      <c r="BB244" s="76"/>
      <c r="BC244" s="78"/>
    </row>
    <row r="245" spans="1:55" x14ac:dyDescent="0.25">
      <c r="A245" s="68"/>
      <c r="B245" s="68"/>
      <c r="C245" s="68"/>
      <c r="D245" s="70"/>
      <c r="E245" s="70"/>
      <c r="F245" s="70"/>
      <c r="G245" s="72"/>
      <c r="H245" s="74"/>
      <c r="I245" s="74"/>
      <c r="J245" s="75"/>
      <c r="K245" s="81"/>
      <c r="L245" s="76"/>
      <c r="M245" s="76"/>
      <c r="N245" s="76"/>
      <c r="O245" s="71"/>
      <c r="P245" s="70"/>
      <c r="Q245" s="71"/>
      <c r="R245" s="71"/>
      <c r="S245" s="70"/>
      <c r="T245" s="71"/>
      <c r="U245" s="71"/>
      <c r="V245" s="75"/>
      <c r="W245" s="69"/>
      <c r="X245" s="69"/>
      <c r="Y245" s="69"/>
      <c r="Z245" s="69"/>
      <c r="AA245" s="69"/>
      <c r="AB245" s="69"/>
      <c r="AC245" s="69"/>
      <c r="AD245" s="69"/>
      <c r="AE245" s="76"/>
      <c r="AF245" s="71"/>
      <c r="AG245" s="71"/>
      <c r="AH245" s="71"/>
      <c r="AI245" s="71"/>
      <c r="AJ245" s="71"/>
      <c r="AK245" s="71"/>
      <c r="AL245" s="71"/>
      <c r="AM245" s="71"/>
      <c r="AN245" s="68"/>
      <c r="AO245" s="68"/>
      <c r="AP245" s="70"/>
      <c r="AQ245" s="71"/>
      <c r="AR245" s="77"/>
      <c r="AS245" s="70"/>
      <c r="AT245" s="68"/>
      <c r="AU245" s="70"/>
      <c r="AV245" s="70"/>
      <c r="AW245" s="71"/>
      <c r="AX245" s="71"/>
      <c r="AY245" s="70"/>
      <c r="AZ245" s="76"/>
      <c r="BA245" s="76"/>
      <c r="BB245" s="76"/>
      <c r="BC245" s="78"/>
    </row>
    <row r="246" spans="1:55" x14ac:dyDescent="0.25">
      <c r="A246" s="68"/>
      <c r="B246" s="68"/>
      <c r="C246" s="68"/>
      <c r="D246" s="70"/>
      <c r="E246" s="70"/>
      <c r="F246" s="70"/>
      <c r="G246" s="72"/>
      <c r="H246" s="74"/>
      <c r="I246" s="74"/>
      <c r="J246" s="75"/>
      <c r="K246" s="81"/>
      <c r="L246" s="76"/>
      <c r="M246" s="76"/>
      <c r="N246" s="76"/>
      <c r="O246" s="71"/>
      <c r="P246" s="70"/>
      <c r="Q246" s="71"/>
      <c r="R246" s="71"/>
      <c r="S246" s="70"/>
      <c r="T246" s="71"/>
      <c r="U246" s="71"/>
      <c r="V246" s="75"/>
      <c r="W246" s="69"/>
      <c r="X246" s="69"/>
      <c r="Y246" s="69"/>
      <c r="Z246" s="69"/>
      <c r="AA246" s="69"/>
      <c r="AB246" s="69"/>
      <c r="AC246" s="69"/>
      <c r="AD246" s="69"/>
      <c r="AE246" s="76"/>
      <c r="AF246" s="71"/>
      <c r="AG246" s="71"/>
      <c r="AH246" s="71"/>
      <c r="AI246" s="71"/>
      <c r="AJ246" s="71"/>
      <c r="AK246" s="71"/>
      <c r="AL246" s="71"/>
      <c r="AM246" s="71"/>
      <c r="AN246" s="68"/>
      <c r="AO246" s="68"/>
      <c r="AP246" s="70"/>
      <c r="AQ246" s="71"/>
      <c r="AR246" s="77"/>
      <c r="AS246" s="70"/>
      <c r="AT246" s="68"/>
      <c r="AU246" s="70"/>
      <c r="AV246" s="70"/>
      <c r="AW246" s="71"/>
      <c r="AX246" s="71"/>
      <c r="AY246" s="70"/>
      <c r="AZ246" s="76"/>
      <c r="BA246" s="76"/>
      <c r="BB246" s="76"/>
      <c r="BC246" s="78"/>
    </row>
    <row r="247" spans="1:55" x14ac:dyDescent="0.25">
      <c r="A247" s="68"/>
      <c r="B247" s="68"/>
      <c r="C247" s="68"/>
      <c r="D247" s="70"/>
      <c r="E247" s="70"/>
      <c r="F247" s="70"/>
      <c r="G247" s="72"/>
      <c r="H247" s="74"/>
      <c r="I247" s="74"/>
      <c r="J247" s="75"/>
      <c r="K247" s="81"/>
      <c r="L247" s="76"/>
      <c r="M247" s="76"/>
      <c r="N247" s="76"/>
      <c r="O247" s="71"/>
      <c r="P247" s="70"/>
      <c r="Q247" s="71"/>
      <c r="R247" s="71"/>
      <c r="S247" s="70"/>
      <c r="T247" s="71"/>
      <c r="U247" s="71"/>
      <c r="V247" s="75"/>
      <c r="W247" s="69"/>
      <c r="X247" s="69"/>
      <c r="Y247" s="69"/>
      <c r="Z247" s="69"/>
      <c r="AA247" s="69"/>
      <c r="AB247" s="69"/>
      <c r="AC247" s="69"/>
      <c r="AD247" s="69"/>
      <c r="AE247" s="76"/>
      <c r="AF247" s="71"/>
      <c r="AG247" s="71"/>
      <c r="AH247" s="71"/>
      <c r="AI247" s="71"/>
      <c r="AJ247" s="71"/>
      <c r="AK247" s="71"/>
      <c r="AL247" s="71"/>
      <c r="AM247" s="71"/>
      <c r="AN247" s="68"/>
      <c r="AO247" s="68"/>
      <c r="AP247" s="70"/>
      <c r="AQ247" s="71"/>
      <c r="AR247" s="77"/>
      <c r="AS247" s="70"/>
      <c r="AT247" s="68"/>
      <c r="AU247" s="70"/>
      <c r="AV247" s="70"/>
      <c r="AW247" s="71"/>
      <c r="AX247" s="71"/>
      <c r="AY247" s="70"/>
      <c r="AZ247" s="76"/>
      <c r="BA247" s="76"/>
      <c r="BB247" s="76"/>
      <c r="BC247" s="78"/>
    </row>
    <row r="248" spans="1:55" x14ac:dyDescent="0.25">
      <c r="A248" s="68"/>
      <c r="B248" s="68"/>
      <c r="C248" s="68"/>
      <c r="D248" s="70"/>
      <c r="E248" s="70"/>
      <c r="F248" s="70"/>
      <c r="G248" s="72"/>
      <c r="H248" s="74"/>
      <c r="I248" s="74"/>
      <c r="J248" s="75"/>
      <c r="K248" s="81"/>
      <c r="L248" s="76"/>
      <c r="M248" s="76"/>
      <c r="N248" s="76"/>
      <c r="O248" s="71"/>
      <c r="P248" s="70"/>
      <c r="Q248" s="71"/>
      <c r="R248" s="71"/>
      <c r="S248" s="70"/>
      <c r="T248" s="71"/>
      <c r="U248" s="71"/>
      <c r="V248" s="75"/>
      <c r="W248" s="69"/>
      <c r="X248" s="69"/>
      <c r="Y248" s="69"/>
      <c r="Z248" s="69"/>
      <c r="AA248" s="69"/>
      <c r="AB248" s="69"/>
      <c r="AC248" s="69"/>
      <c r="AD248" s="69"/>
      <c r="AE248" s="76"/>
      <c r="AF248" s="71"/>
      <c r="AG248" s="71"/>
      <c r="AH248" s="71"/>
      <c r="AI248" s="71"/>
      <c r="AJ248" s="71"/>
      <c r="AK248" s="71"/>
      <c r="AL248" s="71"/>
      <c r="AM248" s="71"/>
      <c r="AN248" s="68"/>
      <c r="AO248" s="68"/>
      <c r="AP248" s="70"/>
      <c r="AQ248" s="71"/>
      <c r="AR248" s="77"/>
      <c r="AS248" s="70"/>
      <c r="AT248" s="68"/>
      <c r="AU248" s="70"/>
      <c r="AV248" s="70"/>
      <c r="AW248" s="71"/>
      <c r="AX248" s="71"/>
      <c r="AY248" s="70"/>
      <c r="AZ248" s="76"/>
      <c r="BA248" s="76"/>
      <c r="BB248" s="76"/>
      <c r="BC248" s="78"/>
    </row>
    <row r="249" spans="1:55" x14ac:dyDescent="0.25">
      <c r="A249" s="68"/>
      <c r="B249" s="68"/>
      <c r="C249" s="68"/>
      <c r="D249" s="70"/>
      <c r="E249" s="70"/>
      <c r="F249" s="70"/>
      <c r="G249" s="72"/>
      <c r="H249" s="74"/>
      <c r="I249" s="74"/>
      <c r="J249" s="75"/>
      <c r="K249" s="81"/>
      <c r="L249" s="76"/>
      <c r="M249" s="76"/>
      <c r="N249" s="76"/>
      <c r="O249" s="71"/>
      <c r="P249" s="70"/>
      <c r="Q249" s="71"/>
      <c r="R249" s="71"/>
      <c r="S249" s="70"/>
      <c r="T249" s="71"/>
      <c r="U249" s="71"/>
      <c r="V249" s="75"/>
      <c r="W249" s="69"/>
      <c r="X249" s="69"/>
      <c r="Y249" s="69"/>
      <c r="Z249" s="69"/>
      <c r="AA249" s="69"/>
      <c r="AB249" s="69"/>
      <c r="AC249" s="69"/>
      <c r="AD249" s="69"/>
      <c r="AE249" s="76"/>
      <c r="AF249" s="71"/>
      <c r="AG249" s="71"/>
      <c r="AH249" s="71"/>
      <c r="AI249" s="71"/>
      <c r="AJ249" s="71"/>
      <c r="AK249" s="71"/>
      <c r="AL249" s="71"/>
      <c r="AM249" s="71"/>
      <c r="AN249" s="68"/>
      <c r="AO249" s="68"/>
      <c r="AP249" s="70"/>
      <c r="AQ249" s="71"/>
      <c r="AR249" s="77"/>
      <c r="AS249" s="70"/>
      <c r="AT249" s="68"/>
      <c r="AU249" s="70"/>
      <c r="AV249" s="70"/>
      <c r="AW249" s="71"/>
      <c r="AX249" s="71"/>
      <c r="AY249" s="70"/>
      <c r="AZ249" s="76"/>
      <c r="BA249" s="76"/>
      <c r="BB249" s="76"/>
      <c r="BC249" s="78"/>
    </row>
    <row r="250" spans="1:55" x14ac:dyDescent="0.25">
      <c r="A250" s="68"/>
      <c r="B250" s="68"/>
      <c r="C250" s="68"/>
      <c r="D250" s="70"/>
      <c r="E250" s="70"/>
      <c r="F250" s="70"/>
      <c r="G250" s="72"/>
      <c r="H250" s="74"/>
      <c r="I250" s="74"/>
      <c r="J250" s="75"/>
      <c r="K250" s="81"/>
      <c r="L250" s="76"/>
      <c r="M250" s="76"/>
      <c r="N250" s="76"/>
      <c r="O250" s="71"/>
      <c r="P250" s="70"/>
      <c r="Q250" s="71"/>
      <c r="R250" s="71"/>
      <c r="S250" s="70"/>
      <c r="T250" s="71"/>
      <c r="U250" s="71"/>
      <c r="V250" s="75"/>
      <c r="W250" s="69"/>
      <c r="X250" s="69"/>
      <c r="Y250" s="69"/>
      <c r="Z250" s="69"/>
      <c r="AA250" s="69"/>
      <c r="AB250" s="69"/>
      <c r="AC250" s="69"/>
      <c r="AD250" s="69"/>
      <c r="AE250" s="76"/>
      <c r="AF250" s="71"/>
      <c r="AG250" s="71"/>
      <c r="AH250" s="71"/>
      <c r="AI250" s="71"/>
      <c r="AJ250" s="71"/>
      <c r="AK250" s="71"/>
      <c r="AL250" s="71"/>
      <c r="AM250" s="71"/>
      <c r="AN250" s="68"/>
      <c r="AO250" s="68"/>
      <c r="AP250" s="70"/>
      <c r="AQ250" s="71"/>
      <c r="AR250" s="77"/>
      <c r="AS250" s="70"/>
      <c r="AT250" s="68"/>
      <c r="AU250" s="70"/>
      <c r="AV250" s="70"/>
      <c r="AW250" s="71"/>
      <c r="AX250" s="71"/>
      <c r="AY250" s="70"/>
      <c r="AZ250" s="76"/>
      <c r="BA250" s="76"/>
      <c r="BB250" s="76"/>
      <c r="BC250" s="78"/>
    </row>
    <row r="251" spans="1:55" x14ac:dyDescent="0.25">
      <c r="A251" s="68"/>
      <c r="B251" s="68"/>
      <c r="C251" s="68"/>
      <c r="D251" s="70"/>
      <c r="E251" s="70"/>
      <c r="F251" s="70"/>
      <c r="G251" s="72"/>
      <c r="H251" s="74"/>
      <c r="I251" s="74"/>
      <c r="J251" s="75"/>
      <c r="K251" s="81"/>
      <c r="L251" s="76"/>
      <c r="M251" s="76"/>
      <c r="N251" s="76"/>
      <c r="O251" s="71"/>
      <c r="P251" s="70"/>
      <c r="Q251" s="71"/>
      <c r="R251" s="71"/>
      <c r="S251" s="70"/>
      <c r="T251" s="71"/>
      <c r="U251" s="71"/>
      <c r="V251" s="75"/>
      <c r="W251" s="69"/>
      <c r="X251" s="69"/>
      <c r="Y251" s="69"/>
      <c r="Z251" s="69"/>
      <c r="AA251" s="69"/>
      <c r="AB251" s="69"/>
      <c r="AC251" s="69"/>
      <c r="AD251" s="69"/>
      <c r="AE251" s="76"/>
      <c r="AF251" s="71"/>
      <c r="AG251" s="71"/>
      <c r="AH251" s="71"/>
      <c r="AI251" s="71"/>
      <c r="AJ251" s="71"/>
      <c r="AK251" s="71"/>
      <c r="AL251" s="71"/>
      <c r="AM251" s="71"/>
      <c r="AN251" s="68"/>
      <c r="AO251" s="68"/>
      <c r="AP251" s="70"/>
      <c r="AQ251" s="71"/>
      <c r="AR251" s="77"/>
      <c r="AS251" s="70"/>
      <c r="AT251" s="68"/>
      <c r="AU251" s="70"/>
      <c r="AV251" s="70"/>
      <c r="AW251" s="71"/>
      <c r="AX251" s="71"/>
      <c r="AY251" s="70"/>
      <c r="AZ251" s="76"/>
      <c r="BA251" s="76"/>
      <c r="BB251" s="76"/>
      <c r="BC251" s="78"/>
    </row>
    <row r="252" spans="1:55" x14ac:dyDescent="0.25">
      <c r="A252" s="68"/>
      <c r="B252" s="68"/>
      <c r="C252" s="68"/>
      <c r="D252" s="70"/>
      <c r="E252" s="70"/>
      <c r="F252" s="70"/>
      <c r="G252" s="72"/>
      <c r="H252" s="74"/>
      <c r="I252" s="74"/>
      <c r="J252" s="75"/>
      <c r="K252" s="81"/>
      <c r="L252" s="76"/>
      <c r="M252" s="76"/>
      <c r="N252" s="76"/>
      <c r="O252" s="71"/>
      <c r="P252" s="70"/>
      <c r="Q252" s="71"/>
      <c r="R252" s="71"/>
      <c r="S252" s="70"/>
      <c r="T252" s="71"/>
      <c r="U252" s="71"/>
      <c r="V252" s="75"/>
      <c r="W252" s="69"/>
      <c r="X252" s="69"/>
      <c r="Y252" s="69"/>
      <c r="Z252" s="69"/>
      <c r="AA252" s="69"/>
      <c r="AB252" s="69"/>
      <c r="AC252" s="69"/>
      <c r="AD252" s="69"/>
      <c r="AE252" s="76"/>
      <c r="AF252" s="71"/>
      <c r="AG252" s="71"/>
      <c r="AH252" s="71"/>
      <c r="AI252" s="71"/>
      <c r="AJ252" s="71"/>
      <c r="AK252" s="71"/>
      <c r="AL252" s="71"/>
      <c r="AM252" s="71"/>
      <c r="AN252" s="68"/>
      <c r="AO252" s="68"/>
      <c r="AP252" s="70"/>
      <c r="AQ252" s="71"/>
      <c r="AR252" s="77"/>
      <c r="AS252" s="70"/>
      <c r="AT252" s="68"/>
      <c r="AU252" s="70"/>
      <c r="AV252" s="70"/>
      <c r="AW252" s="71"/>
      <c r="AX252" s="71"/>
      <c r="AY252" s="70"/>
      <c r="AZ252" s="76"/>
      <c r="BA252" s="76"/>
      <c r="BB252" s="76"/>
      <c r="BC252" s="78"/>
    </row>
    <row r="253" spans="1:55" x14ac:dyDescent="0.25">
      <c r="A253" s="68"/>
      <c r="B253" s="68"/>
      <c r="C253" s="68"/>
      <c r="D253" s="70"/>
      <c r="E253" s="70"/>
      <c r="F253" s="70"/>
      <c r="G253" s="72"/>
      <c r="H253" s="74"/>
      <c r="I253" s="74"/>
      <c r="J253" s="75"/>
      <c r="K253" s="81"/>
      <c r="L253" s="76"/>
      <c r="M253" s="76"/>
      <c r="N253" s="76"/>
      <c r="O253" s="71"/>
      <c r="P253" s="70"/>
      <c r="Q253" s="71"/>
      <c r="R253" s="71"/>
      <c r="S253" s="70"/>
      <c r="T253" s="71"/>
      <c r="U253" s="71"/>
      <c r="V253" s="75"/>
      <c r="W253" s="69"/>
      <c r="X253" s="69"/>
      <c r="Y253" s="69"/>
      <c r="Z253" s="69"/>
      <c r="AA253" s="69"/>
      <c r="AB253" s="69"/>
      <c r="AC253" s="69"/>
      <c r="AD253" s="69"/>
      <c r="AE253" s="76"/>
      <c r="AF253" s="71"/>
      <c r="AG253" s="71"/>
      <c r="AH253" s="71"/>
      <c r="AI253" s="71"/>
      <c r="AJ253" s="71"/>
      <c r="AK253" s="71"/>
      <c r="AL253" s="71"/>
      <c r="AM253" s="71"/>
      <c r="AN253" s="68"/>
      <c r="AO253" s="68"/>
      <c r="AP253" s="70"/>
      <c r="AQ253" s="71"/>
      <c r="AR253" s="77"/>
      <c r="AS253" s="70"/>
      <c r="AT253" s="68"/>
      <c r="AU253" s="70"/>
      <c r="AV253" s="70"/>
      <c r="AW253" s="71"/>
      <c r="AX253" s="71"/>
      <c r="AY253" s="70"/>
      <c r="AZ253" s="76"/>
      <c r="BA253" s="76"/>
      <c r="BB253" s="76"/>
      <c r="BC253" s="78"/>
    </row>
    <row r="254" spans="1:55" x14ac:dyDescent="0.25">
      <c r="A254" s="68"/>
      <c r="B254" s="68"/>
      <c r="C254" s="68"/>
      <c r="D254" s="70"/>
      <c r="E254" s="70"/>
      <c r="F254" s="70"/>
      <c r="G254" s="72"/>
      <c r="H254" s="74"/>
      <c r="I254" s="74"/>
      <c r="J254" s="75"/>
      <c r="K254" s="81"/>
      <c r="L254" s="76"/>
      <c r="M254" s="76"/>
      <c r="N254" s="76"/>
      <c r="O254" s="71"/>
      <c r="P254" s="70"/>
      <c r="Q254" s="71"/>
      <c r="R254" s="71"/>
      <c r="S254" s="70"/>
      <c r="T254" s="71"/>
      <c r="U254" s="71"/>
      <c r="V254" s="75"/>
      <c r="W254" s="69"/>
      <c r="X254" s="69"/>
      <c r="Y254" s="69"/>
      <c r="Z254" s="69"/>
      <c r="AA254" s="69"/>
      <c r="AB254" s="69"/>
      <c r="AC254" s="69"/>
      <c r="AD254" s="69"/>
      <c r="AE254" s="76"/>
      <c r="AF254" s="71"/>
      <c r="AG254" s="71"/>
      <c r="AH254" s="71"/>
      <c r="AI254" s="71"/>
      <c r="AJ254" s="71"/>
      <c r="AK254" s="71"/>
      <c r="AL254" s="71"/>
      <c r="AM254" s="71"/>
      <c r="AN254" s="68"/>
      <c r="AO254" s="68"/>
      <c r="AP254" s="70"/>
      <c r="AQ254" s="71"/>
      <c r="AR254" s="77"/>
      <c r="AS254" s="70"/>
      <c r="AT254" s="68"/>
      <c r="AU254" s="70"/>
      <c r="AV254" s="70"/>
      <c r="AW254" s="71"/>
      <c r="AX254" s="71"/>
      <c r="AY254" s="70"/>
      <c r="AZ254" s="76"/>
      <c r="BA254" s="76"/>
      <c r="BB254" s="76"/>
      <c r="BC254" s="78"/>
    </row>
    <row r="255" spans="1:55" x14ac:dyDescent="0.25">
      <c r="A255" s="68"/>
      <c r="B255" s="68"/>
      <c r="C255" s="68"/>
      <c r="D255" s="70"/>
      <c r="E255" s="70"/>
      <c r="F255" s="70"/>
      <c r="G255" s="72"/>
      <c r="H255" s="74"/>
      <c r="I255" s="74"/>
      <c r="J255" s="75"/>
      <c r="K255" s="81"/>
      <c r="L255" s="76"/>
      <c r="M255" s="76"/>
      <c r="N255" s="76"/>
      <c r="O255" s="71"/>
      <c r="P255" s="70"/>
      <c r="Q255" s="71"/>
      <c r="R255" s="71"/>
      <c r="S255" s="70"/>
      <c r="T255" s="71"/>
      <c r="U255" s="71"/>
      <c r="V255" s="75"/>
      <c r="W255" s="69"/>
      <c r="X255" s="69"/>
      <c r="Y255" s="69"/>
      <c r="Z255" s="69"/>
      <c r="AA255" s="69"/>
      <c r="AB255" s="69"/>
      <c r="AC255" s="69"/>
      <c r="AD255" s="69"/>
      <c r="AE255" s="76"/>
      <c r="AF255" s="71"/>
      <c r="AG255" s="71"/>
      <c r="AH255" s="71"/>
      <c r="AI255" s="71"/>
      <c r="AJ255" s="71"/>
      <c r="AK255" s="71"/>
      <c r="AL255" s="71"/>
      <c r="AM255" s="71"/>
      <c r="AN255" s="68"/>
      <c r="AO255" s="68"/>
      <c r="AP255" s="70"/>
      <c r="AQ255" s="71"/>
      <c r="AR255" s="77"/>
      <c r="AS255" s="70"/>
      <c r="AT255" s="68"/>
      <c r="AU255" s="70"/>
      <c r="AV255" s="70"/>
      <c r="AW255" s="71"/>
      <c r="AX255" s="71"/>
      <c r="AY255" s="70"/>
      <c r="AZ255" s="76"/>
      <c r="BA255" s="76"/>
      <c r="BB255" s="76"/>
      <c r="BC255" s="78"/>
    </row>
    <row r="256" spans="1:55" x14ac:dyDescent="0.25">
      <c r="A256" s="68"/>
      <c r="B256" s="68"/>
      <c r="C256" s="68"/>
      <c r="D256" s="70"/>
      <c r="E256" s="70"/>
      <c r="F256" s="70"/>
      <c r="G256" s="72"/>
      <c r="H256" s="74"/>
      <c r="I256" s="74"/>
      <c r="J256" s="75"/>
      <c r="K256" s="81"/>
      <c r="L256" s="76"/>
      <c r="M256" s="76"/>
      <c r="N256" s="76"/>
      <c r="O256" s="71"/>
      <c r="P256" s="70"/>
      <c r="Q256" s="71"/>
      <c r="R256" s="71"/>
      <c r="S256" s="70"/>
      <c r="T256" s="71"/>
      <c r="U256" s="71"/>
      <c r="V256" s="75"/>
      <c r="W256" s="69"/>
      <c r="X256" s="69"/>
      <c r="Y256" s="69"/>
      <c r="Z256" s="69"/>
      <c r="AA256" s="69"/>
      <c r="AB256" s="69"/>
      <c r="AC256" s="69"/>
      <c r="AD256" s="69"/>
      <c r="AE256" s="76"/>
      <c r="AF256" s="71"/>
      <c r="AG256" s="71"/>
      <c r="AH256" s="71"/>
      <c r="AI256" s="71"/>
      <c r="AJ256" s="71"/>
      <c r="AK256" s="71"/>
      <c r="AL256" s="71"/>
      <c r="AM256" s="71"/>
      <c r="AN256" s="68"/>
      <c r="AO256" s="68"/>
      <c r="AP256" s="70"/>
      <c r="AQ256" s="71"/>
      <c r="AR256" s="77"/>
      <c r="AS256" s="70"/>
      <c r="AT256" s="68"/>
      <c r="AU256" s="70"/>
      <c r="AV256" s="70"/>
      <c r="AW256" s="71"/>
      <c r="AX256" s="71"/>
      <c r="AY256" s="70"/>
      <c r="AZ256" s="76"/>
      <c r="BA256" s="76"/>
      <c r="BB256" s="76"/>
      <c r="BC256" s="78"/>
    </row>
    <row r="257" spans="1:55" x14ac:dyDescent="0.25">
      <c r="A257" s="68"/>
      <c r="B257" s="68"/>
      <c r="C257" s="68"/>
      <c r="D257" s="70"/>
      <c r="E257" s="70"/>
      <c r="F257" s="70"/>
      <c r="G257" s="72"/>
      <c r="H257" s="74"/>
      <c r="I257" s="74"/>
      <c r="J257" s="75"/>
      <c r="K257" s="81"/>
      <c r="L257" s="76"/>
      <c r="M257" s="76"/>
      <c r="N257" s="76"/>
      <c r="O257" s="71"/>
      <c r="P257" s="70"/>
      <c r="Q257" s="71"/>
      <c r="R257" s="71"/>
      <c r="S257" s="70"/>
      <c r="T257" s="71"/>
      <c r="U257" s="71"/>
      <c r="V257" s="75"/>
      <c r="W257" s="69"/>
      <c r="X257" s="69"/>
      <c r="Y257" s="69"/>
      <c r="Z257" s="69"/>
      <c r="AA257" s="69"/>
      <c r="AB257" s="69"/>
      <c r="AC257" s="69"/>
      <c r="AD257" s="69"/>
      <c r="AE257" s="76"/>
      <c r="AF257" s="71"/>
      <c r="AG257" s="71"/>
      <c r="AH257" s="71"/>
      <c r="AI257" s="71"/>
      <c r="AJ257" s="71"/>
      <c r="AK257" s="71"/>
      <c r="AL257" s="71"/>
      <c r="AM257" s="71"/>
      <c r="AN257" s="68"/>
      <c r="AO257" s="68"/>
      <c r="AP257" s="70"/>
      <c r="AQ257" s="71"/>
      <c r="AR257" s="77"/>
      <c r="AS257" s="70"/>
      <c r="AT257" s="68"/>
      <c r="AU257" s="70"/>
      <c r="AV257" s="70"/>
      <c r="AW257" s="71"/>
      <c r="AX257" s="71"/>
      <c r="AY257" s="70"/>
      <c r="AZ257" s="76"/>
      <c r="BA257" s="76"/>
      <c r="BB257" s="76"/>
      <c r="BC257" s="78"/>
    </row>
    <row r="258" spans="1:55" x14ac:dyDescent="0.25">
      <c r="A258" s="68"/>
      <c r="B258" s="68"/>
      <c r="C258" s="68"/>
      <c r="D258" s="70"/>
      <c r="E258" s="70"/>
      <c r="F258" s="70"/>
      <c r="G258" s="72"/>
      <c r="H258" s="74"/>
      <c r="I258" s="74"/>
      <c r="J258" s="75"/>
      <c r="K258" s="81"/>
      <c r="L258" s="76"/>
      <c r="M258" s="76"/>
      <c r="N258" s="76"/>
      <c r="O258" s="71"/>
      <c r="P258" s="70"/>
      <c r="Q258" s="71"/>
      <c r="R258" s="71"/>
      <c r="S258" s="70"/>
      <c r="T258" s="71"/>
      <c r="U258" s="71"/>
      <c r="V258" s="75"/>
      <c r="W258" s="69"/>
      <c r="X258" s="69"/>
      <c r="Y258" s="69"/>
      <c r="Z258" s="69"/>
      <c r="AA258" s="69"/>
      <c r="AB258" s="69"/>
      <c r="AC258" s="69"/>
      <c r="AD258" s="69"/>
      <c r="AE258" s="76"/>
      <c r="AF258" s="71"/>
      <c r="AG258" s="71"/>
      <c r="AH258" s="71"/>
      <c r="AI258" s="71"/>
      <c r="AJ258" s="71"/>
      <c r="AK258" s="71"/>
      <c r="AL258" s="71"/>
      <c r="AM258" s="71"/>
      <c r="AN258" s="68"/>
      <c r="AO258" s="68"/>
      <c r="AP258" s="70"/>
      <c r="AQ258" s="71"/>
      <c r="AR258" s="77"/>
      <c r="AS258" s="70"/>
      <c r="AT258" s="68"/>
      <c r="AU258" s="70"/>
      <c r="AV258" s="70"/>
      <c r="AW258" s="71"/>
      <c r="AX258" s="71"/>
      <c r="AY258" s="70"/>
      <c r="AZ258" s="76"/>
      <c r="BA258" s="76"/>
      <c r="BB258" s="76"/>
      <c r="BC258" s="78"/>
    </row>
    <row r="259" spans="1:55" x14ac:dyDescent="0.25">
      <c r="A259" s="68"/>
      <c r="B259" s="68"/>
      <c r="C259" s="68"/>
      <c r="D259" s="70"/>
      <c r="E259" s="70"/>
      <c r="F259" s="70"/>
      <c r="G259" s="72"/>
      <c r="H259" s="74"/>
      <c r="I259" s="74"/>
      <c r="J259" s="75"/>
      <c r="K259" s="81"/>
      <c r="L259" s="76"/>
      <c r="M259" s="76"/>
      <c r="N259" s="76"/>
      <c r="O259" s="71"/>
      <c r="P259" s="70"/>
      <c r="Q259" s="71"/>
      <c r="R259" s="71"/>
      <c r="S259" s="70"/>
      <c r="T259" s="71"/>
      <c r="U259" s="71"/>
      <c r="V259" s="75"/>
      <c r="W259" s="69"/>
      <c r="X259" s="69"/>
      <c r="Y259" s="69"/>
      <c r="Z259" s="69"/>
      <c r="AA259" s="69"/>
      <c r="AB259" s="69"/>
      <c r="AC259" s="69"/>
      <c r="AD259" s="69"/>
      <c r="AE259" s="76"/>
      <c r="AF259" s="71"/>
      <c r="AG259" s="71"/>
      <c r="AH259" s="71"/>
      <c r="AI259" s="71"/>
      <c r="AJ259" s="71"/>
      <c r="AK259" s="71"/>
      <c r="AL259" s="71"/>
      <c r="AM259" s="71"/>
      <c r="AN259" s="68"/>
      <c r="AO259" s="68"/>
      <c r="AP259" s="70"/>
      <c r="AQ259" s="71"/>
      <c r="AR259" s="77"/>
      <c r="AS259" s="70"/>
      <c r="AT259" s="68"/>
      <c r="AU259" s="70"/>
      <c r="AV259" s="70"/>
      <c r="AW259" s="71"/>
      <c r="AX259" s="71"/>
      <c r="AY259" s="70"/>
      <c r="AZ259" s="76"/>
      <c r="BA259" s="76"/>
      <c r="BB259" s="76"/>
      <c r="BC259" s="78"/>
    </row>
    <row r="260" spans="1:55" x14ac:dyDescent="0.25">
      <c r="A260" s="68"/>
      <c r="B260" s="68"/>
      <c r="C260" s="68"/>
      <c r="D260" s="70"/>
      <c r="E260" s="70"/>
      <c r="F260" s="70"/>
      <c r="G260" s="72"/>
      <c r="H260" s="74"/>
      <c r="I260" s="74"/>
      <c r="J260" s="75"/>
      <c r="K260" s="81"/>
      <c r="L260" s="76"/>
      <c r="M260" s="76"/>
      <c r="N260" s="76"/>
      <c r="O260" s="71"/>
      <c r="P260" s="70"/>
      <c r="Q260" s="71"/>
      <c r="R260" s="71"/>
      <c r="S260" s="70"/>
      <c r="T260" s="71"/>
      <c r="U260" s="71"/>
      <c r="V260" s="75"/>
      <c r="W260" s="69"/>
      <c r="X260" s="69"/>
      <c r="Y260" s="69"/>
      <c r="Z260" s="69"/>
      <c r="AA260" s="69"/>
      <c r="AB260" s="69"/>
      <c r="AC260" s="69"/>
      <c r="AD260" s="69"/>
      <c r="AE260" s="76"/>
      <c r="AF260" s="71"/>
      <c r="AG260" s="71"/>
      <c r="AH260" s="71"/>
      <c r="AI260" s="71"/>
      <c r="AJ260" s="71"/>
      <c r="AK260" s="71"/>
      <c r="AL260" s="71"/>
      <c r="AM260" s="71"/>
      <c r="AN260" s="68"/>
      <c r="AO260" s="68"/>
      <c r="AP260" s="70"/>
      <c r="AQ260" s="71"/>
      <c r="AR260" s="77"/>
      <c r="AS260" s="70"/>
      <c r="AT260" s="68"/>
      <c r="AU260" s="70"/>
      <c r="AV260" s="70"/>
      <c r="AW260" s="71"/>
      <c r="AX260" s="71"/>
      <c r="AY260" s="70"/>
      <c r="AZ260" s="76"/>
      <c r="BA260" s="76"/>
      <c r="BB260" s="76"/>
      <c r="BC260" s="78"/>
    </row>
    <row r="261" spans="1:55" x14ac:dyDescent="0.25">
      <c r="A261" s="68"/>
      <c r="B261" s="68"/>
      <c r="C261" s="68"/>
      <c r="D261" s="70"/>
      <c r="E261" s="70"/>
      <c r="F261" s="70"/>
      <c r="G261" s="72"/>
      <c r="H261" s="74"/>
      <c r="I261" s="74"/>
      <c r="J261" s="75"/>
      <c r="K261" s="81"/>
      <c r="L261" s="76"/>
      <c r="M261" s="76"/>
      <c r="N261" s="76"/>
      <c r="O261" s="71"/>
      <c r="P261" s="70"/>
      <c r="Q261" s="71"/>
      <c r="R261" s="71"/>
      <c r="S261" s="70"/>
      <c r="T261" s="71"/>
      <c r="U261" s="71"/>
      <c r="V261" s="75"/>
      <c r="W261" s="69"/>
      <c r="X261" s="69"/>
      <c r="Y261" s="69"/>
      <c r="Z261" s="69"/>
      <c r="AA261" s="69"/>
      <c r="AB261" s="69"/>
      <c r="AC261" s="69"/>
      <c r="AD261" s="69"/>
      <c r="AE261" s="76"/>
      <c r="AF261" s="71"/>
      <c r="AG261" s="71"/>
      <c r="AH261" s="71"/>
      <c r="AI261" s="71"/>
      <c r="AJ261" s="71"/>
      <c r="AK261" s="71"/>
      <c r="AL261" s="71"/>
      <c r="AM261" s="71"/>
      <c r="AN261" s="68"/>
      <c r="AO261" s="68"/>
      <c r="AP261" s="70"/>
      <c r="AQ261" s="71"/>
      <c r="AR261" s="77"/>
      <c r="AS261" s="70"/>
      <c r="AT261" s="68"/>
      <c r="AU261" s="70"/>
      <c r="AV261" s="70"/>
      <c r="AW261" s="71"/>
      <c r="AX261" s="71"/>
      <c r="AY261" s="70"/>
      <c r="AZ261" s="76"/>
      <c r="BA261" s="76"/>
      <c r="BB261" s="76"/>
      <c r="BC261" s="78"/>
    </row>
    <row r="262" spans="1:55" x14ac:dyDescent="0.25">
      <c r="A262" s="68"/>
      <c r="B262" s="68"/>
      <c r="C262" s="68"/>
      <c r="D262" s="70"/>
      <c r="E262" s="70"/>
      <c r="F262" s="70"/>
      <c r="G262" s="72"/>
      <c r="H262" s="74"/>
      <c r="I262" s="74"/>
      <c r="J262" s="75"/>
      <c r="K262" s="81"/>
      <c r="L262" s="76"/>
      <c r="M262" s="76"/>
      <c r="N262" s="76"/>
      <c r="O262" s="71"/>
      <c r="P262" s="70"/>
      <c r="Q262" s="71"/>
      <c r="R262" s="71"/>
      <c r="S262" s="70"/>
      <c r="T262" s="71"/>
      <c r="U262" s="71"/>
      <c r="V262" s="75"/>
      <c r="W262" s="69"/>
      <c r="X262" s="69"/>
      <c r="Y262" s="69"/>
      <c r="Z262" s="69"/>
      <c r="AA262" s="69"/>
      <c r="AB262" s="69"/>
      <c r="AC262" s="69"/>
      <c r="AD262" s="69"/>
      <c r="AE262" s="76"/>
      <c r="AF262" s="71"/>
      <c r="AG262" s="71"/>
      <c r="AH262" s="71"/>
      <c r="AI262" s="71"/>
      <c r="AJ262" s="71"/>
      <c r="AK262" s="71"/>
      <c r="AL262" s="71"/>
      <c r="AM262" s="71"/>
      <c r="AN262" s="68"/>
      <c r="AO262" s="68"/>
      <c r="AP262" s="70"/>
      <c r="AQ262" s="71"/>
      <c r="AR262" s="77"/>
      <c r="AS262" s="70"/>
      <c r="AT262" s="68"/>
      <c r="AU262" s="70"/>
      <c r="AV262" s="70"/>
      <c r="AW262" s="71"/>
      <c r="AX262" s="71"/>
      <c r="AY262" s="70"/>
      <c r="AZ262" s="76"/>
      <c r="BA262" s="76"/>
      <c r="BB262" s="76"/>
      <c r="BC262" s="78"/>
    </row>
    <row r="263" spans="1:55" x14ac:dyDescent="0.25">
      <c r="A263" s="68"/>
      <c r="B263" s="68"/>
      <c r="C263" s="68"/>
      <c r="D263" s="70"/>
      <c r="E263" s="70"/>
      <c r="F263" s="70"/>
      <c r="G263" s="72"/>
      <c r="H263" s="74"/>
      <c r="I263" s="74"/>
      <c r="J263" s="75"/>
      <c r="K263" s="81"/>
      <c r="L263" s="76"/>
      <c r="M263" s="76"/>
      <c r="N263" s="76"/>
      <c r="O263" s="71"/>
      <c r="P263" s="70"/>
      <c r="Q263" s="71"/>
      <c r="R263" s="71"/>
      <c r="S263" s="70"/>
      <c r="T263" s="71"/>
      <c r="U263" s="71"/>
      <c r="V263" s="75"/>
      <c r="W263" s="69"/>
      <c r="X263" s="69"/>
      <c r="Y263" s="69"/>
      <c r="Z263" s="69"/>
      <c r="AA263" s="69"/>
      <c r="AB263" s="69"/>
      <c r="AC263" s="69"/>
      <c r="AD263" s="69"/>
      <c r="AE263" s="76"/>
      <c r="AF263" s="71"/>
      <c r="AG263" s="71"/>
      <c r="AH263" s="71"/>
      <c r="AI263" s="71"/>
      <c r="AJ263" s="71"/>
      <c r="AK263" s="71"/>
      <c r="AL263" s="71"/>
      <c r="AM263" s="71"/>
      <c r="AN263" s="68"/>
      <c r="AO263" s="68"/>
      <c r="AP263" s="70"/>
      <c r="AQ263" s="71"/>
      <c r="AR263" s="77"/>
      <c r="AS263" s="70"/>
      <c r="AT263" s="68"/>
      <c r="AU263" s="70"/>
      <c r="AV263" s="70"/>
      <c r="AW263" s="71"/>
      <c r="AX263" s="71"/>
      <c r="AY263" s="70"/>
      <c r="AZ263" s="76"/>
      <c r="BA263" s="76"/>
      <c r="BB263" s="76"/>
      <c r="BC263" s="78"/>
    </row>
    <row r="264" spans="1:55" x14ac:dyDescent="0.25">
      <c r="A264" s="68"/>
      <c r="B264" s="68"/>
      <c r="C264" s="68"/>
      <c r="D264" s="70"/>
      <c r="E264" s="70"/>
      <c r="F264" s="70"/>
      <c r="G264" s="72"/>
      <c r="H264" s="74"/>
      <c r="I264" s="74"/>
      <c r="J264" s="75"/>
      <c r="K264" s="81"/>
      <c r="L264" s="76"/>
      <c r="M264" s="76"/>
      <c r="N264" s="76"/>
      <c r="O264" s="71"/>
      <c r="P264" s="70"/>
      <c r="Q264" s="71"/>
      <c r="R264" s="71"/>
      <c r="S264" s="70"/>
      <c r="T264" s="71"/>
      <c r="U264" s="71"/>
      <c r="V264" s="75"/>
      <c r="W264" s="69"/>
      <c r="X264" s="69"/>
      <c r="Y264" s="69"/>
      <c r="Z264" s="69"/>
      <c r="AA264" s="69"/>
      <c r="AB264" s="69"/>
      <c r="AC264" s="69"/>
      <c r="AD264" s="69"/>
      <c r="AE264" s="76"/>
      <c r="AF264" s="71"/>
      <c r="AG264" s="71"/>
      <c r="AH264" s="71"/>
      <c r="AI264" s="71"/>
      <c r="AJ264" s="71"/>
      <c r="AK264" s="71"/>
      <c r="AL264" s="71"/>
      <c r="AM264" s="71"/>
      <c r="AN264" s="68"/>
      <c r="AO264" s="68"/>
      <c r="AP264" s="70"/>
      <c r="AQ264" s="71"/>
      <c r="AR264" s="77"/>
      <c r="AS264" s="70"/>
      <c r="AT264" s="68"/>
      <c r="AU264" s="70"/>
      <c r="AV264" s="70"/>
      <c r="AW264" s="71"/>
      <c r="AX264" s="71"/>
      <c r="AY264" s="70"/>
      <c r="AZ264" s="76"/>
      <c r="BA264" s="76"/>
      <c r="BB264" s="76"/>
      <c r="BC264" s="78"/>
    </row>
    <row r="265" spans="1:55" x14ac:dyDescent="0.25">
      <c r="A265" s="68"/>
      <c r="B265" s="68"/>
      <c r="C265" s="68"/>
      <c r="D265" s="70"/>
      <c r="E265" s="70"/>
      <c r="F265" s="70"/>
      <c r="G265" s="72"/>
      <c r="H265" s="74"/>
      <c r="I265" s="74"/>
      <c r="J265" s="75"/>
      <c r="K265" s="81"/>
      <c r="L265" s="76"/>
      <c r="M265" s="76"/>
      <c r="N265" s="76"/>
      <c r="O265" s="71"/>
      <c r="P265" s="70"/>
      <c r="Q265" s="71"/>
      <c r="R265" s="71"/>
      <c r="S265" s="70"/>
      <c r="T265" s="71"/>
      <c r="U265" s="71"/>
      <c r="V265" s="75"/>
      <c r="W265" s="69"/>
      <c r="X265" s="69"/>
      <c r="Y265" s="69"/>
      <c r="Z265" s="69"/>
      <c r="AA265" s="69"/>
      <c r="AB265" s="69"/>
      <c r="AC265" s="69"/>
      <c r="AD265" s="69"/>
      <c r="AE265" s="76"/>
      <c r="AF265" s="71"/>
      <c r="AG265" s="71"/>
      <c r="AH265" s="71"/>
      <c r="AI265" s="71"/>
      <c r="AJ265" s="71"/>
      <c r="AK265" s="71"/>
      <c r="AL265" s="71"/>
      <c r="AM265" s="71"/>
      <c r="AN265" s="68"/>
      <c r="AO265" s="68"/>
      <c r="AP265" s="70"/>
      <c r="AQ265" s="71"/>
      <c r="AR265" s="77"/>
      <c r="AS265" s="70"/>
      <c r="AT265" s="68"/>
      <c r="AU265" s="70"/>
      <c r="AV265" s="70"/>
      <c r="AW265" s="71"/>
      <c r="AX265" s="71"/>
      <c r="AY265" s="70"/>
      <c r="AZ265" s="76"/>
      <c r="BA265" s="76"/>
      <c r="BB265" s="76"/>
      <c r="BC265" s="78"/>
    </row>
    <row r="266" spans="1:55" x14ac:dyDescent="0.25">
      <c r="A266" s="68"/>
      <c r="B266" s="68"/>
      <c r="C266" s="68"/>
      <c r="D266" s="70"/>
      <c r="E266" s="70"/>
      <c r="F266" s="70"/>
      <c r="G266" s="72"/>
      <c r="H266" s="74"/>
      <c r="I266" s="74"/>
      <c r="J266" s="75"/>
      <c r="K266" s="81"/>
      <c r="L266" s="76"/>
      <c r="M266" s="76"/>
      <c r="N266" s="76"/>
      <c r="O266" s="71"/>
      <c r="P266" s="70"/>
      <c r="Q266" s="71"/>
      <c r="R266" s="71"/>
      <c r="S266" s="70"/>
      <c r="T266" s="71"/>
      <c r="U266" s="71"/>
      <c r="V266" s="75"/>
      <c r="W266" s="69"/>
      <c r="X266" s="69"/>
      <c r="Y266" s="69"/>
      <c r="Z266" s="69"/>
      <c r="AA266" s="69"/>
      <c r="AB266" s="69"/>
      <c r="AC266" s="69"/>
      <c r="AD266" s="69"/>
      <c r="AE266" s="76"/>
      <c r="AF266" s="71"/>
      <c r="AG266" s="71"/>
      <c r="AH266" s="71"/>
      <c r="AI266" s="71"/>
      <c r="AJ266" s="71"/>
      <c r="AK266" s="71"/>
      <c r="AL266" s="71"/>
      <c r="AM266" s="71"/>
      <c r="AN266" s="68"/>
      <c r="AO266" s="68"/>
      <c r="AP266" s="70"/>
      <c r="AQ266" s="71"/>
      <c r="AR266" s="77"/>
      <c r="AS266" s="70"/>
      <c r="AT266" s="68"/>
      <c r="AU266" s="70"/>
      <c r="AV266" s="70"/>
      <c r="AW266" s="71"/>
      <c r="AX266" s="71"/>
      <c r="AY266" s="70"/>
      <c r="AZ266" s="76"/>
      <c r="BA266" s="76"/>
      <c r="BB266" s="76"/>
      <c r="BC266" s="78"/>
    </row>
    <row r="267" spans="1:55" x14ac:dyDescent="0.25">
      <c r="A267" s="68"/>
      <c r="B267" s="68"/>
      <c r="C267" s="68"/>
      <c r="D267" s="70"/>
      <c r="E267" s="70"/>
      <c r="F267" s="70"/>
      <c r="G267" s="72"/>
      <c r="H267" s="74"/>
      <c r="I267" s="74"/>
      <c r="J267" s="75"/>
      <c r="K267" s="81"/>
      <c r="L267" s="76"/>
      <c r="M267" s="76"/>
      <c r="N267" s="76"/>
      <c r="O267" s="71"/>
      <c r="P267" s="70"/>
      <c r="Q267" s="71"/>
      <c r="R267" s="71"/>
      <c r="S267" s="70"/>
      <c r="T267" s="71"/>
      <c r="U267" s="71"/>
      <c r="V267" s="75"/>
      <c r="W267" s="69"/>
      <c r="X267" s="69"/>
      <c r="Y267" s="69"/>
      <c r="Z267" s="69"/>
      <c r="AA267" s="69"/>
      <c r="AB267" s="69"/>
      <c r="AC267" s="69"/>
      <c r="AD267" s="69"/>
      <c r="AE267" s="76"/>
      <c r="AF267" s="71"/>
      <c r="AG267" s="71"/>
      <c r="AH267" s="71"/>
      <c r="AI267" s="71"/>
      <c r="AJ267" s="71"/>
      <c r="AK267" s="71"/>
      <c r="AL267" s="71"/>
      <c r="AM267" s="71"/>
      <c r="AN267" s="68"/>
      <c r="AO267" s="68"/>
      <c r="AP267" s="70"/>
      <c r="AQ267" s="71"/>
      <c r="AR267" s="77"/>
      <c r="AS267" s="70"/>
      <c r="AT267" s="68"/>
      <c r="AU267" s="70"/>
      <c r="AV267" s="70"/>
      <c r="AW267" s="71"/>
      <c r="AX267" s="71"/>
      <c r="AY267" s="70"/>
      <c r="AZ267" s="76"/>
      <c r="BA267" s="76"/>
      <c r="BB267" s="76"/>
      <c r="BC267" s="78"/>
    </row>
    <row r="268" spans="1:55" x14ac:dyDescent="0.25">
      <c r="A268" s="68"/>
      <c r="B268" s="68"/>
      <c r="C268" s="68"/>
      <c r="D268" s="70"/>
      <c r="E268" s="70"/>
      <c r="F268" s="70"/>
      <c r="G268" s="72"/>
      <c r="H268" s="74"/>
      <c r="I268" s="74"/>
      <c r="J268" s="75"/>
      <c r="K268" s="81"/>
      <c r="L268" s="76"/>
      <c r="M268" s="76"/>
      <c r="N268" s="76"/>
      <c r="O268" s="71"/>
      <c r="P268" s="70"/>
      <c r="Q268" s="71"/>
      <c r="R268" s="71"/>
      <c r="S268" s="70"/>
      <c r="T268" s="71"/>
      <c r="U268" s="71"/>
      <c r="V268" s="75"/>
      <c r="W268" s="69"/>
      <c r="X268" s="69"/>
      <c r="Y268" s="69"/>
      <c r="Z268" s="69"/>
      <c r="AA268" s="69"/>
      <c r="AB268" s="69"/>
      <c r="AC268" s="69"/>
      <c r="AD268" s="69"/>
      <c r="AE268" s="76"/>
      <c r="AF268" s="71"/>
      <c r="AG268" s="71"/>
      <c r="AH268" s="71"/>
      <c r="AI268" s="71"/>
      <c r="AJ268" s="71"/>
      <c r="AK268" s="71"/>
      <c r="AL268" s="71"/>
      <c r="AM268" s="71"/>
      <c r="AN268" s="68"/>
      <c r="AO268" s="68"/>
      <c r="AP268" s="70"/>
      <c r="AQ268" s="71"/>
      <c r="AR268" s="77"/>
      <c r="AS268" s="70"/>
      <c r="AT268" s="68"/>
      <c r="AU268" s="70"/>
      <c r="AV268" s="70"/>
      <c r="AW268" s="71"/>
      <c r="AX268" s="71"/>
      <c r="AY268" s="70"/>
      <c r="AZ268" s="76"/>
      <c r="BA268" s="76"/>
      <c r="BB268" s="76"/>
      <c r="BC268" s="78"/>
    </row>
    <row r="269" spans="1:55" x14ac:dyDescent="0.25">
      <c r="A269" s="68"/>
      <c r="B269" s="68"/>
      <c r="C269" s="68"/>
      <c r="D269" s="70"/>
      <c r="E269" s="70"/>
      <c r="F269" s="70"/>
      <c r="G269" s="72"/>
      <c r="H269" s="74"/>
      <c r="I269" s="74"/>
      <c r="J269" s="75"/>
      <c r="K269" s="81"/>
      <c r="L269" s="76"/>
      <c r="M269" s="76"/>
      <c r="N269" s="76"/>
      <c r="O269" s="71"/>
      <c r="P269" s="70"/>
      <c r="Q269" s="71"/>
      <c r="R269" s="71"/>
      <c r="S269" s="70"/>
      <c r="T269" s="71"/>
      <c r="U269" s="71"/>
      <c r="V269" s="75"/>
      <c r="W269" s="69"/>
      <c r="X269" s="69"/>
      <c r="Y269" s="69"/>
      <c r="Z269" s="69"/>
      <c r="AA269" s="69"/>
      <c r="AB269" s="69"/>
      <c r="AC269" s="69"/>
      <c r="AD269" s="69"/>
      <c r="AE269" s="76"/>
      <c r="AF269" s="71"/>
      <c r="AG269" s="71"/>
      <c r="AH269" s="71"/>
      <c r="AI269" s="71"/>
      <c r="AJ269" s="71"/>
      <c r="AK269" s="71"/>
      <c r="AL269" s="71"/>
      <c r="AM269" s="71"/>
      <c r="AN269" s="68"/>
      <c r="AO269" s="68"/>
      <c r="AP269" s="70"/>
      <c r="AQ269" s="71"/>
      <c r="AR269" s="77"/>
      <c r="AS269" s="70"/>
      <c r="AT269" s="68"/>
      <c r="AU269" s="70"/>
      <c r="AV269" s="70"/>
      <c r="AW269" s="71"/>
      <c r="AX269" s="71"/>
      <c r="AY269" s="70"/>
      <c r="AZ269" s="76"/>
      <c r="BA269" s="76"/>
      <c r="BB269" s="76"/>
      <c r="BC269" s="78"/>
    </row>
    <row r="270" spans="1:55" x14ac:dyDescent="0.25">
      <c r="A270" s="68"/>
      <c r="B270" s="68"/>
      <c r="C270" s="68"/>
      <c r="D270" s="70"/>
      <c r="E270" s="70"/>
      <c r="F270" s="70"/>
      <c r="G270" s="72"/>
      <c r="H270" s="74"/>
      <c r="I270" s="74"/>
      <c r="J270" s="75"/>
      <c r="K270" s="81"/>
      <c r="L270" s="76"/>
      <c r="M270" s="76"/>
      <c r="N270" s="76"/>
      <c r="O270" s="71"/>
      <c r="P270" s="70"/>
      <c r="Q270" s="71"/>
      <c r="R270" s="71"/>
      <c r="S270" s="70"/>
      <c r="T270" s="71"/>
      <c r="U270" s="71"/>
      <c r="V270" s="75"/>
      <c r="W270" s="69"/>
      <c r="X270" s="69"/>
      <c r="Y270" s="69"/>
      <c r="Z270" s="69"/>
      <c r="AA270" s="69"/>
      <c r="AB270" s="69"/>
      <c r="AC270" s="69"/>
      <c r="AD270" s="69"/>
      <c r="AE270" s="76"/>
      <c r="AF270" s="71"/>
      <c r="AG270" s="71"/>
      <c r="AH270" s="71"/>
      <c r="AI270" s="71"/>
      <c r="AJ270" s="71"/>
      <c r="AK270" s="71"/>
      <c r="AL270" s="71"/>
      <c r="AM270" s="71"/>
      <c r="AN270" s="68"/>
      <c r="AO270" s="68"/>
      <c r="AP270" s="70"/>
      <c r="AQ270" s="71"/>
      <c r="AR270" s="77"/>
      <c r="AS270" s="70"/>
      <c r="AT270" s="68"/>
      <c r="AU270" s="70"/>
      <c r="AV270" s="70"/>
      <c r="AW270" s="71"/>
      <c r="AX270" s="71"/>
      <c r="AY270" s="70"/>
      <c r="AZ270" s="76"/>
      <c r="BA270" s="76"/>
      <c r="BB270" s="76"/>
      <c r="BC270" s="78"/>
    </row>
    <row r="271" spans="1:55" x14ac:dyDescent="0.25">
      <c r="A271" s="68"/>
      <c r="B271" s="68"/>
      <c r="C271" s="68"/>
      <c r="D271" s="70"/>
      <c r="E271" s="70"/>
      <c r="F271" s="70"/>
      <c r="G271" s="72"/>
      <c r="H271" s="74"/>
      <c r="I271" s="74"/>
      <c r="J271" s="75"/>
      <c r="K271" s="81"/>
      <c r="L271" s="76"/>
      <c r="M271" s="76"/>
      <c r="N271" s="76"/>
      <c r="O271" s="71"/>
      <c r="P271" s="70"/>
      <c r="Q271" s="71"/>
      <c r="R271" s="71"/>
      <c r="S271" s="70"/>
      <c r="T271" s="71"/>
      <c r="U271" s="71"/>
      <c r="V271" s="75"/>
      <c r="W271" s="69"/>
      <c r="X271" s="69"/>
      <c r="Y271" s="69"/>
      <c r="Z271" s="69"/>
      <c r="AA271" s="69"/>
      <c r="AB271" s="69"/>
      <c r="AC271" s="69"/>
      <c r="AD271" s="69"/>
      <c r="AE271" s="76"/>
      <c r="AF271" s="71"/>
      <c r="AG271" s="71"/>
      <c r="AH271" s="71"/>
      <c r="AI271" s="71"/>
      <c r="AJ271" s="71"/>
      <c r="AK271" s="71"/>
      <c r="AL271" s="71"/>
      <c r="AM271" s="71"/>
      <c r="AN271" s="68"/>
      <c r="AO271" s="68"/>
      <c r="AP271" s="70"/>
      <c r="AQ271" s="71"/>
      <c r="AR271" s="77"/>
      <c r="AS271" s="70"/>
      <c r="AT271" s="68"/>
      <c r="AU271" s="70"/>
      <c r="AV271" s="70"/>
      <c r="AW271" s="71"/>
      <c r="AX271" s="71"/>
      <c r="AY271" s="70"/>
      <c r="AZ271" s="76"/>
      <c r="BA271" s="76"/>
      <c r="BB271" s="76"/>
      <c r="BC271" s="78"/>
    </row>
    <row r="272" spans="1:55" x14ac:dyDescent="0.25">
      <c r="A272" s="68"/>
      <c r="B272" s="68"/>
      <c r="C272" s="68"/>
      <c r="D272" s="70"/>
      <c r="E272" s="70"/>
      <c r="F272" s="70"/>
      <c r="G272" s="72"/>
      <c r="H272" s="74"/>
      <c r="I272" s="74"/>
      <c r="J272" s="75"/>
      <c r="K272" s="81"/>
      <c r="L272" s="76"/>
      <c r="M272" s="76"/>
      <c r="N272" s="76"/>
      <c r="O272" s="71"/>
      <c r="P272" s="70"/>
      <c r="Q272" s="71"/>
      <c r="R272" s="71"/>
      <c r="S272" s="70"/>
      <c r="T272" s="71"/>
      <c r="U272" s="71"/>
      <c r="V272" s="75"/>
      <c r="W272" s="69"/>
      <c r="X272" s="69"/>
      <c r="Y272" s="69"/>
      <c r="Z272" s="69"/>
      <c r="AA272" s="69"/>
      <c r="AB272" s="69"/>
      <c r="AC272" s="69"/>
      <c r="AD272" s="69"/>
      <c r="AE272" s="76"/>
      <c r="AF272" s="71"/>
      <c r="AG272" s="71"/>
      <c r="AH272" s="71"/>
      <c r="AI272" s="71"/>
      <c r="AJ272" s="71"/>
      <c r="AK272" s="71"/>
      <c r="AL272" s="71"/>
      <c r="AM272" s="71"/>
      <c r="AN272" s="68"/>
      <c r="AO272" s="68"/>
      <c r="AP272" s="70"/>
      <c r="AQ272" s="71"/>
      <c r="AR272" s="77"/>
      <c r="AS272" s="70"/>
      <c r="AT272" s="68"/>
      <c r="AU272" s="70"/>
      <c r="AV272" s="70"/>
      <c r="AW272" s="71"/>
      <c r="AX272" s="71"/>
      <c r="AY272" s="70"/>
      <c r="AZ272" s="76"/>
      <c r="BA272" s="76"/>
      <c r="BB272" s="76"/>
      <c r="BC272" s="78"/>
    </row>
    <row r="273" spans="1:55" x14ac:dyDescent="0.25">
      <c r="A273" s="68"/>
      <c r="B273" s="68"/>
      <c r="C273" s="68"/>
      <c r="D273" s="70"/>
      <c r="E273" s="70"/>
      <c r="F273" s="70"/>
      <c r="G273" s="72"/>
      <c r="H273" s="74"/>
      <c r="I273" s="74"/>
      <c r="J273" s="75"/>
      <c r="K273" s="81"/>
      <c r="L273" s="76"/>
      <c r="M273" s="76"/>
      <c r="N273" s="76"/>
      <c r="O273" s="71"/>
      <c r="P273" s="70"/>
      <c r="Q273" s="71"/>
      <c r="R273" s="71"/>
      <c r="S273" s="70"/>
      <c r="T273" s="71"/>
      <c r="U273" s="71"/>
      <c r="V273" s="75"/>
      <c r="W273" s="69"/>
      <c r="X273" s="69"/>
      <c r="Y273" s="69"/>
      <c r="Z273" s="69"/>
      <c r="AA273" s="69"/>
      <c r="AB273" s="69"/>
      <c r="AC273" s="69"/>
      <c r="AD273" s="69"/>
      <c r="AE273" s="76"/>
      <c r="AF273" s="71"/>
      <c r="AG273" s="71"/>
      <c r="AH273" s="71"/>
      <c r="AI273" s="71"/>
      <c r="AJ273" s="71"/>
      <c r="AK273" s="71"/>
      <c r="AL273" s="71"/>
      <c r="AM273" s="71"/>
      <c r="AN273" s="68"/>
      <c r="AO273" s="68"/>
      <c r="AP273" s="70"/>
      <c r="AQ273" s="71"/>
      <c r="AR273" s="77"/>
      <c r="AS273" s="70"/>
      <c r="AT273" s="68"/>
      <c r="AU273" s="70"/>
      <c r="AV273" s="70"/>
      <c r="AW273" s="71"/>
      <c r="AX273" s="71"/>
      <c r="AY273" s="70"/>
      <c r="AZ273" s="76"/>
      <c r="BA273" s="76"/>
      <c r="BB273" s="76"/>
      <c r="BC273" s="78"/>
    </row>
    <row r="274" spans="1:55" x14ac:dyDescent="0.25">
      <c r="A274" s="68"/>
      <c r="B274" s="68"/>
      <c r="C274" s="68"/>
      <c r="D274" s="70"/>
      <c r="E274" s="70"/>
      <c r="F274" s="70"/>
      <c r="G274" s="72"/>
      <c r="H274" s="74"/>
      <c r="I274" s="74"/>
      <c r="J274" s="75"/>
      <c r="K274" s="81"/>
      <c r="L274" s="76"/>
      <c r="M274" s="76"/>
      <c r="N274" s="76"/>
      <c r="O274" s="71"/>
      <c r="P274" s="70"/>
      <c r="Q274" s="71"/>
      <c r="R274" s="71"/>
      <c r="S274" s="70"/>
      <c r="T274" s="71"/>
      <c r="U274" s="71"/>
      <c r="V274" s="75"/>
      <c r="W274" s="69"/>
      <c r="X274" s="69"/>
      <c r="Y274" s="69"/>
      <c r="Z274" s="69"/>
      <c r="AA274" s="69"/>
      <c r="AB274" s="69"/>
      <c r="AC274" s="69"/>
      <c r="AD274" s="69"/>
      <c r="AE274" s="76"/>
      <c r="AF274" s="71"/>
      <c r="AG274" s="71"/>
      <c r="AH274" s="71"/>
      <c r="AI274" s="71"/>
      <c r="AJ274" s="71"/>
      <c r="AK274" s="71"/>
      <c r="AL274" s="71"/>
      <c r="AM274" s="71"/>
      <c r="AN274" s="68"/>
      <c r="AO274" s="68"/>
      <c r="AP274" s="70"/>
      <c r="AQ274" s="71"/>
      <c r="AR274" s="77"/>
      <c r="AS274" s="70"/>
      <c r="AT274" s="68"/>
      <c r="AU274" s="70"/>
      <c r="AV274" s="70"/>
      <c r="AW274" s="71"/>
      <c r="AX274" s="71"/>
      <c r="AY274" s="70"/>
      <c r="AZ274" s="76"/>
      <c r="BA274" s="76"/>
      <c r="BB274" s="76"/>
      <c r="BC274" s="78"/>
    </row>
    <row r="275" spans="1:55" x14ac:dyDescent="0.25">
      <c r="A275" s="68"/>
      <c r="B275" s="68"/>
      <c r="C275" s="68"/>
      <c r="D275" s="70"/>
      <c r="E275" s="70"/>
      <c r="F275" s="70"/>
      <c r="G275" s="72"/>
      <c r="H275" s="74"/>
      <c r="I275" s="74"/>
      <c r="J275" s="75"/>
      <c r="K275" s="81"/>
      <c r="L275" s="76"/>
      <c r="M275" s="76"/>
      <c r="N275" s="76"/>
      <c r="O275" s="71"/>
      <c r="P275" s="70"/>
      <c r="Q275" s="71"/>
      <c r="R275" s="71"/>
      <c r="S275" s="70"/>
      <c r="T275" s="71"/>
      <c r="U275" s="71"/>
      <c r="V275" s="75"/>
      <c r="W275" s="69"/>
      <c r="X275" s="69"/>
      <c r="Y275" s="69"/>
      <c r="Z275" s="69"/>
      <c r="AA275" s="69"/>
      <c r="AB275" s="69"/>
      <c r="AC275" s="69"/>
      <c r="AD275" s="69"/>
      <c r="AE275" s="76"/>
      <c r="AF275" s="71"/>
      <c r="AG275" s="71"/>
      <c r="AH275" s="71"/>
      <c r="AI275" s="71"/>
      <c r="AJ275" s="71"/>
      <c r="AK275" s="71"/>
      <c r="AL275" s="71"/>
      <c r="AM275" s="71"/>
      <c r="AN275" s="68"/>
      <c r="AO275" s="68"/>
      <c r="AP275" s="70"/>
      <c r="AQ275" s="71"/>
      <c r="AR275" s="77"/>
      <c r="AS275" s="70"/>
      <c r="AT275" s="68"/>
      <c r="AU275" s="70"/>
      <c r="AV275" s="70"/>
      <c r="AW275" s="71"/>
      <c r="AX275" s="71"/>
      <c r="AY275" s="70"/>
      <c r="AZ275" s="76"/>
      <c r="BA275" s="76"/>
      <c r="BB275" s="76"/>
      <c r="BC275" s="78"/>
    </row>
    <row r="276" spans="1:55" x14ac:dyDescent="0.25">
      <c r="A276" s="68"/>
      <c r="B276" s="68"/>
      <c r="C276" s="68"/>
      <c r="D276" s="70"/>
      <c r="E276" s="70"/>
      <c r="F276" s="70"/>
      <c r="G276" s="72"/>
      <c r="H276" s="74"/>
      <c r="I276" s="74"/>
      <c r="J276" s="75"/>
      <c r="K276" s="81"/>
      <c r="L276" s="76"/>
      <c r="M276" s="76"/>
      <c r="N276" s="76"/>
      <c r="O276" s="71"/>
      <c r="P276" s="70"/>
      <c r="Q276" s="71"/>
      <c r="R276" s="71"/>
      <c r="S276" s="70"/>
      <c r="T276" s="71"/>
      <c r="U276" s="71"/>
      <c r="V276" s="75"/>
      <c r="W276" s="69"/>
      <c r="X276" s="69"/>
      <c r="Y276" s="69"/>
      <c r="Z276" s="69"/>
      <c r="AA276" s="69"/>
      <c r="AB276" s="69"/>
      <c r="AC276" s="69"/>
      <c r="AD276" s="69"/>
      <c r="AE276" s="76"/>
      <c r="AF276" s="71"/>
      <c r="AG276" s="71"/>
      <c r="AH276" s="71"/>
      <c r="AI276" s="71"/>
      <c r="AJ276" s="71"/>
      <c r="AK276" s="71"/>
      <c r="AL276" s="71"/>
      <c r="AM276" s="71"/>
      <c r="AN276" s="68"/>
      <c r="AO276" s="68"/>
      <c r="AP276" s="70"/>
      <c r="AQ276" s="71"/>
      <c r="AR276" s="77"/>
      <c r="AS276" s="70"/>
      <c r="AT276" s="68"/>
      <c r="AU276" s="70"/>
      <c r="AV276" s="70"/>
      <c r="AW276" s="71"/>
      <c r="AX276" s="71"/>
      <c r="AY276" s="70"/>
      <c r="AZ276" s="76"/>
      <c r="BA276" s="76"/>
      <c r="BB276" s="76"/>
      <c r="BC276" s="78"/>
    </row>
    <row r="277" spans="1:55" x14ac:dyDescent="0.25">
      <c r="A277" s="68"/>
      <c r="B277" s="68"/>
      <c r="C277" s="68"/>
      <c r="D277" s="70"/>
      <c r="E277" s="70"/>
      <c r="F277" s="70"/>
      <c r="G277" s="72"/>
      <c r="H277" s="74"/>
      <c r="I277" s="74"/>
      <c r="J277" s="75"/>
      <c r="K277" s="81"/>
      <c r="L277" s="76"/>
      <c r="M277" s="76"/>
      <c r="N277" s="76"/>
      <c r="O277" s="71"/>
      <c r="P277" s="70"/>
      <c r="Q277" s="71"/>
      <c r="R277" s="71"/>
      <c r="S277" s="70"/>
      <c r="T277" s="71"/>
      <c r="U277" s="71"/>
      <c r="V277" s="75"/>
      <c r="W277" s="69"/>
      <c r="X277" s="69"/>
      <c r="Y277" s="69"/>
      <c r="Z277" s="69"/>
      <c r="AA277" s="69"/>
      <c r="AB277" s="69"/>
      <c r="AC277" s="69"/>
      <c r="AD277" s="69"/>
      <c r="AE277" s="76"/>
      <c r="AF277" s="71"/>
      <c r="AG277" s="71"/>
      <c r="AH277" s="71"/>
      <c r="AI277" s="71"/>
      <c r="AJ277" s="71"/>
      <c r="AK277" s="71"/>
      <c r="AL277" s="71"/>
      <c r="AM277" s="71"/>
      <c r="AN277" s="68"/>
      <c r="AO277" s="68"/>
      <c r="AP277" s="70"/>
      <c r="AQ277" s="71"/>
      <c r="AR277" s="77"/>
      <c r="AS277" s="70"/>
      <c r="AT277" s="68"/>
      <c r="AU277" s="70"/>
      <c r="AV277" s="70"/>
      <c r="AW277" s="71"/>
      <c r="AX277" s="71"/>
      <c r="AY277" s="70"/>
      <c r="AZ277" s="76"/>
      <c r="BA277" s="76"/>
      <c r="BB277" s="76"/>
      <c r="BC277" s="78"/>
    </row>
    <row r="278" spans="1:55" x14ac:dyDescent="0.25">
      <c r="A278" s="68"/>
      <c r="B278" s="68"/>
      <c r="C278" s="68"/>
      <c r="D278" s="70"/>
      <c r="E278" s="70"/>
      <c r="F278" s="70"/>
      <c r="G278" s="72"/>
      <c r="H278" s="74"/>
      <c r="I278" s="74"/>
      <c r="J278" s="75"/>
      <c r="K278" s="81"/>
      <c r="L278" s="76"/>
      <c r="M278" s="76"/>
      <c r="N278" s="76"/>
      <c r="O278" s="71"/>
      <c r="P278" s="70"/>
      <c r="Q278" s="71"/>
      <c r="R278" s="71"/>
      <c r="S278" s="70"/>
      <c r="T278" s="71"/>
      <c r="U278" s="71"/>
      <c r="V278" s="75"/>
      <c r="W278" s="69"/>
      <c r="X278" s="69"/>
      <c r="Y278" s="69"/>
      <c r="Z278" s="69"/>
      <c r="AA278" s="69"/>
      <c r="AB278" s="69"/>
      <c r="AC278" s="69"/>
      <c r="AD278" s="69"/>
      <c r="AE278" s="76"/>
      <c r="AF278" s="71"/>
      <c r="AG278" s="71"/>
      <c r="AH278" s="71"/>
      <c r="AI278" s="71"/>
      <c r="AJ278" s="71"/>
      <c r="AK278" s="71"/>
      <c r="AL278" s="71"/>
      <c r="AM278" s="71"/>
      <c r="AN278" s="68"/>
      <c r="AO278" s="68"/>
      <c r="AP278" s="70"/>
      <c r="AQ278" s="71"/>
      <c r="AR278" s="77"/>
      <c r="AS278" s="70"/>
      <c r="AT278" s="68"/>
      <c r="AU278" s="70"/>
      <c r="AV278" s="70"/>
      <c r="AW278" s="71"/>
      <c r="AX278" s="71"/>
      <c r="AY278" s="70"/>
      <c r="AZ278" s="76"/>
      <c r="BA278" s="76"/>
      <c r="BB278" s="76"/>
      <c r="BC278" s="78"/>
    </row>
    <row r="279" spans="1:55" x14ac:dyDescent="0.25">
      <c r="A279" s="68"/>
      <c r="B279" s="68"/>
      <c r="C279" s="68"/>
      <c r="D279" s="70"/>
      <c r="E279" s="70"/>
      <c r="F279" s="70"/>
      <c r="G279" s="72"/>
      <c r="H279" s="74"/>
      <c r="I279" s="74"/>
      <c r="J279" s="75"/>
      <c r="K279" s="81"/>
      <c r="L279" s="76"/>
      <c r="M279" s="76"/>
      <c r="N279" s="76"/>
      <c r="O279" s="71"/>
      <c r="P279" s="70"/>
      <c r="Q279" s="71"/>
      <c r="R279" s="71"/>
      <c r="S279" s="70"/>
      <c r="T279" s="71"/>
      <c r="U279" s="71"/>
      <c r="V279" s="75"/>
      <c r="W279" s="69"/>
      <c r="X279" s="69"/>
      <c r="Y279" s="69"/>
      <c r="Z279" s="69"/>
      <c r="AA279" s="69"/>
      <c r="AB279" s="69"/>
      <c r="AC279" s="69"/>
      <c r="AD279" s="69"/>
      <c r="AE279" s="76"/>
      <c r="AF279" s="71"/>
      <c r="AG279" s="71"/>
      <c r="AH279" s="71"/>
      <c r="AI279" s="71"/>
      <c r="AJ279" s="71"/>
      <c r="AK279" s="71"/>
      <c r="AL279" s="71"/>
      <c r="AM279" s="71"/>
      <c r="AN279" s="68"/>
      <c r="AO279" s="68"/>
      <c r="AP279" s="70"/>
      <c r="AQ279" s="71"/>
      <c r="AR279" s="77"/>
      <c r="AS279" s="70"/>
      <c r="AT279" s="68"/>
      <c r="AU279" s="70"/>
      <c r="AV279" s="70"/>
      <c r="AW279" s="71"/>
      <c r="AX279" s="71"/>
      <c r="AY279" s="70"/>
      <c r="AZ279" s="76"/>
      <c r="BA279" s="76"/>
      <c r="BB279" s="76"/>
      <c r="BC279" s="78"/>
    </row>
    <row r="280" spans="1:55" x14ac:dyDescent="0.25">
      <c r="A280" s="68"/>
      <c r="B280" s="68"/>
      <c r="C280" s="68"/>
      <c r="D280" s="70"/>
      <c r="E280" s="70"/>
      <c r="F280" s="70"/>
      <c r="G280" s="72"/>
      <c r="H280" s="74"/>
      <c r="I280" s="74"/>
      <c r="J280" s="75"/>
      <c r="K280" s="81"/>
      <c r="L280" s="76"/>
      <c r="M280" s="76"/>
      <c r="N280" s="76"/>
      <c r="O280" s="71"/>
      <c r="P280" s="70"/>
      <c r="Q280" s="71"/>
      <c r="R280" s="71"/>
      <c r="S280" s="70"/>
      <c r="T280" s="71"/>
      <c r="U280" s="71"/>
      <c r="V280" s="75"/>
      <c r="W280" s="69"/>
      <c r="X280" s="69"/>
      <c r="Y280" s="69"/>
      <c r="Z280" s="69"/>
      <c r="AA280" s="69"/>
      <c r="AB280" s="69"/>
      <c r="AC280" s="69"/>
      <c r="AD280" s="69"/>
      <c r="AE280" s="76"/>
      <c r="AF280" s="71"/>
      <c r="AG280" s="71"/>
      <c r="AH280" s="71"/>
      <c r="AI280" s="71"/>
      <c r="AJ280" s="71"/>
      <c r="AK280" s="71"/>
      <c r="AL280" s="71"/>
      <c r="AM280" s="71"/>
      <c r="AN280" s="68"/>
      <c r="AO280" s="68"/>
      <c r="AP280" s="70"/>
      <c r="AQ280" s="71"/>
      <c r="AR280" s="77"/>
      <c r="AS280" s="70"/>
      <c r="AT280" s="68"/>
      <c r="AU280" s="70"/>
      <c r="AV280" s="70"/>
      <c r="AW280" s="71"/>
      <c r="AX280" s="71"/>
      <c r="AY280" s="70"/>
      <c r="AZ280" s="76"/>
      <c r="BA280" s="76"/>
      <c r="BB280" s="76"/>
      <c r="BC280" s="78"/>
    </row>
    <row r="281" spans="1:55" x14ac:dyDescent="0.25">
      <c r="A281" s="68"/>
      <c r="B281" s="68"/>
      <c r="C281" s="68"/>
      <c r="D281" s="70"/>
      <c r="E281" s="70"/>
      <c r="F281" s="70"/>
      <c r="G281" s="72"/>
      <c r="H281" s="74"/>
      <c r="I281" s="74"/>
      <c r="J281" s="75"/>
      <c r="K281" s="81"/>
      <c r="L281" s="76"/>
      <c r="M281" s="76"/>
      <c r="N281" s="76"/>
      <c r="O281" s="71"/>
      <c r="P281" s="70"/>
      <c r="Q281" s="71"/>
      <c r="R281" s="71"/>
      <c r="S281" s="70"/>
      <c r="T281" s="71"/>
      <c r="U281" s="71"/>
      <c r="V281" s="75"/>
      <c r="W281" s="69"/>
      <c r="X281" s="69"/>
      <c r="Y281" s="69"/>
      <c r="Z281" s="69"/>
      <c r="AA281" s="69"/>
      <c r="AB281" s="69"/>
      <c r="AC281" s="69"/>
      <c r="AD281" s="69"/>
      <c r="AE281" s="76"/>
      <c r="AF281" s="71"/>
      <c r="AG281" s="71"/>
      <c r="AH281" s="71"/>
      <c r="AI281" s="71"/>
      <c r="AJ281" s="71"/>
      <c r="AK281" s="71"/>
      <c r="AL281" s="71"/>
      <c r="AM281" s="71"/>
      <c r="AN281" s="68"/>
      <c r="AO281" s="68"/>
      <c r="AP281" s="70"/>
      <c r="AQ281" s="71"/>
      <c r="AR281" s="77"/>
      <c r="AS281" s="70"/>
      <c r="AT281" s="68"/>
      <c r="AU281" s="70"/>
      <c r="AV281" s="70"/>
      <c r="AW281" s="71"/>
      <c r="AX281" s="71"/>
      <c r="AY281" s="70"/>
      <c r="AZ281" s="76"/>
      <c r="BA281" s="76"/>
      <c r="BB281" s="76"/>
      <c r="BC281" s="78"/>
    </row>
    <row r="282" spans="1:55" x14ac:dyDescent="0.25">
      <c r="A282" s="68"/>
      <c r="B282" s="68"/>
      <c r="C282" s="68"/>
      <c r="D282" s="70"/>
      <c r="E282" s="70"/>
      <c r="F282" s="70"/>
      <c r="G282" s="72"/>
      <c r="H282" s="74"/>
      <c r="I282" s="74"/>
      <c r="J282" s="75"/>
      <c r="K282" s="81"/>
      <c r="L282" s="76"/>
      <c r="M282" s="76"/>
      <c r="N282" s="76"/>
      <c r="O282" s="71"/>
      <c r="P282" s="70"/>
      <c r="Q282" s="71"/>
      <c r="R282" s="71"/>
      <c r="S282" s="70"/>
      <c r="T282" s="71"/>
      <c r="U282" s="71"/>
      <c r="V282" s="75"/>
      <c r="W282" s="69"/>
      <c r="X282" s="69"/>
      <c r="Y282" s="69"/>
      <c r="Z282" s="69"/>
      <c r="AA282" s="69"/>
      <c r="AB282" s="69"/>
      <c r="AC282" s="69"/>
      <c r="AD282" s="69"/>
      <c r="AE282" s="76"/>
      <c r="AF282" s="71"/>
      <c r="AG282" s="71"/>
      <c r="AH282" s="71"/>
      <c r="AI282" s="71"/>
      <c r="AJ282" s="71"/>
      <c r="AK282" s="71"/>
      <c r="AL282" s="71"/>
      <c r="AM282" s="71"/>
      <c r="AN282" s="68"/>
      <c r="AO282" s="68"/>
      <c r="AP282" s="70"/>
      <c r="AQ282" s="71"/>
      <c r="AR282" s="77"/>
      <c r="AS282" s="70"/>
      <c r="AT282" s="68"/>
      <c r="AU282" s="70"/>
      <c r="AV282" s="70"/>
      <c r="AW282" s="71"/>
      <c r="AX282" s="71"/>
      <c r="AY282" s="70"/>
      <c r="AZ282" s="76"/>
      <c r="BA282" s="76"/>
      <c r="BB282" s="76"/>
      <c r="BC282" s="78"/>
    </row>
    <row r="283" spans="1:55" x14ac:dyDescent="0.25">
      <c r="A283" s="68"/>
      <c r="B283" s="68"/>
      <c r="C283" s="68"/>
      <c r="D283" s="70"/>
      <c r="E283" s="70"/>
      <c r="F283" s="70"/>
      <c r="G283" s="72"/>
      <c r="H283" s="74"/>
      <c r="I283" s="74"/>
      <c r="J283" s="75"/>
      <c r="K283" s="81"/>
      <c r="L283" s="76"/>
      <c r="M283" s="76"/>
      <c r="N283" s="76"/>
      <c r="O283" s="71"/>
      <c r="P283" s="70"/>
      <c r="Q283" s="71"/>
      <c r="R283" s="71"/>
      <c r="S283" s="70"/>
      <c r="T283" s="71"/>
      <c r="U283" s="71"/>
      <c r="V283" s="75"/>
      <c r="W283" s="69"/>
      <c r="X283" s="69"/>
      <c r="Y283" s="69"/>
      <c r="Z283" s="69"/>
      <c r="AA283" s="69"/>
      <c r="AB283" s="69"/>
      <c r="AC283" s="69"/>
      <c r="AD283" s="69"/>
      <c r="AE283" s="76"/>
      <c r="AF283" s="71"/>
      <c r="AG283" s="71"/>
      <c r="AH283" s="71"/>
      <c r="AI283" s="71"/>
      <c r="AJ283" s="71"/>
      <c r="AK283" s="71"/>
      <c r="AL283" s="71"/>
      <c r="AM283" s="71"/>
      <c r="AN283" s="68"/>
      <c r="AO283" s="68"/>
      <c r="AP283" s="70"/>
      <c r="AQ283" s="71"/>
      <c r="AR283" s="77"/>
      <c r="AS283" s="70"/>
      <c r="AT283" s="68"/>
      <c r="AU283" s="70"/>
      <c r="AV283" s="70"/>
      <c r="AW283" s="71"/>
      <c r="AX283" s="71"/>
      <c r="AY283" s="70"/>
      <c r="AZ283" s="76"/>
      <c r="BA283" s="76"/>
      <c r="BB283" s="76"/>
      <c r="BC283" s="78"/>
    </row>
    <row r="284" spans="1:55" x14ac:dyDescent="0.25">
      <c r="A284" s="68"/>
      <c r="B284" s="68"/>
      <c r="C284" s="68"/>
      <c r="D284" s="70"/>
      <c r="E284" s="70"/>
      <c r="F284" s="70"/>
      <c r="G284" s="72"/>
      <c r="H284" s="74"/>
      <c r="I284" s="74"/>
      <c r="J284" s="75"/>
      <c r="K284" s="81"/>
      <c r="L284" s="76"/>
      <c r="M284" s="76"/>
      <c r="N284" s="76"/>
      <c r="O284" s="71"/>
      <c r="P284" s="70"/>
      <c r="Q284" s="71"/>
      <c r="R284" s="71"/>
      <c r="S284" s="70"/>
      <c r="T284" s="71"/>
      <c r="U284" s="71"/>
      <c r="V284" s="75"/>
      <c r="W284" s="69"/>
      <c r="X284" s="69"/>
      <c r="Y284" s="69"/>
      <c r="Z284" s="69"/>
      <c r="AA284" s="69"/>
      <c r="AB284" s="69"/>
      <c r="AC284" s="69"/>
      <c r="AD284" s="69"/>
      <c r="AE284" s="76"/>
      <c r="AF284" s="71"/>
      <c r="AG284" s="71"/>
      <c r="AH284" s="71"/>
      <c r="AI284" s="71"/>
      <c r="AJ284" s="71"/>
      <c r="AK284" s="71"/>
      <c r="AL284" s="71"/>
      <c r="AM284" s="71"/>
      <c r="AN284" s="68"/>
      <c r="AO284" s="68"/>
      <c r="AP284" s="70"/>
      <c r="AQ284" s="71"/>
      <c r="AR284" s="77"/>
      <c r="AS284" s="70"/>
      <c r="AT284" s="68"/>
      <c r="AU284" s="70"/>
      <c r="AV284" s="70"/>
      <c r="AW284" s="71"/>
      <c r="AX284" s="71"/>
      <c r="AY284" s="70"/>
      <c r="AZ284" s="76"/>
      <c r="BA284" s="76"/>
      <c r="BB284" s="76"/>
      <c r="BC284" s="78"/>
    </row>
    <row r="285" spans="1:55" x14ac:dyDescent="0.25">
      <c r="A285" s="68"/>
      <c r="B285" s="68"/>
      <c r="C285" s="68"/>
      <c r="D285" s="70"/>
      <c r="E285" s="70"/>
      <c r="F285" s="70"/>
      <c r="G285" s="72"/>
      <c r="H285" s="74"/>
      <c r="I285" s="74"/>
      <c r="J285" s="75"/>
      <c r="K285" s="81"/>
      <c r="L285" s="76"/>
      <c r="M285" s="76"/>
      <c r="N285" s="76"/>
      <c r="O285" s="71"/>
      <c r="P285" s="70"/>
      <c r="Q285" s="71"/>
      <c r="R285" s="71"/>
      <c r="S285" s="70"/>
      <c r="T285" s="71"/>
      <c r="U285" s="71"/>
      <c r="V285" s="75"/>
      <c r="W285" s="69"/>
      <c r="X285" s="69"/>
      <c r="Y285" s="69"/>
      <c r="Z285" s="69"/>
      <c r="AA285" s="69"/>
      <c r="AB285" s="69"/>
      <c r="AC285" s="69"/>
      <c r="AD285" s="69"/>
      <c r="AE285" s="76"/>
      <c r="AF285" s="71"/>
      <c r="AG285" s="71"/>
      <c r="AH285" s="71"/>
      <c r="AI285" s="71"/>
      <c r="AJ285" s="71"/>
      <c r="AK285" s="71"/>
      <c r="AL285" s="71"/>
      <c r="AM285" s="71"/>
      <c r="AN285" s="68"/>
      <c r="AO285" s="68"/>
      <c r="AP285" s="70"/>
      <c r="AQ285" s="71"/>
      <c r="AR285" s="77"/>
      <c r="AS285" s="70"/>
      <c r="AT285" s="68"/>
      <c r="AU285" s="70"/>
      <c r="AV285" s="70"/>
      <c r="AW285" s="71"/>
      <c r="AX285" s="71"/>
      <c r="AY285" s="70"/>
      <c r="AZ285" s="76"/>
      <c r="BA285" s="76"/>
      <c r="BB285" s="76"/>
      <c r="BC285" s="78"/>
    </row>
    <row r="286" spans="1:55" x14ac:dyDescent="0.25">
      <c r="A286" s="68"/>
      <c r="B286" s="68"/>
      <c r="C286" s="68"/>
      <c r="D286" s="70"/>
      <c r="E286" s="70"/>
      <c r="F286" s="70"/>
      <c r="G286" s="72"/>
      <c r="H286" s="74"/>
      <c r="I286" s="74"/>
      <c r="J286" s="75"/>
      <c r="K286" s="81"/>
      <c r="L286" s="76"/>
      <c r="M286" s="76"/>
      <c r="N286" s="76"/>
      <c r="O286" s="71"/>
      <c r="P286" s="70"/>
      <c r="Q286" s="71"/>
      <c r="R286" s="71"/>
      <c r="S286" s="70"/>
      <c r="T286" s="71"/>
      <c r="U286" s="71"/>
      <c r="V286" s="75"/>
      <c r="W286" s="69"/>
      <c r="X286" s="69"/>
      <c r="Y286" s="69"/>
      <c r="Z286" s="69"/>
      <c r="AA286" s="69"/>
      <c r="AB286" s="69"/>
      <c r="AC286" s="69"/>
      <c r="AD286" s="69"/>
      <c r="AE286" s="76"/>
      <c r="AF286" s="71"/>
      <c r="AG286" s="71"/>
      <c r="AH286" s="71"/>
      <c r="AI286" s="71"/>
      <c r="AJ286" s="71"/>
      <c r="AK286" s="71"/>
      <c r="AL286" s="71"/>
      <c r="AM286" s="71"/>
      <c r="AN286" s="68"/>
      <c r="AO286" s="68"/>
      <c r="AP286" s="70"/>
      <c r="AQ286" s="71"/>
      <c r="AR286" s="77"/>
      <c r="AS286" s="70"/>
      <c r="AT286" s="68"/>
      <c r="AU286" s="70"/>
      <c r="AV286" s="70"/>
      <c r="AW286" s="71"/>
      <c r="AX286" s="71"/>
      <c r="AY286" s="70"/>
      <c r="AZ286" s="76"/>
      <c r="BA286" s="76"/>
      <c r="BB286" s="76"/>
      <c r="BC286" s="78"/>
    </row>
    <row r="287" spans="1:55" x14ac:dyDescent="0.25">
      <c r="A287" s="68"/>
      <c r="B287" s="68"/>
      <c r="C287" s="68"/>
      <c r="D287" s="70"/>
      <c r="E287" s="70"/>
      <c r="F287" s="70"/>
      <c r="G287" s="72"/>
      <c r="H287" s="74"/>
      <c r="I287" s="74"/>
      <c r="J287" s="75"/>
      <c r="K287" s="81"/>
      <c r="L287" s="76"/>
      <c r="M287" s="76"/>
      <c r="N287" s="76"/>
      <c r="O287" s="71"/>
      <c r="P287" s="70"/>
      <c r="Q287" s="71"/>
      <c r="R287" s="71"/>
      <c r="S287" s="70"/>
      <c r="T287" s="71"/>
      <c r="U287" s="71"/>
      <c r="V287" s="75"/>
      <c r="W287" s="69"/>
      <c r="X287" s="69"/>
      <c r="Y287" s="69"/>
      <c r="Z287" s="69"/>
      <c r="AA287" s="69"/>
      <c r="AB287" s="69"/>
      <c r="AC287" s="69"/>
      <c r="AD287" s="69"/>
      <c r="AE287" s="76"/>
      <c r="AF287" s="71"/>
      <c r="AG287" s="71"/>
      <c r="AH287" s="71"/>
      <c r="AI287" s="71"/>
      <c r="AJ287" s="71"/>
      <c r="AK287" s="71"/>
      <c r="AL287" s="71"/>
      <c r="AM287" s="71"/>
      <c r="AN287" s="68"/>
      <c r="AO287" s="68"/>
      <c r="AP287" s="70"/>
      <c r="AQ287" s="71"/>
      <c r="AR287" s="77"/>
      <c r="AS287" s="70"/>
      <c r="AT287" s="68"/>
      <c r="AU287" s="70"/>
      <c r="AV287" s="70"/>
      <c r="AW287" s="71"/>
      <c r="AX287" s="71"/>
      <c r="AY287" s="70"/>
      <c r="AZ287" s="76"/>
      <c r="BA287" s="76"/>
      <c r="BB287" s="76"/>
      <c r="BC287" s="78"/>
    </row>
    <row r="288" spans="1:55" x14ac:dyDescent="0.25">
      <c r="A288" s="68"/>
      <c r="B288" s="68"/>
      <c r="C288" s="68"/>
      <c r="D288" s="70"/>
      <c r="E288" s="70"/>
      <c r="F288" s="70"/>
      <c r="G288" s="72"/>
      <c r="H288" s="74"/>
      <c r="I288" s="74"/>
      <c r="J288" s="75"/>
      <c r="K288" s="81"/>
      <c r="L288" s="76"/>
      <c r="M288" s="76"/>
      <c r="N288" s="76"/>
      <c r="O288" s="71"/>
      <c r="P288" s="70"/>
      <c r="Q288" s="71"/>
      <c r="R288" s="71"/>
      <c r="S288" s="70"/>
      <c r="T288" s="71"/>
      <c r="U288" s="71"/>
      <c r="V288" s="75"/>
      <c r="W288" s="69"/>
      <c r="X288" s="69"/>
      <c r="Y288" s="69"/>
      <c r="Z288" s="69"/>
      <c r="AA288" s="69"/>
      <c r="AB288" s="69"/>
      <c r="AC288" s="69"/>
      <c r="AD288" s="69"/>
      <c r="AE288" s="76"/>
      <c r="AF288" s="71"/>
      <c r="AG288" s="71"/>
      <c r="AH288" s="71"/>
      <c r="AI288" s="71"/>
      <c r="AJ288" s="71"/>
      <c r="AK288" s="71"/>
      <c r="AL288" s="71"/>
      <c r="AM288" s="71"/>
      <c r="AN288" s="68"/>
      <c r="AO288" s="68"/>
      <c r="AP288" s="70"/>
      <c r="AQ288" s="71"/>
      <c r="AR288" s="77"/>
      <c r="AS288" s="70"/>
      <c r="AT288" s="68"/>
      <c r="AU288" s="70"/>
      <c r="AV288" s="70"/>
      <c r="AW288" s="71"/>
      <c r="AX288" s="71"/>
      <c r="AY288" s="70"/>
      <c r="AZ288" s="76"/>
      <c r="BA288" s="76"/>
      <c r="BB288" s="76"/>
      <c r="BC288" s="78"/>
    </row>
    <row r="289" spans="1:55" x14ac:dyDescent="0.25">
      <c r="A289" s="68"/>
      <c r="B289" s="68"/>
      <c r="C289" s="68"/>
      <c r="D289" s="70"/>
      <c r="E289" s="70"/>
      <c r="F289" s="70"/>
      <c r="G289" s="72"/>
      <c r="H289" s="74"/>
      <c r="I289" s="74"/>
      <c r="J289" s="75"/>
      <c r="K289" s="81"/>
      <c r="L289" s="76"/>
      <c r="M289" s="76"/>
      <c r="N289" s="76"/>
      <c r="O289" s="71"/>
      <c r="P289" s="70"/>
      <c r="Q289" s="71"/>
      <c r="R289" s="71"/>
      <c r="S289" s="70"/>
      <c r="T289" s="71"/>
      <c r="U289" s="71"/>
      <c r="V289" s="75"/>
      <c r="W289" s="69"/>
      <c r="X289" s="69"/>
      <c r="Y289" s="69"/>
      <c r="Z289" s="69"/>
      <c r="AA289" s="69"/>
      <c r="AB289" s="69"/>
      <c r="AC289" s="69"/>
      <c r="AD289" s="69"/>
      <c r="AE289" s="76"/>
      <c r="AF289" s="71"/>
      <c r="AG289" s="71"/>
      <c r="AH289" s="71"/>
      <c r="AI289" s="71"/>
      <c r="AJ289" s="71"/>
      <c r="AK289" s="71"/>
      <c r="AL289" s="71"/>
      <c r="AM289" s="71"/>
      <c r="AN289" s="68"/>
      <c r="AO289" s="68"/>
      <c r="AP289" s="70"/>
      <c r="AQ289" s="71"/>
      <c r="AR289" s="77"/>
      <c r="AS289" s="70"/>
      <c r="AT289" s="68"/>
      <c r="AU289" s="70"/>
      <c r="AV289" s="70"/>
      <c r="AW289" s="71"/>
      <c r="AX289" s="71"/>
      <c r="AY289" s="70"/>
      <c r="AZ289" s="76"/>
      <c r="BA289" s="76"/>
      <c r="BB289" s="76"/>
      <c r="BC289" s="78"/>
    </row>
    <row r="290" spans="1:55" x14ac:dyDescent="0.25">
      <c r="A290" s="68"/>
      <c r="B290" s="68"/>
      <c r="C290" s="68"/>
      <c r="D290" s="70"/>
      <c r="E290" s="70"/>
      <c r="F290" s="70"/>
      <c r="G290" s="72"/>
      <c r="H290" s="74"/>
      <c r="I290" s="74"/>
      <c r="J290" s="75"/>
      <c r="K290" s="81"/>
      <c r="L290" s="76"/>
      <c r="M290" s="76"/>
      <c r="N290" s="76"/>
      <c r="O290" s="71"/>
      <c r="P290" s="70"/>
      <c r="Q290" s="71"/>
      <c r="R290" s="71"/>
      <c r="S290" s="70"/>
      <c r="T290" s="71"/>
      <c r="U290" s="71"/>
      <c r="V290" s="75"/>
      <c r="W290" s="69"/>
      <c r="X290" s="69"/>
      <c r="Y290" s="69"/>
      <c r="Z290" s="69"/>
      <c r="AA290" s="69"/>
      <c r="AB290" s="69"/>
      <c r="AC290" s="69"/>
      <c r="AD290" s="69"/>
      <c r="AE290" s="76"/>
      <c r="AF290" s="71"/>
      <c r="AG290" s="71"/>
      <c r="AH290" s="71"/>
      <c r="AI290" s="71"/>
      <c r="AJ290" s="71"/>
      <c r="AK290" s="71"/>
      <c r="AL290" s="71"/>
      <c r="AM290" s="71"/>
      <c r="AN290" s="68"/>
      <c r="AO290" s="68"/>
      <c r="AP290" s="70"/>
      <c r="AQ290" s="71"/>
      <c r="AR290" s="77"/>
      <c r="AS290" s="70"/>
      <c r="AT290" s="68"/>
      <c r="AU290" s="70"/>
      <c r="AV290" s="70"/>
      <c r="AW290" s="71"/>
      <c r="AX290" s="71"/>
      <c r="AY290" s="70"/>
      <c r="AZ290" s="76"/>
      <c r="BA290" s="76"/>
      <c r="BB290" s="76"/>
      <c r="BC290" s="78"/>
    </row>
    <row r="291" spans="1:55" x14ac:dyDescent="0.25">
      <c r="A291" s="68"/>
      <c r="B291" s="68"/>
      <c r="C291" s="68"/>
      <c r="D291" s="70"/>
      <c r="E291" s="70"/>
      <c r="F291" s="70"/>
      <c r="G291" s="72"/>
      <c r="H291" s="74"/>
      <c r="I291" s="74"/>
      <c r="J291" s="75"/>
      <c r="K291" s="81"/>
      <c r="L291" s="76"/>
      <c r="M291" s="76"/>
      <c r="N291" s="76"/>
      <c r="O291" s="71"/>
      <c r="P291" s="70"/>
      <c r="Q291" s="71"/>
      <c r="R291" s="71"/>
      <c r="S291" s="70"/>
      <c r="T291" s="71"/>
      <c r="U291" s="71"/>
      <c r="V291" s="75"/>
      <c r="W291" s="69"/>
      <c r="X291" s="69"/>
      <c r="Y291" s="69"/>
      <c r="Z291" s="69"/>
      <c r="AA291" s="69"/>
      <c r="AB291" s="69"/>
      <c r="AC291" s="69"/>
      <c r="AD291" s="69"/>
      <c r="AE291" s="76"/>
      <c r="AF291" s="71"/>
      <c r="AG291" s="71"/>
      <c r="AH291" s="71"/>
      <c r="AI291" s="71"/>
      <c r="AJ291" s="71"/>
      <c r="AK291" s="71"/>
      <c r="AL291" s="71"/>
      <c r="AM291" s="71"/>
      <c r="AN291" s="68"/>
      <c r="AO291" s="68"/>
      <c r="AP291" s="70"/>
      <c r="AQ291" s="71"/>
      <c r="AR291" s="77"/>
      <c r="AS291" s="70"/>
      <c r="AT291" s="68"/>
      <c r="AU291" s="70"/>
      <c r="AV291" s="70"/>
      <c r="AW291" s="71"/>
      <c r="AX291" s="71"/>
      <c r="AY291" s="70"/>
      <c r="AZ291" s="76"/>
      <c r="BA291" s="76"/>
      <c r="BB291" s="76"/>
      <c r="BC291" s="78"/>
    </row>
    <row r="292" spans="1:55" x14ac:dyDescent="0.25">
      <c r="A292" s="68"/>
      <c r="B292" s="68"/>
      <c r="C292" s="68"/>
      <c r="D292" s="70"/>
      <c r="E292" s="70"/>
      <c r="F292" s="70"/>
      <c r="G292" s="72"/>
      <c r="H292" s="74"/>
      <c r="I292" s="74"/>
      <c r="J292" s="75"/>
      <c r="K292" s="81"/>
      <c r="L292" s="76"/>
      <c r="M292" s="76"/>
      <c r="N292" s="76"/>
      <c r="O292" s="71"/>
      <c r="P292" s="70"/>
      <c r="Q292" s="71"/>
      <c r="R292" s="71"/>
      <c r="S292" s="70"/>
      <c r="T292" s="71"/>
      <c r="U292" s="71"/>
      <c r="V292" s="75"/>
      <c r="W292" s="69"/>
      <c r="X292" s="69"/>
      <c r="Y292" s="69"/>
      <c r="Z292" s="69"/>
      <c r="AA292" s="69"/>
      <c r="AB292" s="69"/>
      <c r="AC292" s="69"/>
      <c r="AD292" s="69"/>
      <c r="AE292" s="76"/>
      <c r="AF292" s="71"/>
      <c r="AG292" s="71"/>
      <c r="AH292" s="71"/>
      <c r="AI292" s="71"/>
      <c r="AJ292" s="71"/>
      <c r="AK292" s="71"/>
      <c r="AL292" s="71"/>
      <c r="AM292" s="71"/>
      <c r="AN292" s="68"/>
      <c r="AO292" s="68"/>
      <c r="AP292" s="70"/>
      <c r="AQ292" s="71"/>
      <c r="AR292" s="77"/>
      <c r="AS292" s="70"/>
      <c r="AT292" s="68"/>
      <c r="AU292" s="70"/>
      <c r="AV292" s="70"/>
      <c r="AW292" s="71"/>
      <c r="AX292" s="71"/>
      <c r="AY292" s="70"/>
      <c r="AZ292" s="76"/>
      <c r="BA292" s="76"/>
      <c r="BB292" s="76"/>
      <c r="BC292" s="78"/>
    </row>
    <row r="293" spans="1:55" x14ac:dyDescent="0.25">
      <c r="A293" s="68"/>
      <c r="B293" s="68"/>
      <c r="C293" s="68"/>
      <c r="D293" s="70"/>
      <c r="E293" s="70"/>
      <c r="F293" s="70"/>
      <c r="G293" s="72"/>
      <c r="H293" s="74"/>
      <c r="I293" s="74"/>
      <c r="J293" s="75"/>
      <c r="K293" s="81"/>
      <c r="L293" s="76"/>
      <c r="M293" s="76"/>
      <c r="N293" s="76"/>
      <c r="O293" s="71"/>
      <c r="P293" s="70"/>
      <c r="Q293" s="71"/>
      <c r="R293" s="71"/>
      <c r="S293" s="70"/>
      <c r="T293" s="71"/>
      <c r="U293" s="71"/>
      <c r="V293" s="75"/>
      <c r="W293" s="69"/>
      <c r="X293" s="69"/>
      <c r="Y293" s="69"/>
      <c r="Z293" s="69"/>
      <c r="AA293" s="69"/>
      <c r="AB293" s="69"/>
      <c r="AC293" s="69"/>
      <c r="AD293" s="69"/>
      <c r="AE293" s="76"/>
      <c r="AF293" s="71"/>
      <c r="AG293" s="71"/>
      <c r="AH293" s="71"/>
      <c r="AI293" s="71"/>
      <c r="AJ293" s="71"/>
      <c r="AK293" s="71"/>
      <c r="AL293" s="71"/>
      <c r="AM293" s="71"/>
      <c r="AN293" s="68"/>
      <c r="AO293" s="68"/>
      <c r="AP293" s="70"/>
      <c r="AQ293" s="71"/>
      <c r="AR293" s="77"/>
      <c r="AS293" s="70"/>
      <c r="AT293" s="68"/>
      <c r="AU293" s="70"/>
      <c r="AV293" s="70"/>
      <c r="AW293" s="71"/>
      <c r="AX293" s="71"/>
      <c r="AY293" s="70"/>
      <c r="AZ293" s="76"/>
      <c r="BA293" s="76"/>
      <c r="BB293" s="76"/>
      <c r="BC293" s="78"/>
    </row>
    <row r="294" spans="1:55" x14ac:dyDescent="0.25">
      <c r="A294" s="68"/>
      <c r="B294" s="68"/>
      <c r="C294" s="68"/>
      <c r="D294" s="70"/>
      <c r="E294" s="70"/>
      <c r="F294" s="70"/>
      <c r="G294" s="72"/>
      <c r="H294" s="74"/>
      <c r="I294" s="74"/>
      <c r="J294" s="75"/>
      <c r="K294" s="81"/>
      <c r="L294" s="76"/>
      <c r="M294" s="76"/>
      <c r="N294" s="76"/>
      <c r="O294" s="71"/>
      <c r="P294" s="70"/>
      <c r="Q294" s="71"/>
      <c r="R294" s="71"/>
      <c r="S294" s="70"/>
      <c r="T294" s="71"/>
      <c r="U294" s="71"/>
      <c r="V294" s="75"/>
      <c r="W294" s="69"/>
      <c r="X294" s="69"/>
      <c r="Y294" s="69"/>
      <c r="Z294" s="69"/>
      <c r="AA294" s="69"/>
      <c r="AB294" s="69"/>
      <c r="AC294" s="69"/>
      <c r="AD294" s="69"/>
      <c r="AE294" s="76"/>
      <c r="AF294" s="71"/>
      <c r="AG294" s="71"/>
      <c r="AH294" s="71"/>
      <c r="AI294" s="71"/>
      <c r="AJ294" s="71"/>
      <c r="AK294" s="71"/>
      <c r="AL294" s="71"/>
      <c r="AM294" s="71"/>
      <c r="AN294" s="68"/>
      <c r="AO294" s="68"/>
      <c r="AP294" s="70"/>
      <c r="AQ294" s="71"/>
      <c r="AR294" s="77"/>
      <c r="AS294" s="70"/>
      <c r="AT294" s="68"/>
      <c r="AU294" s="70"/>
      <c r="AV294" s="70"/>
      <c r="AW294" s="71"/>
      <c r="AX294" s="71"/>
      <c r="AY294" s="70"/>
      <c r="AZ294" s="76"/>
      <c r="BA294" s="76"/>
      <c r="BB294" s="76"/>
      <c r="BC294" s="78"/>
    </row>
    <row r="295" spans="1:55" x14ac:dyDescent="0.25">
      <c r="A295" s="68"/>
      <c r="B295" s="68"/>
      <c r="C295" s="68"/>
      <c r="D295" s="70"/>
      <c r="E295" s="70"/>
      <c r="F295" s="70"/>
      <c r="G295" s="72"/>
      <c r="H295" s="74"/>
      <c r="I295" s="74"/>
      <c r="J295" s="75"/>
      <c r="K295" s="81"/>
      <c r="L295" s="76"/>
      <c r="M295" s="76"/>
      <c r="N295" s="76"/>
      <c r="O295" s="71"/>
      <c r="P295" s="70"/>
      <c r="Q295" s="71"/>
      <c r="R295" s="71"/>
      <c r="S295" s="70"/>
      <c r="T295" s="71"/>
      <c r="U295" s="71"/>
      <c r="V295" s="75"/>
      <c r="W295" s="69"/>
      <c r="X295" s="69"/>
      <c r="Y295" s="69"/>
      <c r="Z295" s="69"/>
      <c r="AA295" s="69"/>
      <c r="AB295" s="69"/>
      <c r="AC295" s="69"/>
      <c r="AD295" s="69"/>
      <c r="AE295" s="76"/>
      <c r="AF295" s="71"/>
      <c r="AG295" s="71"/>
      <c r="AH295" s="71"/>
      <c r="AI295" s="71"/>
      <c r="AJ295" s="71"/>
      <c r="AK295" s="71"/>
      <c r="AL295" s="71"/>
      <c r="AM295" s="71"/>
      <c r="AN295" s="68"/>
      <c r="AO295" s="68"/>
      <c r="AP295" s="70"/>
      <c r="AQ295" s="71"/>
      <c r="AR295" s="77"/>
      <c r="AS295" s="70"/>
      <c r="AT295" s="68"/>
      <c r="AU295" s="70"/>
      <c r="AV295" s="70"/>
      <c r="AW295" s="71"/>
      <c r="AX295" s="71"/>
      <c r="AY295" s="70"/>
      <c r="AZ295" s="76"/>
      <c r="BA295" s="76"/>
      <c r="BB295" s="76"/>
      <c r="BC295" s="78"/>
    </row>
    <row r="296" spans="1:55" x14ac:dyDescent="0.25">
      <c r="A296" s="68"/>
      <c r="B296" s="68"/>
      <c r="C296" s="68"/>
      <c r="D296" s="70"/>
      <c r="E296" s="70"/>
      <c r="F296" s="70"/>
      <c r="G296" s="72"/>
      <c r="H296" s="74"/>
      <c r="I296" s="74"/>
      <c r="J296" s="75"/>
      <c r="K296" s="81"/>
      <c r="L296" s="76"/>
      <c r="M296" s="76"/>
      <c r="N296" s="76"/>
      <c r="O296" s="71"/>
      <c r="P296" s="70"/>
      <c r="Q296" s="71"/>
      <c r="R296" s="71"/>
      <c r="S296" s="70"/>
      <c r="T296" s="71"/>
      <c r="U296" s="71"/>
      <c r="V296" s="75"/>
      <c r="W296" s="69"/>
      <c r="X296" s="69"/>
      <c r="Y296" s="69"/>
      <c r="Z296" s="69"/>
      <c r="AA296" s="69"/>
      <c r="AB296" s="69"/>
      <c r="AC296" s="69"/>
      <c r="AD296" s="69"/>
      <c r="AE296" s="76"/>
      <c r="AF296" s="71"/>
      <c r="AG296" s="71"/>
      <c r="AH296" s="71"/>
      <c r="AI296" s="71"/>
      <c r="AJ296" s="71"/>
      <c r="AK296" s="71"/>
      <c r="AL296" s="71"/>
      <c r="AM296" s="71"/>
      <c r="AN296" s="68"/>
      <c r="AO296" s="68"/>
      <c r="AP296" s="70"/>
      <c r="AQ296" s="71"/>
      <c r="AR296" s="77"/>
      <c r="AS296" s="70"/>
      <c r="AT296" s="68"/>
      <c r="AU296" s="70"/>
      <c r="AV296" s="70"/>
      <c r="AW296" s="71"/>
      <c r="AX296" s="71"/>
      <c r="AY296" s="70"/>
      <c r="AZ296" s="76"/>
      <c r="BA296" s="76"/>
      <c r="BB296" s="76"/>
      <c r="BC296" s="78"/>
    </row>
    <row r="297" spans="1:55" x14ac:dyDescent="0.25">
      <c r="A297" s="68"/>
      <c r="B297" s="68"/>
      <c r="C297" s="68"/>
      <c r="D297" s="70"/>
      <c r="E297" s="70"/>
      <c r="F297" s="70"/>
      <c r="G297" s="72"/>
      <c r="H297" s="74"/>
      <c r="I297" s="74"/>
      <c r="J297" s="75"/>
      <c r="K297" s="81"/>
      <c r="L297" s="76"/>
      <c r="M297" s="76"/>
      <c r="N297" s="76"/>
      <c r="O297" s="71"/>
      <c r="P297" s="70"/>
      <c r="Q297" s="71"/>
      <c r="R297" s="71"/>
      <c r="S297" s="70"/>
      <c r="T297" s="71"/>
      <c r="U297" s="71"/>
      <c r="V297" s="75"/>
      <c r="W297" s="69"/>
      <c r="X297" s="69"/>
      <c r="Y297" s="69"/>
      <c r="Z297" s="69"/>
      <c r="AA297" s="69"/>
      <c r="AB297" s="69"/>
      <c r="AC297" s="69"/>
      <c r="AD297" s="69"/>
      <c r="AE297" s="76"/>
      <c r="AF297" s="71"/>
      <c r="AG297" s="71"/>
      <c r="AH297" s="71"/>
      <c r="AI297" s="71"/>
      <c r="AJ297" s="71"/>
      <c r="AK297" s="71"/>
      <c r="AL297" s="71"/>
      <c r="AM297" s="71"/>
      <c r="AN297" s="68"/>
      <c r="AO297" s="68"/>
      <c r="AP297" s="70"/>
      <c r="AQ297" s="71"/>
      <c r="AR297" s="77"/>
      <c r="AS297" s="70"/>
      <c r="AT297" s="68"/>
      <c r="AU297" s="70"/>
      <c r="AV297" s="70"/>
      <c r="AW297" s="71"/>
      <c r="AX297" s="71"/>
      <c r="AY297" s="70"/>
      <c r="AZ297" s="76"/>
      <c r="BA297" s="76"/>
      <c r="BB297" s="76"/>
      <c r="BC297" s="78"/>
    </row>
    <row r="298" spans="1:55" x14ac:dyDescent="0.25">
      <c r="A298" s="68"/>
      <c r="B298" s="68"/>
      <c r="C298" s="68"/>
      <c r="D298" s="70"/>
      <c r="E298" s="70"/>
      <c r="F298" s="70"/>
      <c r="G298" s="72"/>
      <c r="H298" s="74"/>
      <c r="I298" s="74"/>
      <c r="J298" s="75"/>
      <c r="K298" s="81"/>
      <c r="L298" s="76"/>
      <c r="M298" s="76"/>
      <c r="N298" s="76"/>
      <c r="O298" s="71"/>
      <c r="P298" s="70"/>
      <c r="Q298" s="71"/>
      <c r="R298" s="71"/>
      <c r="S298" s="70"/>
      <c r="T298" s="71"/>
      <c r="U298" s="71"/>
      <c r="V298" s="75"/>
      <c r="W298" s="69"/>
      <c r="X298" s="69"/>
      <c r="Y298" s="69"/>
      <c r="Z298" s="69"/>
      <c r="AA298" s="69"/>
      <c r="AB298" s="69"/>
      <c r="AC298" s="69"/>
      <c r="AD298" s="69"/>
      <c r="AE298" s="76"/>
      <c r="AF298" s="71"/>
      <c r="AG298" s="71"/>
      <c r="AH298" s="71"/>
      <c r="AI298" s="71"/>
      <c r="AJ298" s="71"/>
      <c r="AK298" s="71"/>
      <c r="AL298" s="71"/>
      <c r="AM298" s="71"/>
      <c r="AN298" s="68"/>
      <c r="AO298" s="68"/>
      <c r="AP298" s="70"/>
      <c r="AQ298" s="71"/>
      <c r="AR298" s="77"/>
      <c r="AS298" s="70"/>
      <c r="AT298" s="68"/>
      <c r="AU298" s="70"/>
      <c r="AV298" s="70"/>
      <c r="AW298" s="71"/>
      <c r="AX298" s="71"/>
      <c r="AY298" s="70"/>
      <c r="AZ298" s="76"/>
      <c r="BA298" s="76"/>
      <c r="BB298" s="76"/>
      <c r="BC298" s="78"/>
    </row>
    <row r="299" spans="1:55" x14ac:dyDescent="0.25">
      <c r="A299" s="68"/>
      <c r="B299" s="68"/>
      <c r="C299" s="68"/>
      <c r="D299" s="70"/>
      <c r="E299" s="70"/>
      <c r="F299" s="70"/>
      <c r="G299" s="72"/>
      <c r="H299" s="74"/>
      <c r="I299" s="74"/>
      <c r="J299" s="75"/>
      <c r="K299" s="81"/>
      <c r="L299" s="76"/>
      <c r="M299" s="76"/>
      <c r="N299" s="76"/>
      <c r="O299" s="71"/>
      <c r="P299" s="70"/>
      <c r="Q299" s="71"/>
      <c r="R299" s="71"/>
      <c r="S299" s="70"/>
      <c r="T299" s="71"/>
      <c r="U299" s="71"/>
      <c r="V299" s="75"/>
      <c r="W299" s="69"/>
      <c r="X299" s="69"/>
      <c r="Y299" s="69"/>
      <c r="Z299" s="69"/>
      <c r="AA299" s="69"/>
      <c r="AB299" s="69"/>
      <c r="AC299" s="69"/>
      <c r="AD299" s="69"/>
      <c r="AE299" s="76"/>
      <c r="AF299" s="71"/>
      <c r="AG299" s="71"/>
      <c r="AH299" s="71"/>
      <c r="AI299" s="71"/>
      <c r="AJ299" s="71"/>
      <c r="AK299" s="71"/>
      <c r="AL299" s="71"/>
      <c r="AM299" s="71"/>
      <c r="AN299" s="68"/>
      <c r="AO299" s="68"/>
      <c r="AP299" s="70"/>
      <c r="AQ299" s="71"/>
      <c r="AR299" s="77"/>
      <c r="AS299" s="70"/>
      <c r="AT299" s="68"/>
      <c r="AU299" s="70"/>
      <c r="AV299" s="70"/>
      <c r="AW299" s="71"/>
      <c r="AX299" s="71"/>
      <c r="AY299" s="70"/>
      <c r="AZ299" s="76"/>
      <c r="BA299" s="76"/>
      <c r="BB299" s="76"/>
      <c r="BC299" s="78"/>
    </row>
    <row r="300" spans="1:55" x14ac:dyDescent="0.25">
      <c r="A300" s="68"/>
      <c r="B300" s="68"/>
      <c r="C300" s="68"/>
      <c r="D300" s="70"/>
      <c r="E300" s="70"/>
      <c r="F300" s="70"/>
      <c r="G300" s="72"/>
      <c r="H300" s="74"/>
      <c r="I300" s="74"/>
      <c r="J300" s="75"/>
      <c r="K300" s="81"/>
      <c r="L300" s="76"/>
      <c r="M300" s="76"/>
      <c r="N300" s="76"/>
      <c r="O300" s="71"/>
      <c r="P300" s="70"/>
      <c r="Q300" s="71"/>
      <c r="R300" s="71"/>
      <c r="S300" s="70"/>
      <c r="T300" s="71"/>
      <c r="U300" s="71"/>
      <c r="V300" s="75"/>
      <c r="W300" s="69"/>
      <c r="X300" s="69"/>
      <c r="Y300" s="69"/>
      <c r="Z300" s="69"/>
      <c r="AA300" s="69"/>
      <c r="AB300" s="69"/>
      <c r="AC300" s="69"/>
      <c r="AD300" s="69"/>
      <c r="AE300" s="76"/>
      <c r="AF300" s="71"/>
      <c r="AG300" s="71"/>
      <c r="AH300" s="71"/>
      <c r="AI300" s="71"/>
      <c r="AJ300" s="71"/>
      <c r="AK300" s="71"/>
      <c r="AL300" s="71"/>
      <c r="AM300" s="71"/>
      <c r="AN300" s="68"/>
      <c r="AO300" s="68"/>
      <c r="AP300" s="70"/>
      <c r="AQ300" s="71"/>
      <c r="AR300" s="77"/>
      <c r="AS300" s="70"/>
      <c r="AT300" s="68"/>
      <c r="AU300" s="70"/>
      <c r="AV300" s="70"/>
      <c r="AW300" s="71"/>
      <c r="AX300" s="71"/>
      <c r="AY300" s="70"/>
      <c r="AZ300" s="76"/>
      <c r="BA300" s="76"/>
      <c r="BB300" s="76"/>
      <c r="BC300" s="78"/>
    </row>
    <row r="301" spans="1:55" x14ac:dyDescent="0.25">
      <c r="A301" s="68"/>
      <c r="B301" s="68"/>
      <c r="C301" s="68"/>
      <c r="D301" s="70"/>
      <c r="E301" s="70"/>
      <c r="F301" s="70"/>
      <c r="G301" s="72"/>
      <c r="H301" s="74"/>
      <c r="I301" s="74"/>
      <c r="J301" s="75"/>
      <c r="K301" s="81"/>
      <c r="L301" s="76"/>
      <c r="M301" s="76"/>
      <c r="N301" s="76"/>
      <c r="O301" s="71"/>
      <c r="P301" s="70"/>
      <c r="Q301" s="71"/>
      <c r="R301" s="71"/>
      <c r="S301" s="70"/>
      <c r="T301" s="71"/>
      <c r="U301" s="71"/>
      <c r="V301" s="75"/>
      <c r="W301" s="69"/>
      <c r="X301" s="69"/>
      <c r="Y301" s="69"/>
      <c r="Z301" s="69"/>
      <c r="AA301" s="69"/>
      <c r="AB301" s="69"/>
      <c r="AC301" s="69"/>
      <c r="AD301" s="69"/>
      <c r="AE301" s="76"/>
      <c r="AF301" s="71"/>
      <c r="AG301" s="71"/>
      <c r="AH301" s="71"/>
      <c r="AI301" s="71"/>
      <c r="AJ301" s="71"/>
      <c r="AK301" s="71"/>
      <c r="AL301" s="71"/>
      <c r="AM301" s="71"/>
      <c r="AN301" s="68"/>
      <c r="AO301" s="68"/>
      <c r="AP301" s="70"/>
      <c r="AQ301" s="71"/>
      <c r="AR301" s="77"/>
      <c r="AS301" s="70"/>
      <c r="AT301" s="68"/>
      <c r="AU301" s="70"/>
      <c r="AV301" s="70"/>
      <c r="AW301" s="71"/>
      <c r="AX301" s="71"/>
      <c r="AY301" s="70"/>
      <c r="AZ301" s="76"/>
      <c r="BA301" s="76"/>
      <c r="BB301" s="76"/>
      <c r="BC301" s="78"/>
    </row>
    <row r="302" spans="1:55" x14ac:dyDescent="0.25">
      <c r="A302" s="68"/>
      <c r="B302" s="68"/>
      <c r="C302" s="68"/>
      <c r="D302" s="70"/>
      <c r="E302" s="70"/>
      <c r="F302" s="70"/>
      <c r="G302" s="72"/>
      <c r="H302" s="74"/>
      <c r="I302" s="74"/>
      <c r="J302" s="75"/>
      <c r="K302" s="81"/>
      <c r="L302" s="76"/>
      <c r="M302" s="76"/>
      <c r="N302" s="76"/>
      <c r="O302" s="71"/>
      <c r="P302" s="70"/>
      <c r="Q302" s="71"/>
      <c r="R302" s="71"/>
      <c r="S302" s="70"/>
      <c r="T302" s="71"/>
      <c r="U302" s="71"/>
      <c r="V302" s="75"/>
      <c r="W302" s="69"/>
      <c r="X302" s="69"/>
      <c r="Y302" s="69"/>
      <c r="Z302" s="69"/>
      <c r="AA302" s="69"/>
      <c r="AB302" s="69"/>
      <c r="AC302" s="69"/>
      <c r="AD302" s="69"/>
      <c r="AE302" s="76"/>
      <c r="AF302" s="71"/>
      <c r="AG302" s="71"/>
      <c r="AH302" s="71"/>
      <c r="AI302" s="71"/>
      <c r="AJ302" s="71"/>
      <c r="AK302" s="71"/>
      <c r="AL302" s="71"/>
      <c r="AM302" s="71"/>
      <c r="AN302" s="68"/>
      <c r="AO302" s="68"/>
      <c r="AP302" s="70"/>
      <c r="AQ302" s="71"/>
      <c r="AR302" s="77"/>
      <c r="AS302" s="70"/>
      <c r="AT302" s="68"/>
      <c r="AU302" s="70"/>
      <c r="AV302" s="70"/>
      <c r="AW302" s="71"/>
      <c r="AX302" s="71"/>
      <c r="AY302" s="70"/>
      <c r="AZ302" s="76"/>
      <c r="BA302" s="76"/>
      <c r="BB302" s="76"/>
      <c r="BC302" s="78"/>
    </row>
    <row r="303" spans="1:55" x14ac:dyDescent="0.25">
      <c r="A303" s="68"/>
      <c r="B303" s="68"/>
      <c r="C303" s="68"/>
      <c r="D303" s="70"/>
      <c r="E303" s="70"/>
      <c r="F303" s="70"/>
      <c r="G303" s="72"/>
      <c r="H303" s="74"/>
      <c r="I303" s="74"/>
      <c r="J303" s="75"/>
      <c r="K303" s="81"/>
      <c r="L303" s="76"/>
      <c r="M303" s="76"/>
      <c r="N303" s="76"/>
      <c r="O303" s="71"/>
      <c r="P303" s="70"/>
      <c r="Q303" s="71"/>
      <c r="R303" s="71"/>
      <c r="S303" s="70"/>
      <c r="T303" s="71"/>
      <c r="U303" s="71"/>
      <c r="V303" s="75"/>
      <c r="W303" s="69"/>
      <c r="X303" s="69"/>
      <c r="Y303" s="69"/>
      <c r="Z303" s="69"/>
      <c r="AA303" s="69"/>
      <c r="AB303" s="69"/>
      <c r="AC303" s="69"/>
      <c r="AD303" s="69"/>
      <c r="AE303" s="76"/>
      <c r="AF303" s="71"/>
      <c r="AG303" s="71"/>
      <c r="AH303" s="71"/>
      <c r="AI303" s="71"/>
      <c r="AJ303" s="71"/>
      <c r="AK303" s="71"/>
      <c r="AL303" s="71"/>
      <c r="AM303" s="71"/>
      <c r="AN303" s="68"/>
      <c r="AO303" s="68"/>
      <c r="AP303" s="70"/>
      <c r="AQ303" s="71"/>
      <c r="AR303" s="77"/>
      <c r="AS303" s="70"/>
      <c r="AT303" s="68"/>
      <c r="AU303" s="70"/>
      <c r="AV303" s="70"/>
      <c r="AW303" s="71"/>
      <c r="AX303" s="71"/>
      <c r="AY303" s="70"/>
      <c r="AZ303" s="76"/>
      <c r="BA303" s="76"/>
      <c r="BB303" s="76"/>
      <c r="BC303" s="78"/>
    </row>
    <row r="304" spans="1:55" x14ac:dyDescent="0.25">
      <c r="A304" s="68"/>
      <c r="B304" s="68"/>
      <c r="C304" s="68"/>
      <c r="D304" s="70"/>
      <c r="E304" s="70"/>
      <c r="F304" s="70"/>
      <c r="G304" s="72"/>
      <c r="H304" s="74"/>
      <c r="I304" s="74"/>
      <c r="J304" s="75"/>
      <c r="K304" s="81"/>
      <c r="L304" s="76"/>
      <c r="M304" s="76"/>
      <c r="N304" s="76"/>
      <c r="O304" s="71"/>
      <c r="P304" s="70"/>
      <c r="Q304" s="71"/>
      <c r="R304" s="71"/>
      <c r="S304" s="70"/>
      <c r="T304" s="71"/>
      <c r="U304" s="71"/>
      <c r="V304" s="75"/>
      <c r="W304" s="69"/>
      <c r="X304" s="69"/>
      <c r="Y304" s="69"/>
      <c r="Z304" s="69"/>
      <c r="AA304" s="69"/>
      <c r="AB304" s="69"/>
      <c r="AC304" s="69"/>
      <c r="AD304" s="69"/>
      <c r="AE304" s="76"/>
      <c r="AF304" s="71"/>
      <c r="AG304" s="71"/>
      <c r="AH304" s="71"/>
      <c r="AI304" s="71"/>
      <c r="AJ304" s="71"/>
      <c r="AK304" s="71"/>
      <c r="AL304" s="71"/>
      <c r="AM304" s="71"/>
      <c r="AN304" s="68"/>
      <c r="AO304" s="68"/>
      <c r="AP304" s="70"/>
      <c r="AQ304" s="71"/>
      <c r="AR304" s="77"/>
      <c r="AS304" s="70"/>
      <c r="AT304" s="68"/>
      <c r="AU304" s="70"/>
      <c r="AV304" s="70"/>
      <c r="AW304" s="71"/>
      <c r="AX304" s="71"/>
      <c r="AY304" s="70"/>
      <c r="AZ304" s="76"/>
      <c r="BA304" s="76"/>
      <c r="BB304" s="76"/>
      <c r="BC304" s="78"/>
    </row>
    <row r="305" spans="1:55" x14ac:dyDescent="0.25">
      <c r="A305" s="68"/>
      <c r="B305" s="68"/>
      <c r="C305" s="68"/>
      <c r="D305" s="70"/>
      <c r="E305" s="70"/>
      <c r="F305" s="70"/>
      <c r="G305" s="72"/>
      <c r="H305" s="74"/>
      <c r="I305" s="74"/>
      <c r="J305" s="75"/>
      <c r="K305" s="81"/>
      <c r="L305" s="76"/>
      <c r="M305" s="76"/>
      <c r="N305" s="76"/>
      <c r="O305" s="71"/>
      <c r="P305" s="70"/>
      <c r="Q305" s="71"/>
      <c r="R305" s="71"/>
      <c r="S305" s="70"/>
      <c r="T305" s="71"/>
      <c r="U305" s="71"/>
      <c r="V305" s="75"/>
      <c r="W305" s="69"/>
      <c r="X305" s="69"/>
      <c r="Y305" s="69"/>
      <c r="Z305" s="69"/>
      <c r="AA305" s="69"/>
      <c r="AB305" s="69"/>
      <c r="AC305" s="69"/>
      <c r="AD305" s="69"/>
      <c r="AE305" s="76"/>
      <c r="AF305" s="71"/>
      <c r="AG305" s="71"/>
      <c r="AH305" s="71"/>
      <c r="AI305" s="71"/>
      <c r="AJ305" s="71"/>
      <c r="AK305" s="71"/>
      <c r="AL305" s="71"/>
      <c r="AM305" s="71"/>
      <c r="AN305" s="68"/>
      <c r="AO305" s="68"/>
      <c r="AP305" s="70"/>
      <c r="AQ305" s="71"/>
      <c r="AR305" s="77"/>
      <c r="AS305" s="70"/>
      <c r="AT305" s="68"/>
      <c r="AU305" s="70"/>
      <c r="AV305" s="70"/>
      <c r="AW305" s="71"/>
      <c r="AX305" s="71"/>
      <c r="AY305" s="70"/>
      <c r="AZ305" s="76"/>
      <c r="BA305" s="76"/>
      <c r="BB305" s="76"/>
      <c r="BC305" s="78"/>
    </row>
    <row r="306" spans="1:55" x14ac:dyDescent="0.25">
      <c r="A306" s="68"/>
      <c r="B306" s="68"/>
      <c r="C306" s="68"/>
      <c r="D306" s="70"/>
      <c r="E306" s="70"/>
      <c r="F306" s="70"/>
      <c r="G306" s="72"/>
      <c r="H306" s="74"/>
      <c r="I306" s="74"/>
      <c r="J306" s="75"/>
      <c r="K306" s="81"/>
      <c r="L306" s="76"/>
      <c r="M306" s="76"/>
      <c r="N306" s="76"/>
      <c r="O306" s="71"/>
      <c r="P306" s="70"/>
      <c r="Q306" s="71"/>
      <c r="R306" s="71"/>
      <c r="S306" s="70"/>
      <c r="T306" s="71"/>
      <c r="U306" s="71"/>
      <c r="V306" s="75"/>
      <c r="W306" s="69"/>
      <c r="X306" s="69"/>
      <c r="Y306" s="69"/>
      <c r="Z306" s="69"/>
      <c r="AA306" s="69"/>
      <c r="AB306" s="69"/>
      <c r="AC306" s="69"/>
      <c r="AD306" s="69"/>
      <c r="AE306" s="76"/>
      <c r="AF306" s="71"/>
      <c r="AG306" s="71"/>
      <c r="AH306" s="71"/>
      <c r="AI306" s="71"/>
      <c r="AJ306" s="71"/>
      <c r="AK306" s="71"/>
      <c r="AL306" s="71"/>
      <c r="AM306" s="71"/>
      <c r="AN306" s="68"/>
      <c r="AO306" s="68"/>
      <c r="AP306" s="70"/>
      <c r="AQ306" s="71"/>
      <c r="AR306" s="77"/>
      <c r="AS306" s="70"/>
      <c r="AT306" s="68"/>
      <c r="AU306" s="70"/>
      <c r="AV306" s="70"/>
      <c r="AW306" s="71"/>
      <c r="AX306" s="71"/>
      <c r="AY306" s="70"/>
      <c r="AZ306" s="76"/>
      <c r="BA306" s="76"/>
      <c r="BB306" s="76"/>
      <c r="BC306" s="78"/>
    </row>
    <row r="307" spans="1:55" x14ac:dyDescent="0.25">
      <c r="A307" s="68"/>
      <c r="B307" s="68"/>
      <c r="C307" s="68"/>
      <c r="D307" s="70"/>
      <c r="E307" s="70"/>
      <c r="F307" s="70"/>
      <c r="G307" s="72"/>
      <c r="H307" s="74"/>
      <c r="I307" s="74"/>
      <c r="J307" s="75"/>
      <c r="K307" s="81"/>
      <c r="L307" s="76"/>
      <c r="M307" s="76"/>
      <c r="N307" s="76"/>
      <c r="O307" s="71"/>
      <c r="P307" s="70"/>
      <c r="Q307" s="71"/>
      <c r="R307" s="71"/>
      <c r="S307" s="70"/>
      <c r="T307" s="71"/>
      <c r="U307" s="71"/>
      <c r="V307" s="75"/>
      <c r="W307" s="69"/>
      <c r="X307" s="69"/>
      <c r="Y307" s="69"/>
      <c r="Z307" s="69"/>
      <c r="AA307" s="69"/>
      <c r="AB307" s="69"/>
      <c r="AC307" s="69"/>
      <c r="AD307" s="69"/>
      <c r="AE307" s="76"/>
      <c r="AF307" s="71"/>
      <c r="AG307" s="71"/>
      <c r="AH307" s="71"/>
      <c r="AI307" s="71"/>
      <c r="AJ307" s="71"/>
      <c r="AK307" s="71"/>
      <c r="AL307" s="71"/>
      <c r="AM307" s="71"/>
      <c r="AN307" s="68"/>
      <c r="AO307" s="68"/>
      <c r="AP307" s="70"/>
      <c r="AQ307" s="71"/>
      <c r="AR307" s="77"/>
      <c r="AS307" s="70"/>
      <c r="AT307" s="68"/>
      <c r="AU307" s="70"/>
      <c r="AV307" s="70"/>
      <c r="AW307" s="71"/>
      <c r="AX307" s="71"/>
      <c r="AY307" s="70"/>
      <c r="AZ307" s="76"/>
      <c r="BA307" s="76"/>
      <c r="BB307" s="76"/>
      <c r="BC307" s="78"/>
    </row>
    <row r="308" spans="1:55" x14ac:dyDescent="0.25">
      <c r="A308" s="68"/>
      <c r="B308" s="68"/>
      <c r="C308" s="68"/>
      <c r="D308" s="70"/>
      <c r="E308" s="70"/>
      <c r="F308" s="70"/>
      <c r="G308" s="72"/>
      <c r="H308" s="74"/>
      <c r="I308" s="74"/>
      <c r="J308" s="75"/>
      <c r="K308" s="81"/>
      <c r="L308" s="76"/>
      <c r="M308" s="76"/>
      <c r="N308" s="76"/>
      <c r="O308" s="71"/>
      <c r="P308" s="70"/>
      <c r="Q308" s="71"/>
      <c r="R308" s="71"/>
      <c r="S308" s="70"/>
      <c r="T308" s="71"/>
      <c r="U308" s="71"/>
      <c r="V308" s="75"/>
      <c r="W308" s="69"/>
      <c r="X308" s="69"/>
      <c r="Y308" s="69"/>
      <c r="Z308" s="69"/>
      <c r="AA308" s="69"/>
      <c r="AB308" s="69"/>
      <c r="AC308" s="69"/>
      <c r="AD308" s="69"/>
      <c r="AE308" s="76"/>
      <c r="AF308" s="71"/>
      <c r="AG308" s="71"/>
      <c r="AH308" s="71"/>
      <c r="AI308" s="71"/>
      <c r="AJ308" s="71"/>
      <c r="AK308" s="71"/>
      <c r="AL308" s="71"/>
      <c r="AM308" s="71"/>
      <c r="AN308" s="68"/>
      <c r="AO308" s="68"/>
      <c r="AP308" s="70"/>
      <c r="AQ308" s="71"/>
      <c r="AR308" s="77"/>
      <c r="AS308" s="70"/>
      <c r="AT308" s="68"/>
      <c r="AU308" s="70"/>
      <c r="AV308" s="70"/>
      <c r="AW308" s="71"/>
      <c r="AX308" s="71"/>
      <c r="AY308" s="70"/>
      <c r="AZ308" s="76"/>
      <c r="BA308" s="76"/>
      <c r="BB308" s="76"/>
      <c r="BC308" s="78"/>
    </row>
    <row r="309" spans="1:55" x14ac:dyDescent="0.25">
      <c r="A309" s="68"/>
      <c r="B309" s="68"/>
      <c r="C309" s="68"/>
      <c r="D309" s="70"/>
      <c r="E309" s="70"/>
      <c r="F309" s="70"/>
      <c r="G309" s="72"/>
      <c r="H309" s="74"/>
      <c r="I309" s="74"/>
      <c r="J309" s="75"/>
      <c r="K309" s="81"/>
      <c r="L309" s="76"/>
      <c r="M309" s="76"/>
      <c r="N309" s="76"/>
      <c r="O309" s="71"/>
      <c r="P309" s="70"/>
      <c r="Q309" s="71"/>
      <c r="R309" s="71"/>
      <c r="S309" s="70"/>
      <c r="T309" s="71"/>
      <c r="U309" s="71"/>
      <c r="V309" s="75"/>
      <c r="W309" s="69"/>
      <c r="X309" s="69"/>
      <c r="Y309" s="69"/>
      <c r="Z309" s="69"/>
      <c r="AA309" s="69"/>
      <c r="AB309" s="69"/>
      <c r="AC309" s="69"/>
      <c r="AD309" s="69"/>
      <c r="AE309" s="76"/>
      <c r="AF309" s="71"/>
      <c r="AG309" s="71"/>
      <c r="AH309" s="71"/>
      <c r="AI309" s="71"/>
      <c r="AJ309" s="71"/>
      <c r="AK309" s="71"/>
      <c r="AL309" s="71"/>
      <c r="AM309" s="71"/>
      <c r="AN309" s="68"/>
      <c r="AO309" s="68"/>
      <c r="AP309" s="70"/>
      <c r="AQ309" s="71"/>
      <c r="AR309" s="77"/>
      <c r="AS309" s="70"/>
      <c r="AT309" s="68"/>
      <c r="AU309" s="70"/>
      <c r="AV309" s="70"/>
      <c r="AW309" s="71"/>
      <c r="AX309" s="71"/>
      <c r="AY309" s="70"/>
      <c r="AZ309" s="76"/>
      <c r="BA309" s="76"/>
      <c r="BB309" s="76"/>
      <c r="BC309" s="78"/>
    </row>
    <row r="310" spans="1:55" x14ac:dyDescent="0.25">
      <c r="A310" s="68"/>
      <c r="B310" s="68"/>
      <c r="C310" s="68"/>
      <c r="D310" s="70"/>
      <c r="E310" s="70"/>
      <c r="F310" s="70"/>
      <c r="G310" s="72"/>
      <c r="H310" s="74"/>
      <c r="I310" s="74"/>
      <c r="J310" s="75"/>
      <c r="K310" s="81"/>
      <c r="L310" s="76"/>
      <c r="M310" s="76"/>
      <c r="N310" s="76"/>
      <c r="O310" s="71"/>
      <c r="P310" s="70"/>
      <c r="Q310" s="71"/>
      <c r="R310" s="71"/>
      <c r="S310" s="70"/>
      <c r="T310" s="71"/>
      <c r="U310" s="71"/>
      <c r="V310" s="75"/>
      <c r="W310" s="69"/>
      <c r="X310" s="69"/>
      <c r="Y310" s="69"/>
      <c r="Z310" s="69"/>
      <c r="AA310" s="69"/>
      <c r="AB310" s="69"/>
      <c r="AC310" s="69"/>
      <c r="AD310" s="69"/>
      <c r="AE310" s="76"/>
      <c r="AF310" s="71"/>
      <c r="AG310" s="71"/>
      <c r="AH310" s="71"/>
      <c r="AI310" s="71"/>
      <c r="AJ310" s="71"/>
      <c r="AK310" s="71"/>
      <c r="AL310" s="71"/>
      <c r="AM310" s="71"/>
      <c r="AN310" s="68"/>
      <c r="AO310" s="68"/>
      <c r="AP310" s="70"/>
      <c r="AQ310" s="71"/>
      <c r="AR310" s="77"/>
      <c r="AS310" s="70"/>
      <c r="AT310" s="68"/>
      <c r="AU310" s="70"/>
      <c r="AV310" s="70"/>
      <c r="AW310" s="71"/>
      <c r="AX310" s="71"/>
      <c r="AY310" s="70"/>
      <c r="AZ310" s="76"/>
      <c r="BA310" s="76"/>
      <c r="BB310" s="76"/>
      <c r="BC310" s="78"/>
    </row>
    <row r="311" spans="1:55" x14ac:dyDescent="0.25">
      <c r="A311" s="68"/>
      <c r="B311" s="68"/>
      <c r="C311" s="68"/>
      <c r="D311" s="70"/>
      <c r="E311" s="70"/>
      <c r="F311" s="70"/>
      <c r="G311" s="72"/>
      <c r="H311" s="74"/>
      <c r="I311" s="74"/>
      <c r="J311" s="75"/>
      <c r="K311" s="81"/>
      <c r="L311" s="76"/>
      <c r="M311" s="76"/>
      <c r="N311" s="76"/>
      <c r="O311" s="71"/>
      <c r="P311" s="70"/>
      <c r="Q311" s="71"/>
      <c r="R311" s="71"/>
      <c r="S311" s="70"/>
      <c r="T311" s="71"/>
      <c r="U311" s="71"/>
      <c r="V311" s="75"/>
      <c r="W311" s="69"/>
      <c r="X311" s="69"/>
      <c r="Y311" s="69"/>
      <c r="Z311" s="69"/>
      <c r="AA311" s="69"/>
      <c r="AB311" s="69"/>
      <c r="AC311" s="69"/>
      <c r="AD311" s="69"/>
      <c r="AE311" s="76"/>
      <c r="AF311" s="71"/>
      <c r="AG311" s="71"/>
      <c r="AH311" s="71"/>
      <c r="AI311" s="71"/>
      <c r="AJ311" s="71"/>
      <c r="AK311" s="71"/>
      <c r="AL311" s="71"/>
      <c r="AM311" s="71"/>
      <c r="AN311" s="68"/>
      <c r="AO311" s="68"/>
      <c r="AP311" s="70"/>
      <c r="AQ311" s="71"/>
      <c r="AR311" s="77"/>
      <c r="AS311" s="70"/>
      <c r="AT311" s="68"/>
      <c r="AU311" s="70"/>
      <c r="AV311" s="70"/>
      <c r="AW311" s="71"/>
      <c r="AX311" s="71"/>
      <c r="AY311" s="70"/>
      <c r="AZ311" s="76"/>
      <c r="BA311" s="76"/>
      <c r="BB311" s="76"/>
      <c r="BC311" s="78"/>
    </row>
    <row r="312" spans="1:55" x14ac:dyDescent="0.25">
      <c r="A312" s="68"/>
      <c r="B312" s="68"/>
      <c r="C312" s="68"/>
      <c r="D312" s="70"/>
      <c r="E312" s="70"/>
      <c r="F312" s="70"/>
      <c r="G312" s="72"/>
      <c r="H312" s="74"/>
      <c r="I312" s="74"/>
      <c r="J312" s="75"/>
      <c r="K312" s="81"/>
      <c r="L312" s="76"/>
      <c r="M312" s="76"/>
      <c r="N312" s="76"/>
      <c r="O312" s="71"/>
      <c r="P312" s="70"/>
      <c r="Q312" s="71"/>
      <c r="R312" s="71"/>
      <c r="S312" s="70"/>
      <c r="T312" s="71"/>
      <c r="U312" s="71"/>
      <c r="V312" s="75"/>
      <c r="W312" s="69"/>
      <c r="X312" s="69"/>
      <c r="Y312" s="69"/>
      <c r="Z312" s="69"/>
      <c r="AA312" s="69"/>
      <c r="AB312" s="69"/>
      <c r="AC312" s="69"/>
      <c r="AD312" s="69"/>
      <c r="AE312" s="76"/>
      <c r="AF312" s="71"/>
      <c r="AG312" s="71"/>
      <c r="AH312" s="71"/>
      <c r="AI312" s="71"/>
      <c r="AJ312" s="71"/>
      <c r="AK312" s="71"/>
      <c r="AL312" s="71"/>
      <c r="AM312" s="71"/>
      <c r="AN312" s="68"/>
      <c r="AO312" s="68"/>
      <c r="AP312" s="70"/>
      <c r="AQ312" s="71"/>
      <c r="AR312" s="77"/>
      <c r="AS312" s="70"/>
      <c r="AT312" s="68"/>
      <c r="AU312" s="70"/>
      <c r="AV312" s="70"/>
      <c r="AW312" s="71"/>
      <c r="AX312" s="71"/>
      <c r="AY312" s="70"/>
      <c r="AZ312" s="76"/>
      <c r="BA312" s="76"/>
      <c r="BB312" s="76"/>
      <c r="BC312" s="78"/>
    </row>
    <row r="313" spans="1:55" x14ac:dyDescent="0.25">
      <c r="A313" s="68"/>
      <c r="B313" s="68"/>
      <c r="C313" s="68"/>
      <c r="D313" s="70"/>
      <c r="E313" s="70"/>
      <c r="F313" s="70"/>
      <c r="G313" s="72"/>
      <c r="H313" s="74"/>
      <c r="I313" s="74"/>
      <c r="J313" s="75"/>
      <c r="K313" s="81"/>
      <c r="L313" s="76"/>
      <c r="M313" s="76"/>
      <c r="N313" s="76"/>
      <c r="O313" s="71"/>
      <c r="P313" s="70"/>
      <c r="Q313" s="71"/>
      <c r="R313" s="71"/>
      <c r="S313" s="70"/>
      <c r="T313" s="71"/>
      <c r="U313" s="71"/>
      <c r="V313" s="75"/>
      <c r="W313" s="69"/>
      <c r="X313" s="69"/>
      <c r="Y313" s="69"/>
      <c r="Z313" s="69"/>
      <c r="AA313" s="69"/>
      <c r="AB313" s="69"/>
      <c r="AC313" s="69"/>
      <c r="AD313" s="69"/>
      <c r="AE313" s="76"/>
      <c r="AF313" s="71"/>
      <c r="AG313" s="71"/>
      <c r="AH313" s="71"/>
      <c r="AI313" s="71"/>
      <c r="AJ313" s="71"/>
      <c r="AK313" s="71"/>
      <c r="AL313" s="71"/>
      <c r="AM313" s="71"/>
      <c r="AN313" s="68"/>
      <c r="AO313" s="68"/>
      <c r="AP313" s="70"/>
      <c r="AQ313" s="71"/>
      <c r="AR313" s="77"/>
      <c r="AS313" s="70"/>
      <c r="AT313" s="68"/>
      <c r="AU313" s="70"/>
      <c r="AV313" s="70"/>
      <c r="AW313" s="71"/>
      <c r="AX313" s="71"/>
      <c r="AY313" s="70"/>
      <c r="AZ313" s="76"/>
      <c r="BA313" s="76"/>
      <c r="BB313" s="76"/>
      <c r="BC313" s="78"/>
    </row>
    <row r="314" spans="1:55" x14ac:dyDescent="0.25">
      <c r="A314" s="68"/>
      <c r="B314" s="68"/>
      <c r="C314" s="68"/>
      <c r="D314" s="70"/>
      <c r="E314" s="70"/>
      <c r="F314" s="70"/>
      <c r="G314" s="72"/>
      <c r="H314" s="74"/>
      <c r="I314" s="74"/>
      <c r="J314" s="75"/>
      <c r="K314" s="81"/>
      <c r="L314" s="76"/>
      <c r="M314" s="76"/>
      <c r="N314" s="76"/>
      <c r="O314" s="71"/>
      <c r="P314" s="70"/>
      <c r="Q314" s="71"/>
      <c r="R314" s="71"/>
      <c r="S314" s="70"/>
      <c r="T314" s="71"/>
      <c r="U314" s="71"/>
      <c r="V314" s="75"/>
      <c r="W314" s="69"/>
      <c r="X314" s="69"/>
      <c r="Y314" s="69"/>
      <c r="Z314" s="69"/>
      <c r="AA314" s="69"/>
      <c r="AB314" s="69"/>
      <c r="AC314" s="69"/>
      <c r="AD314" s="69"/>
      <c r="AE314" s="76"/>
      <c r="AF314" s="71"/>
      <c r="AG314" s="71"/>
      <c r="AH314" s="71"/>
      <c r="AI314" s="71"/>
      <c r="AJ314" s="71"/>
      <c r="AK314" s="71"/>
      <c r="AL314" s="71"/>
      <c r="AM314" s="71"/>
      <c r="AN314" s="68"/>
      <c r="AO314" s="68"/>
      <c r="AP314" s="70"/>
      <c r="AQ314" s="71"/>
      <c r="AR314" s="77"/>
      <c r="AS314" s="70"/>
      <c r="AT314" s="68"/>
      <c r="AU314" s="70"/>
      <c r="AV314" s="70"/>
      <c r="AW314" s="71"/>
      <c r="AX314" s="71"/>
      <c r="AY314" s="70"/>
      <c r="AZ314" s="76"/>
      <c r="BA314" s="76"/>
      <c r="BB314" s="76"/>
      <c r="BC314" s="78"/>
    </row>
    <row r="315" spans="1:55" x14ac:dyDescent="0.25">
      <c r="A315" s="68"/>
      <c r="B315" s="68"/>
      <c r="C315" s="68"/>
      <c r="D315" s="70"/>
      <c r="E315" s="70"/>
      <c r="F315" s="70"/>
      <c r="G315" s="72"/>
      <c r="H315" s="74"/>
      <c r="I315" s="74"/>
      <c r="J315" s="75"/>
      <c r="K315" s="81"/>
      <c r="L315" s="76"/>
      <c r="M315" s="76"/>
      <c r="N315" s="76"/>
      <c r="O315" s="71"/>
      <c r="P315" s="70"/>
      <c r="Q315" s="71"/>
      <c r="R315" s="71"/>
      <c r="S315" s="70"/>
      <c r="T315" s="71"/>
      <c r="U315" s="71"/>
      <c r="V315" s="75"/>
      <c r="W315" s="69"/>
      <c r="X315" s="69"/>
      <c r="Y315" s="69"/>
      <c r="Z315" s="69"/>
      <c r="AA315" s="69"/>
      <c r="AB315" s="69"/>
      <c r="AC315" s="69"/>
      <c r="AD315" s="69"/>
      <c r="AE315" s="76"/>
      <c r="AF315" s="71"/>
      <c r="AG315" s="71"/>
      <c r="AH315" s="71"/>
      <c r="AI315" s="71"/>
      <c r="AJ315" s="71"/>
      <c r="AK315" s="71"/>
      <c r="AL315" s="71"/>
      <c r="AM315" s="71"/>
      <c r="AN315" s="68"/>
      <c r="AO315" s="68"/>
      <c r="AP315" s="70"/>
      <c r="AQ315" s="71"/>
      <c r="AR315" s="77"/>
      <c r="AS315" s="70"/>
      <c r="AT315" s="68"/>
      <c r="AU315" s="70"/>
      <c r="AV315" s="70"/>
      <c r="AW315" s="71"/>
      <c r="AX315" s="71"/>
      <c r="AY315" s="70"/>
      <c r="AZ315" s="76"/>
      <c r="BA315" s="76"/>
      <c r="BB315" s="76"/>
      <c r="BC315" s="78"/>
    </row>
    <row r="316" spans="1:55" x14ac:dyDescent="0.25">
      <c r="A316" s="68"/>
      <c r="B316" s="68"/>
      <c r="C316" s="68"/>
      <c r="D316" s="70"/>
      <c r="E316" s="70"/>
      <c r="F316" s="70"/>
      <c r="G316" s="72"/>
      <c r="H316" s="74"/>
      <c r="I316" s="74"/>
      <c r="J316" s="75"/>
      <c r="K316" s="81"/>
      <c r="L316" s="76"/>
      <c r="M316" s="76"/>
      <c r="N316" s="76"/>
      <c r="O316" s="71"/>
      <c r="P316" s="70"/>
      <c r="Q316" s="71"/>
      <c r="R316" s="71"/>
      <c r="S316" s="70"/>
      <c r="T316" s="71"/>
      <c r="U316" s="71"/>
      <c r="V316" s="75"/>
      <c r="W316" s="69"/>
      <c r="X316" s="69"/>
      <c r="Y316" s="69"/>
      <c r="Z316" s="69"/>
      <c r="AA316" s="69"/>
      <c r="AB316" s="69"/>
      <c r="AC316" s="69"/>
      <c r="AD316" s="69"/>
      <c r="AE316" s="76"/>
      <c r="AF316" s="71"/>
      <c r="AG316" s="71"/>
      <c r="AH316" s="71"/>
      <c r="AI316" s="71"/>
      <c r="AJ316" s="71"/>
      <c r="AK316" s="71"/>
      <c r="AL316" s="71"/>
      <c r="AM316" s="71"/>
      <c r="AN316" s="68"/>
      <c r="AO316" s="68"/>
      <c r="AP316" s="70"/>
      <c r="AQ316" s="71"/>
      <c r="AR316" s="77"/>
      <c r="AS316" s="70"/>
      <c r="AT316" s="68"/>
      <c r="AU316" s="70"/>
      <c r="AV316" s="70"/>
      <c r="AW316" s="71"/>
      <c r="AX316" s="71"/>
      <c r="AY316" s="70"/>
      <c r="AZ316" s="76"/>
      <c r="BA316" s="76"/>
      <c r="BB316" s="76"/>
      <c r="BC316" s="78"/>
    </row>
    <row r="317" spans="1:55" x14ac:dyDescent="0.25">
      <c r="A317" s="68"/>
      <c r="B317" s="68"/>
      <c r="C317" s="68"/>
      <c r="D317" s="70"/>
      <c r="E317" s="70"/>
      <c r="F317" s="70"/>
      <c r="G317" s="72"/>
      <c r="H317" s="74"/>
      <c r="I317" s="74"/>
      <c r="J317" s="75"/>
      <c r="K317" s="81"/>
      <c r="L317" s="76"/>
      <c r="M317" s="76"/>
      <c r="N317" s="76"/>
      <c r="O317" s="71"/>
      <c r="P317" s="70"/>
      <c r="Q317" s="71"/>
      <c r="R317" s="71"/>
      <c r="S317" s="70"/>
      <c r="T317" s="71"/>
      <c r="U317" s="71"/>
      <c r="V317" s="75"/>
      <c r="W317" s="69"/>
      <c r="X317" s="69"/>
      <c r="Y317" s="69"/>
      <c r="Z317" s="69"/>
      <c r="AA317" s="69"/>
      <c r="AB317" s="69"/>
      <c r="AC317" s="69"/>
      <c r="AD317" s="69"/>
      <c r="AE317" s="76"/>
      <c r="AF317" s="71"/>
      <c r="AG317" s="71"/>
      <c r="AH317" s="71"/>
      <c r="AI317" s="71"/>
      <c r="AJ317" s="71"/>
      <c r="AK317" s="71"/>
      <c r="AL317" s="71"/>
      <c r="AM317" s="71"/>
      <c r="AN317" s="68"/>
      <c r="AO317" s="68"/>
      <c r="AP317" s="70"/>
      <c r="AQ317" s="71"/>
      <c r="AR317" s="77"/>
      <c r="AS317" s="70"/>
      <c r="AT317" s="68"/>
      <c r="AU317" s="70"/>
      <c r="AV317" s="70"/>
      <c r="AW317" s="71"/>
      <c r="AX317" s="71"/>
      <c r="AY317" s="70"/>
      <c r="AZ317" s="76"/>
      <c r="BA317" s="76"/>
      <c r="BB317" s="76"/>
      <c r="BC317" s="78"/>
    </row>
    <row r="318" spans="1:55" x14ac:dyDescent="0.25">
      <c r="A318" s="68"/>
      <c r="B318" s="68"/>
      <c r="C318" s="68"/>
      <c r="D318" s="70"/>
      <c r="E318" s="70"/>
      <c r="F318" s="70"/>
      <c r="G318" s="72"/>
      <c r="H318" s="74"/>
      <c r="I318" s="74"/>
      <c r="J318" s="75"/>
      <c r="K318" s="81"/>
      <c r="L318" s="76"/>
      <c r="M318" s="76"/>
      <c r="N318" s="76"/>
      <c r="O318" s="71"/>
      <c r="P318" s="70"/>
      <c r="Q318" s="71"/>
      <c r="R318" s="71"/>
      <c r="S318" s="70"/>
      <c r="T318" s="71"/>
      <c r="U318" s="71"/>
      <c r="V318" s="75"/>
      <c r="W318" s="69"/>
      <c r="X318" s="69"/>
      <c r="Y318" s="69"/>
      <c r="Z318" s="69"/>
      <c r="AA318" s="69"/>
      <c r="AB318" s="69"/>
      <c r="AC318" s="69"/>
      <c r="AD318" s="69"/>
      <c r="AE318" s="76"/>
      <c r="AF318" s="71"/>
      <c r="AG318" s="71"/>
      <c r="AH318" s="71"/>
      <c r="AI318" s="71"/>
      <c r="AJ318" s="71"/>
      <c r="AK318" s="71"/>
      <c r="AL318" s="71"/>
      <c r="AM318" s="71"/>
      <c r="AN318" s="68"/>
      <c r="AO318" s="68"/>
      <c r="AP318" s="70"/>
      <c r="AQ318" s="71"/>
      <c r="AR318" s="77"/>
      <c r="AS318" s="70"/>
      <c r="AT318" s="68"/>
      <c r="AU318" s="70"/>
      <c r="AV318" s="70"/>
      <c r="AW318" s="71"/>
      <c r="AX318" s="71"/>
      <c r="AY318" s="70"/>
      <c r="AZ318" s="76"/>
      <c r="BA318" s="76"/>
      <c r="BB318" s="76"/>
      <c r="BC318" s="78"/>
    </row>
    <row r="319" spans="1:55" x14ac:dyDescent="0.25">
      <c r="A319" s="68"/>
      <c r="B319" s="68"/>
      <c r="C319" s="68"/>
      <c r="D319" s="70"/>
      <c r="E319" s="70"/>
      <c r="F319" s="70"/>
      <c r="G319" s="72"/>
      <c r="H319" s="74"/>
      <c r="I319" s="74"/>
      <c r="J319" s="75"/>
      <c r="K319" s="81"/>
      <c r="L319" s="76"/>
      <c r="M319" s="76"/>
      <c r="N319" s="76"/>
      <c r="O319" s="71"/>
      <c r="P319" s="70"/>
      <c r="Q319" s="71"/>
      <c r="R319" s="71"/>
      <c r="S319" s="70"/>
      <c r="T319" s="71"/>
      <c r="U319" s="71"/>
      <c r="V319" s="75"/>
      <c r="W319" s="69"/>
      <c r="X319" s="69"/>
      <c r="Y319" s="69"/>
      <c r="Z319" s="69"/>
      <c r="AA319" s="69"/>
      <c r="AB319" s="69"/>
      <c r="AC319" s="69"/>
      <c r="AD319" s="69"/>
      <c r="AE319" s="76"/>
      <c r="AF319" s="71"/>
      <c r="AG319" s="71"/>
      <c r="AH319" s="71"/>
      <c r="AI319" s="71"/>
      <c r="AJ319" s="71"/>
      <c r="AK319" s="71"/>
      <c r="AL319" s="71"/>
      <c r="AM319" s="71"/>
      <c r="AN319" s="68"/>
      <c r="AO319" s="68"/>
      <c r="AP319" s="70"/>
      <c r="AQ319" s="71"/>
      <c r="AR319" s="77"/>
      <c r="AS319" s="70"/>
      <c r="AT319" s="68"/>
      <c r="AU319" s="70"/>
      <c r="AV319" s="70"/>
      <c r="AW319" s="71"/>
      <c r="AX319" s="71"/>
      <c r="AY319" s="70"/>
      <c r="AZ319" s="76"/>
      <c r="BA319" s="76"/>
      <c r="BB319" s="76"/>
      <c r="BC319" s="78"/>
    </row>
    <row r="320" spans="1:55" x14ac:dyDescent="0.25">
      <c r="A320" s="68"/>
      <c r="B320" s="68"/>
      <c r="C320" s="68"/>
      <c r="D320" s="70"/>
      <c r="E320" s="70"/>
      <c r="F320" s="70"/>
      <c r="G320" s="72"/>
      <c r="H320" s="74"/>
      <c r="I320" s="74"/>
      <c r="J320" s="75"/>
      <c r="K320" s="81"/>
      <c r="L320" s="76"/>
      <c r="M320" s="76"/>
      <c r="N320" s="76"/>
      <c r="O320" s="71"/>
      <c r="P320" s="70"/>
      <c r="Q320" s="71"/>
      <c r="R320" s="71"/>
      <c r="S320" s="70"/>
      <c r="T320" s="71"/>
      <c r="U320" s="71"/>
      <c r="V320" s="75"/>
      <c r="W320" s="69"/>
      <c r="X320" s="69"/>
      <c r="Y320" s="69"/>
      <c r="Z320" s="69"/>
      <c r="AA320" s="69"/>
      <c r="AB320" s="69"/>
      <c r="AC320" s="69"/>
      <c r="AD320" s="69"/>
      <c r="AE320" s="76"/>
      <c r="AF320" s="71"/>
      <c r="AG320" s="71"/>
      <c r="AH320" s="71"/>
      <c r="AI320" s="71"/>
      <c r="AJ320" s="71"/>
      <c r="AK320" s="71"/>
      <c r="AL320" s="71"/>
      <c r="AM320" s="71"/>
      <c r="AN320" s="68"/>
      <c r="AO320" s="68"/>
      <c r="AP320" s="70"/>
      <c r="AQ320" s="71"/>
      <c r="AR320" s="77"/>
      <c r="AS320" s="70"/>
      <c r="AT320" s="68"/>
      <c r="AU320" s="70"/>
      <c r="AV320" s="70"/>
      <c r="AW320" s="71"/>
      <c r="AX320" s="71"/>
      <c r="AY320" s="70"/>
      <c r="AZ320" s="76"/>
      <c r="BA320" s="76"/>
      <c r="BB320" s="76"/>
      <c r="BC320" s="78"/>
    </row>
    <row r="321" spans="1:55" x14ac:dyDescent="0.25">
      <c r="A321" s="68"/>
      <c r="B321" s="68"/>
      <c r="C321" s="68"/>
      <c r="D321" s="70"/>
      <c r="E321" s="70"/>
      <c r="F321" s="70"/>
      <c r="G321" s="72"/>
      <c r="H321" s="74"/>
      <c r="I321" s="74"/>
      <c r="J321" s="75"/>
      <c r="K321" s="81"/>
      <c r="L321" s="76"/>
      <c r="M321" s="76"/>
      <c r="N321" s="76"/>
      <c r="O321" s="71"/>
      <c r="P321" s="70"/>
      <c r="Q321" s="71"/>
      <c r="R321" s="71"/>
      <c r="S321" s="70"/>
      <c r="T321" s="71"/>
      <c r="U321" s="71"/>
      <c r="V321" s="75"/>
      <c r="W321" s="69"/>
      <c r="X321" s="69"/>
      <c r="Y321" s="69"/>
      <c r="Z321" s="69"/>
      <c r="AA321" s="69"/>
      <c r="AB321" s="69"/>
      <c r="AC321" s="69"/>
      <c r="AD321" s="69"/>
      <c r="AE321" s="76"/>
      <c r="AF321" s="71"/>
      <c r="AG321" s="71"/>
      <c r="AH321" s="71"/>
      <c r="AI321" s="71"/>
      <c r="AJ321" s="71"/>
      <c r="AK321" s="71"/>
      <c r="AL321" s="71"/>
      <c r="AM321" s="71"/>
      <c r="AN321" s="68"/>
      <c r="AO321" s="68"/>
      <c r="AP321" s="70"/>
      <c r="AQ321" s="71"/>
      <c r="AR321" s="77"/>
      <c r="AS321" s="70"/>
      <c r="AT321" s="68"/>
      <c r="AU321" s="70"/>
      <c r="AV321" s="70"/>
      <c r="AW321" s="71"/>
      <c r="AX321" s="71"/>
      <c r="AY321" s="70"/>
      <c r="AZ321" s="76"/>
      <c r="BA321" s="76"/>
      <c r="BB321" s="76"/>
      <c r="BC321" s="78"/>
    </row>
    <row r="322" spans="1:55" x14ac:dyDescent="0.25">
      <c r="A322" s="68"/>
      <c r="B322" s="68"/>
      <c r="C322" s="68"/>
      <c r="D322" s="70"/>
      <c r="E322" s="70"/>
      <c r="F322" s="70"/>
      <c r="G322" s="72"/>
      <c r="H322" s="74"/>
      <c r="I322" s="74"/>
      <c r="J322" s="75"/>
      <c r="K322" s="81"/>
      <c r="L322" s="76"/>
      <c r="M322" s="76"/>
      <c r="N322" s="76"/>
      <c r="O322" s="71"/>
      <c r="P322" s="70"/>
      <c r="Q322" s="71"/>
      <c r="R322" s="71"/>
      <c r="S322" s="70"/>
      <c r="T322" s="71"/>
      <c r="U322" s="71"/>
      <c r="V322" s="75"/>
      <c r="W322" s="69"/>
      <c r="X322" s="69"/>
      <c r="Y322" s="69"/>
      <c r="Z322" s="69"/>
      <c r="AA322" s="69"/>
      <c r="AB322" s="69"/>
      <c r="AC322" s="69"/>
      <c r="AD322" s="69"/>
      <c r="AE322" s="76"/>
      <c r="AF322" s="71"/>
      <c r="AG322" s="71"/>
      <c r="AH322" s="71"/>
      <c r="AI322" s="71"/>
      <c r="AJ322" s="71"/>
      <c r="AK322" s="71"/>
      <c r="AL322" s="71"/>
      <c r="AM322" s="71"/>
      <c r="AN322" s="68"/>
      <c r="AO322" s="68"/>
      <c r="AP322" s="70"/>
      <c r="AQ322" s="71"/>
      <c r="AR322" s="77"/>
      <c r="AS322" s="70"/>
      <c r="AT322" s="68"/>
      <c r="AU322" s="70"/>
      <c r="AV322" s="70"/>
      <c r="AW322" s="71"/>
      <c r="AX322" s="71"/>
      <c r="AY322" s="70"/>
      <c r="AZ322" s="76"/>
      <c r="BA322" s="76"/>
      <c r="BB322" s="76"/>
      <c r="BC322" s="78"/>
    </row>
    <row r="323" spans="1:55" x14ac:dyDescent="0.25">
      <c r="A323" s="68"/>
      <c r="B323" s="68"/>
      <c r="C323" s="68"/>
      <c r="D323" s="70"/>
      <c r="E323" s="70"/>
      <c r="F323" s="70"/>
      <c r="G323" s="72"/>
      <c r="H323" s="74"/>
      <c r="I323" s="74"/>
      <c r="J323" s="75"/>
      <c r="K323" s="81"/>
      <c r="L323" s="76"/>
      <c r="M323" s="76"/>
      <c r="N323" s="76"/>
      <c r="O323" s="71"/>
      <c r="P323" s="70"/>
      <c r="Q323" s="71"/>
      <c r="R323" s="71"/>
      <c r="S323" s="70"/>
      <c r="T323" s="71"/>
      <c r="U323" s="71"/>
      <c r="V323" s="75"/>
      <c r="W323" s="69"/>
      <c r="X323" s="69"/>
      <c r="Y323" s="69"/>
      <c r="Z323" s="69"/>
      <c r="AA323" s="69"/>
      <c r="AB323" s="69"/>
      <c r="AC323" s="69"/>
      <c r="AD323" s="69"/>
      <c r="AE323" s="76"/>
      <c r="AF323" s="71"/>
      <c r="AG323" s="71"/>
      <c r="AH323" s="71"/>
      <c r="AI323" s="71"/>
      <c r="AJ323" s="71"/>
      <c r="AK323" s="71"/>
      <c r="AL323" s="71"/>
      <c r="AM323" s="71"/>
      <c r="AN323" s="68"/>
      <c r="AO323" s="68"/>
      <c r="AP323" s="70"/>
      <c r="AQ323" s="71"/>
      <c r="AR323" s="77"/>
      <c r="AS323" s="70"/>
      <c r="AT323" s="68"/>
      <c r="AU323" s="70"/>
      <c r="AV323" s="70"/>
      <c r="AW323" s="71"/>
      <c r="AX323" s="71"/>
      <c r="AY323" s="70"/>
      <c r="AZ323" s="76"/>
      <c r="BA323" s="76"/>
      <c r="BB323" s="76"/>
      <c r="BC323" s="78"/>
    </row>
    <row r="324" spans="1:55" x14ac:dyDescent="0.25">
      <c r="A324" s="68"/>
      <c r="B324" s="68"/>
      <c r="C324" s="68"/>
      <c r="D324" s="70"/>
      <c r="E324" s="70"/>
      <c r="F324" s="70"/>
      <c r="G324" s="72"/>
      <c r="H324" s="74"/>
      <c r="I324" s="74"/>
      <c r="J324" s="75"/>
      <c r="K324" s="81"/>
      <c r="L324" s="76"/>
      <c r="M324" s="76"/>
      <c r="N324" s="76"/>
      <c r="O324" s="71"/>
      <c r="P324" s="70"/>
      <c r="Q324" s="71"/>
      <c r="R324" s="71"/>
      <c r="S324" s="70"/>
      <c r="T324" s="71"/>
      <c r="U324" s="71"/>
      <c r="V324" s="75"/>
      <c r="W324" s="69"/>
      <c r="X324" s="69"/>
      <c r="Y324" s="69"/>
      <c r="Z324" s="69"/>
      <c r="AA324" s="69"/>
      <c r="AB324" s="69"/>
      <c r="AC324" s="69"/>
      <c r="AD324" s="69"/>
      <c r="AE324" s="76"/>
      <c r="AF324" s="71"/>
      <c r="AG324" s="71"/>
      <c r="AH324" s="71"/>
      <c r="AI324" s="71"/>
      <c r="AJ324" s="71"/>
      <c r="AK324" s="71"/>
      <c r="AL324" s="71"/>
      <c r="AM324" s="71"/>
      <c r="AN324" s="68"/>
      <c r="AO324" s="68"/>
      <c r="AP324" s="70"/>
      <c r="AQ324" s="71"/>
      <c r="AR324" s="77"/>
      <c r="AS324" s="70"/>
      <c r="AT324" s="68"/>
      <c r="AU324" s="70"/>
      <c r="AV324" s="70"/>
      <c r="AW324" s="71"/>
      <c r="AX324" s="71"/>
      <c r="AY324" s="70"/>
      <c r="AZ324" s="76"/>
      <c r="BA324" s="76"/>
      <c r="BB324" s="76"/>
      <c r="BC324" s="78"/>
    </row>
    <row r="325" spans="1:55" x14ac:dyDescent="0.25">
      <c r="A325" s="68"/>
      <c r="B325" s="68"/>
      <c r="C325" s="68"/>
      <c r="D325" s="70"/>
      <c r="E325" s="70"/>
      <c r="F325" s="70"/>
      <c r="G325" s="72"/>
      <c r="H325" s="74"/>
      <c r="I325" s="74"/>
      <c r="J325" s="75"/>
      <c r="K325" s="81"/>
      <c r="L325" s="76"/>
      <c r="M325" s="76"/>
      <c r="N325" s="76"/>
      <c r="O325" s="71"/>
      <c r="P325" s="70"/>
      <c r="Q325" s="71"/>
      <c r="R325" s="71"/>
      <c r="S325" s="70"/>
      <c r="T325" s="71"/>
      <c r="U325" s="71"/>
      <c r="V325" s="75"/>
      <c r="W325" s="69"/>
      <c r="X325" s="69"/>
      <c r="Y325" s="69"/>
      <c r="Z325" s="69"/>
      <c r="AA325" s="69"/>
      <c r="AB325" s="69"/>
      <c r="AC325" s="69"/>
      <c r="AD325" s="69"/>
      <c r="AE325" s="76"/>
      <c r="AF325" s="71"/>
      <c r="AG325" s="71"/>
      <c r="AH325" s="71"/>
      <c r="AI325" s="71"/>
      <c r="AJ325" s="71"/>
      <c r="AK325" s="71"/>
      <c r="AL325" s="71"/>
      <c r="AM325" s="71"/>
      <c r="AN325" s="68"/>
      <c r="AO325" s="68"/>
      <c r="AP325" s="70"/>
      <c r="AQ325" s="71"/>
      <c r="AR325" s="77"/>
      <c r="AS325" s="70"/>
      <c r="AT325" s="68"/>
      <c r="AU325" s="70"/>
      <c r="AV325" s="70"/>
      <c r="AW325" s="71"/>
      <c r="AX325" s="71"/>
      <c r="AY325" s="70"/>
      <c r="AZ325" s="76"/>
      <c r="BA325" s="76"/>
      <c r="BB325" s="76"/>
      <c r="BC325" s="78"/>
    </row>
    <row r="326" spans="1:55" x14ac:dyDescent="0.25">
      <c r="A326" s="68"/>
      <c r="B326" s="68"/>
      <c r="C326" s="68"/>
      <c r="D326" s="70"/>
      <c r="E326" s="70"/>
      <c r="F326" s="70"/>
      <c r="G326" s="72"/>
      <c r="H326" s="74"/>
      <c r="I326" s="74"/>
      <c r="J326" s="75"/>
      <c r="K326" s="81"/>
      <c r="L326" s="76"/>
      <c r="M326" s="76"/>
      <c r="N326" s="76"/>
      <c r="O326" s="71"/>
      <c r="P326" s="70"/>
      <c r="Q326" s="71"/>
      <c r="R326" s="71"/>
      <c r="S326" s="70"/>
      <c r="T326" s="71"/>
      <c r="U326" s="71"/>
      <c r="V326" s="75"/>
      <c r="W326" s="69"/>
      <c r="X326" s="69"/>
      <c r="Y326" s="69"/>
      <c r="Z326" s="69"/>
      <c r="AA326" s="69"/>
      <c r="AB326" s="69"/>
      <c r="AC326" s="69"/>
      <c r="AD326" s="69"/>
      <c r="AE326" s="76"/>
      <c r="AF326" s="71"/>
      <c r="AG326" s="71"/>
      <c r="AH326" s="71"/>
      <c r="AI326" s="71"/>
      <c r="AJ326" s="71"/>
      <c r="AK326" s="71"/>
      <c r="AL326" s="71"/>
      <c r="AM326" s="71"/>
      <c r="AN326" s="68"/>
      <c r="AO326" s="68"/>
      <c r="AP326" s="70"/>
      <c r="AQ326" s="71"/>
      <c r="AR326" s="77"/>
      <c r="AS326" s="70"/>
      <c r="AT326" s="68"/>
      <c r="AU326" s="70"/>
      <c r="AV326" s="70"/>
      <c r="AW326" s="71"/>
      <c r="AX326" s="71"/>
      <c r="AY326" s="70"/>
      <c r="AZ326" s="76"/>
      <c r="BA326" s="76"/>
      <c r="BB326" s="76"/>
      <c r="BC326" s="78"/>
    </row>
    <row r="327" spans="1:55" x14ac:dyDescent="0.25">
      <c r="A327" s="68"/>
      <c r="B327" s="68"/>
      <c r="C327" s="68"/>
      <c r="D327" s="70"/>
      <c r="E327" s="70"/>
      <c r="F327" s="70"/>
      <c r="G327" s="72"/>
      <c r="H327" s="74"/>
      <c r="I327" s="74"/>
      <c r="J327" s="75"/>
      <c r="K327" s="81"/>
      <c r="L327" s="76"/>
      <c r="M327" s="76"/>
      <c r="N327" s="76"/>
      <c r="O327" s="71"/>
      <c r="P327" s="70"/>
      <c r="Q327" s="71"/>
      <c r="R327" s="71"/>
      <c r="S327" s="70"/>
      <c r="T327" s="71"/>
      <c r="U327" s="71"/>
      <c r="V327" s="75"/>
      <c r="W327" s="69"/>
      <c r="X327" s="69"/>
      <c r="Y327" s="69"/>
      <c r="Z327" s="69"/>
      <c r="AA327" s="69"/>
      <c r="AB327" s="69"/>
      <c r="AC327" s="69"/>
      <c r="AD327" s="69"/>
      <c r="AE327" s="76"/>
      <c r="AF327" s="71"/>
      <c r="AG327" s="71"/>
      <c r="AH327" s="71"/>
      <c r="AI327" s="71"/>
      <c r="AJ327" s="71"/>
      <c r="AK327" s="71"/>
      <c r="AL327" s="71"/>
      <c r="AM327" s="71"/>
      <c r="AN327" s="68"/>
      <c r="AO327" s="68"/>
      <c r="AP327" s="70"/>
      <c r="AQ327" s="71"/>
      <c r="AR327" s="77"/>
      <c r="AS327" s="70"/>
      <c r="AT327" s="68"/>
      <c r="AU327" s="70"/>
      <c r="AV327" s="70"/>
      <c r="AW327" s="71"/>
      <c r="AX327" s="71"/>
      <c r="AY327" s="70"/>
      <c r="AZ327" s="76"/>
      <c r="BA327" s="76"/>
      <c r="BB327" s="76"/>
      <c r="BC327" s="78"/>
    </row>
    <row r="328" spans="1:55" x14ac:dyDescent="0.25">
      <c r="A328" s="68"/>
      <c r="B328" s="68"/>
      <c r="C328" s="68"/>
      <c r="D328" s="70"/>
      <c r="E328" s="70"/>
      <c r="F328" s="70"/>
      <c r="G328" s="72"/>
      <c r="H328" s="74"/>
      <c r="I328" s="74"/>
      <c r="J328" s="75"/>
      <c r="K328" s="81"/>
      <c r="L328" s="76"/>
      <c r="M328" s="76"/>
      <c r="N328" s="76"/>
      <c r="O328" s="71"/>
      <c r="P328" s="70"/>
      <c r="Q328" s="71"/>
      <c r="R328" s="71"/>
      <c r="S328" s="70"/>
      <c r="T328" s="71"/>
      <c r="U328" s="71"/>
      <c r="V328" s="75"/>
      <c r="W328" s="69"/>
      <c r="X328" s="69"/>
      <c r="Y328" s="69"/>
      <c r="Z328" s="69"/>
      <c r="AA328" s="69"/>
      <c r="AB328" s="69"/>
      <c r="AC328" s="69"/>
      <c r="AD328" s="69"/>
      <c r="AE328" s="76"/>
      <c r="AF328" s="71"/>
      <c r="AG328" s="71"/>
      <c r="AH328" s="71"/>
      <c r="AI328" s="71"/>
      <c r="AJ328" s="71"/>
      <c r="AK328" s="71"/>
      <c r="AL328" s="71"/>
      <c r="AM328" s="71"/>
      <c r="AN328" s="68"/>
      <c r="AO328" s="68"/>
      <c r="AP328" s="70"/>
      <c r="AQ328" s="71"/>
      <c r="AR328" s="77"/>
      <c r="AS328" s="70"/>
      <c r="AT328" s="68"/>
      <c r="AU328" s="70"/>
      <c r="AV328" s="70"/>
      <c r="AW328" s="71"/>
      <c r="AX328" s="71"/>
      <c r="AY328" s="70"/>
      <c r="AZ328" s="76"/>
      <c r="BA328" s="76"/>
      <c r="BB328" s="76"/>
      <c r="BC328" s="78"/>
    </row>
    <row r="329" spans="1:55" x14ac:dyDescent="0.25">
      <c r="A329" s="68"/>
      <c r="B329" s="68"/>
      <c r="C329" s="68"/>
      <c r="D329" s="70"/>
      <c r="E329" s="70"/>
      <c r="F329" s="70"/>
      <c r="G329" s="72"/>
      <c r="H329" s="74"/>
      <c r="I329" s="74"/>
      <c r="J329" s="75"/>
      <c r="K329" s="81"/>
      <c r="L329" s="76"/>
      <c r="M329" s="76"/>
      <c r="N329" s="76"/>
      <c r="O329" s="71"/>
      <c r="P329" s="70"/>
      <c r="Q329" s="71"/>
      <c r="R329" s="71"/>
      <c r="S329" s="70"/>
      <c r="T329" s="71"/>
      <c r="U329" s="71"/>
      <c r="V329" s="75"/>
      <c r="W329" s="69"/>
      <c r="X329" s="69"/>
      <c r="Y329" s="69"/>
      <c r="Z329" s="69"/>
      <c r="AA329" s="69"/>
      <c r="AB329" s="69"/>
      <c r="AC329" s="69"/>
      <c r="AD329" s="69"/>
      <c r="AE329" s="76"/>
      <c r="AF329" s="71"/>
      <c r="AG329" s="71"/>
      <c r="AH329" s="71"/>
      <c r="AI329" s="71"/>
      <c r="AJ329" s="71"/>
      <c r="AK329" s="71"/>
      <c r="AL329" s="71"/>
      <c r="AM329" s="71"/>
      <c r="AN329" s="68"/>
      <c r="AO329" s="68"/>
      <c r="AP329" s="70"/>
      <c r="AQ329" s="71"/>
      <c r="AR329" s="77"/>
      <c r="AS329" s="70"/>
      <c r="AT329" s="68"/>
      <c r="AU329" s="70"/>
      <c r="AV329" s="70"/>
      <c r="AW329" s="71"/>
      <c r="AX329" s="71"/>
      <c r="AY329" s="70"/>
      <c r="AZ329" s="76"/>
      <c r="BA329" s="76"/>
      <c r="BB329" s="76"/>
      <c r="BC329" s="78"/>
    </row>
    <row r="330" spans="1:55" x14ac:dyDescent="0.25">
      <c r="A330" s="68"/>
      <c r="B330" s="68"/>
      <c r="C330" s="68"/>
      <c r="D330" s="70"/>
      <c r="E330" s="70"/>
      <c r="F330" s="70"/>
      <c r="G330" s="72"/>
      <c r="H330" s="74"/>
      <c r="I330" s="74"/>
      <c r="J330" s="75"/>
      <c r="K330" s="81"/>
      <c r="L330" s="76"/>
      <c r="M330" s="76"/>
      <c r="N330" s="76"/>
      <c r="O330" s="71"/>
      <c r="P330" s="70"/>
      <c r="Q330" s="71"/>
      <c r="R330" s="71"/>
      <c r="S330" s="70"/>
      <c r="T330" s="71"/>
      <c r="U330" s="71"/>
      <c r="V330" s="75"/>
      <c r="W330" s="69"/>
      <c r="X330" s="69"/>
      <c r="Y330" s="69"/>
      <c r="Z330" s="69"/>
      <c r="AA330" s="69"/>
      <c r="AB330" s="69"/>
      <c r="AC330" s="69"/>
      <c r="AD330" s="69"/>
      <c r="AE330" s="76"/>
      <c r="AF330" s="71"/>
      <c r="AG330" s="71"/>
      <c r="AH330" s="71"/>
      <c r="AI330" s="71"/>
      <c r="AJ330" s="71"/>
      <c r="AK330" s="71"/>
      <c r="AL330" s="71"/>
      <c r="AM330" s="71"/>
      <c r="AN330" s="68"/>
      <c r="AO330" s="68"/>
      <c r="AP330" s="70"/>
      <c r="AQ330" s="71"/>
      <c r="AR330" s="77"/>
      <c r="AS330" s="70"/>
      <c r="AT330" s="68"/>
      <c r="AU330" s="70"/>
      <c r="AV330" s="70"/>
      <c r="AW330" s="71"/>
      <c r="AX330" s="71"/>
      <c r="AY330" s="70"/>
      <c r="AZ330" s="76"/>
      <c r="BA330" s="76"/>
      <c r="BB330" s="76"/>
      <c r="BC330" s="78"/>
    </row>
    <row r="331" spans="1:55" x14ac:dyDescent="0.25">
      <c r="A331" s="68"/>
      <c r="B331" s="68"/>
      <c r="C331" s="68"/>
      <c r="D331" s="70"/>
      <c r="E331" s="70"/>
      <c r="F331" s="70"/>
      <c r="G331" s="72"/>
      <c r="H331" s="74"/>
      <c r="I331" s="74"/>
      <c r="J331" s="75"/>
      <c r="K331" s="81"/>
      <c r="L331" s="76"/>
      <c r="M331" s="76"/>
      <c r="N331" s="76"/>
      <c r="O331" s="71"/>
      <c r="P331" s="70"/>
      <c r="Q331" s="71"/>
      <c r="R331" s="71"/>
      <c r="S331" s="70"/>
      <c r="T331" s="71"/>
      <c r="U331" s="71"/>
      <c r="V331" s="75"/>
      <c r="W331" s="69"/>
      <c r="X331" s="69"/>
      <c r="Y331" s="69"/>
      <c r="Z331" s="69"/>
      <c r="AA331" s="69"/>
      <c r="AB331" s="69"/>
      <c r="AC331" s="69"/>
      <c r="AD331" s="69"/>
      <c r="AE331" s="76"/>
      <c r="AF331" s="71"/>
      <c r="AG331" s="71"/>
      <c r="AH331" s="71"/>
      <c r="AI331" s="71"/>
      <c r="AJ331" s="71"/>
      <c r="AK331" s="71"/>
      <c r="AL331" s="71"/>
      <c r="AM331" s="71"/>
      <c r="AN331" s="68"/>
      <c r="AO331" s="68"/>
      <c r="AP331" s="70"/>
      <c r="AQ331" s="71"/>
      <c r="AR331" s="77"/>
      <c r="AS331" s="70"/>
      <c r="AT331" s="68"/>
      <c r="AU331" s="70"/>
      <c r="AV331" s="70"/>
      <c r="AW331" s="71"/>
      <c r="AX331" s="71"/>
      <c r="AY331" s="70"/>
      <c r="AZ331" s="76"/>
      <c r="BA331" s="76"/>
      <c r="BB331" s="76"/>
      <c r="BC331" s="78"/>
    </row>
    <row r="332" spans="1:55" x14ac:dyDescent="0.25">
      <c r="A332" s="68"/>
      <c r="B332" s="68"/>
      <c r="C332" s="68"/>
      <c r="D332" s="70"/>
      <c r="E332" s="70"/>
      <c r="F332" s="70"/>
      <c r="G332" s="72"/>
      <c r="H332" s="74"/>
      <c r="I332" s="74"/>
      <c r="J332" s="75"/>
      <c r="K332" s="81"/>
      <c r="L332" s="76"/>
      <c r="M332" s="76"/>
      <c r="N332" s="76"/>
      <c r="O332" s="71"/>
      <c r="P332" s="70"/>
      <c r="Q332" s="71"/>
      <c r="R332" s="71"/>
      <c r="S332" s="70"/>
      <c r="T332" s="71"/>
      <c r="U332" s="71"/>
      <c r="V332" s="75"/>
      <c r="W332" s="69"/>
      <c r="X332" s="69"/>
      <c r="Y332" s="69"/>
      <c r="Z332" s="69"/>
      <c r="AA332" s="69"/>
      <c r="AB332" s="69"/>
      <c r="AC332" s="69"/>
      <c r="AD332" s="69"/>
      <c r="AE332" s="76"/>
      <c r="AF332" s="71"/>
      <c r="AG332" s="71"/>
      <c r="AH332" s="71"/>
      <c r="AI332" s="71"/>
      <c r="AJ332" s="71"/>
      <c r="AK332" s="71"/>
      <c r="AL332" s="71"/>
      <c r="AM332" s="71"/>
      <c r="AN332" s="68"/>
      <c r="AO332" s="68"/>
      <c r="AP332" s="70"/>
      <c r="AQ332" s="71"/>
      <c r="AR332" s="77"/>
      <c r="AS332" s="70"/>
      <c r="AT332" s="68"/>
      <c r="AU332" s="70"/>
      <c r="AV332" s="70"/>
      <c r="AW332" s="71"/>
      <c r="AX332" s="71"/>
      <c r="AY332" s="70"/>
      <c r="AZ332" s="76"/>
      <c r="BA332" s="76"/>
      <c r="BB332" s="76"/>
      <c r="BC332" s="78"/>
    </row>
    <row r="333" spans="1:55" x14ac:dyDescent="0.25">
      <c r="A333" s="68"/>
      <c r="B333" s="68"/>
      <c r="C333" s="68"/>
      <c r="D333" s="70"/>
      <c r="E333" s="70"/>
      <c r="F333" s="70"/>
      <c r="G333" s="72"/>
      <c r="H333" s="74"/>
      <c r="I333" s="74"/>
      <c r="J333" s="75"/>
      <c r="K333" s="81"/>
      <c r="L333" s="76"/>
      <c r="M333" s="76"/>
      <c r="N333" s="76"/>
      <c r="O333" s="71"/>
      <c r="P333" s="70"/>
      <c r="Q333" s="71"/>
      <c r="R333" s="71"/>
      <c r="S333" s="70"/>
      <c r="T333" s="71"/>
      <c r="U333" s="71"/>
      <c r="V333" s="75"/>
      <c r="W333" s="69"/>
      <c r="X333" s="69"/>
      <c r="Y333" s="69"/>
      <c r="Z333" s="69"/>
      <c r="AA333" s="69"/>
      <c r="AB333" s="69"/>
      <c r="AC333" s="69"/>
      <c r="AD333" s="69"/>
      <c r="AE333" s="76"/>
      <c r="AF333" s="71"/>
      <c r="AG333" s="71"/>
      <c r="AH333" s="71"/>
      <c r="AI333" s="71"/>
      <c r="AJ333" s="71"/>
      <c r="AK333" s="71"/>
      <c r="AL333" s="71"/>
      <c r="AM333" s="71"/>
      <c r="AN333" s="68"/>
      <c r="AO333" s="68"/>
      <c r="AP333" s="70"/>
      <c r="AQ333" s="71"/>
      <c r="AR333" s="77"/>
      <c r="AS333" s="70"/>
      <c r="AT333" s="68"/>
      <c r="AU333" s="70"/>
      <c r="AV333" s="70"/>
      <c r="AW333" s="71"/>
      <c r="AX333" s="71"/>
      <c r="AY333" s="70"/>
      <c r="AZ333" s="76"/>
      <c r="BA333" s="76"/>
      <c r="BB333" s="76"/>
      <c r="BC333" s="78"/>
    </row>
    <row r="334" spans="1:55" x14ac:dyDescent="0.25">
      <c r="A334" s="68"/>
      <c r="B334" s="68"/>
      <c r="C334" s="68"/>
      <c r="D334" s="70"/>
      <c r="E334" s="70"/>
      <c r="F334" s="70"/>
      <c r="G334" s="72"/>
      <c r="H334" s="74"/>
      <c r="I334" s="74"/>
      <c r="J334" s="75"/>
      <c r="K334" s="81"/>
      <c r="L334" s="76"/>
      <c r="M334" s="76"/>
      <c r="N334" s="76"/>
      <c r="O334" s="71"/>
      <c r="P334" s="70"/>
      <c r="Q334" s="71"/>
      <c r="R334" s="71"/>
      <c r="S334" s="70"/>
      <c r="T334" s="71"/>
      <c r="U334" s="71"/>
      <c r="V334" s="75"/>
      <c r="W334" s="69"/>
      <c r="X334" s="69"/>
      <c r="Y334" s="69"/>
      <c r="Z334" s="69"/>
      <c r="AA334" s="69"/>
      <c r="AB334" s="69"/>
      <c r="AC334" s="69"/>
      <c r="AD334" s="69"/>
      <c r="AE334" s="76"/>
      <c r="AF334" s="71"/>
      <c r="AG334" s="71"/>
      <c r="AH334" s="71"/>
      <c r="AI334" s="71"/>
      <c r="AJ334" s="71"/>
      <c r="AK334" s="71"/>
      <c r="AL334" s="71"/>
      <c r="AM334" s="71"/>
      <c r="AN334" s="68"/>
      <c r="AO334" s="68"/>
      <c r="AP334" s="70"/>
      <c r="AQ334" s="71"/>
      <c r="AR334" s="77"/>
      <c r="AS334" s="70"/>
      <c r="AT334" s="68"/>
      <c r="AU334" s="70"/>
      <c r="AV334" s="70"/>
      <c r="AW334" s="71"/>
      <c r="AX334" s="71"/>
      <c r="AY334" s="70"/>
      <c r="AZ334" s="76"/>
      <c r="BA334" s="76"/>
      <c r="BB334" s="76"/>
      <c r="BC334" s="78"/>
    </row>
    <row r="335" spans="1:55" x14ac:dyDescent="0.25">
      <c r="A335" s="68"/>
      <c r="B335" s="68"/>
      <c r="C335" s="68"/>
      <c r="D335" s="70"/>
      <c r="E335" s="70"/>
      <c r="F335" s="70"/>
      <c r="G335" s="72"/>
      <c r="H335" s="74"/>
      <c r="I335" s="74"/>
      <c r="J335" s="75"/>
      <c r="K335" s="81"/>
      <c r="L335" s="76"/>
      <c r="M335" s="76"/>
      <c r="N335" s="76"/>
      <c r="O335" s="71"/>
      <c r="P335" s="70"/>
      <c r="Q335" s="71"/>
      <c r="R335" s="71"/>
      <c r="S335" s="70"/>
      <c r="T335" s="71"/>
      <c r="U335" s="71"/>
      <c r="V335" s="75"/>
      <c r="W335" s="69"/>
      <c r="X335" s="69"/>
      <c r="Y335" s="69"/>
      <c r="Z335" s="69"/>
      <c r="AA335" s="69"/>
      <c r="AB335" s="69"/>
      <c r="AC335" s="69"/>
      <c r="AD335" s="69"/>
      <c r="AE335" s="76"/>
      <c r="AF335" s="71"/>
      <c r="AG335" s="71"/>
      <c r="AH335" s="71"/>
      <c r="AI335" s="71"/>
      <c r="AJ335" s="71"/>
      <c r="AK335" s="71"/>
      <c r="AL335" s="71"/>
      <c r="AM335" s="71"/>
      <c r="AN335" s="68"/>
      <c r="AO335" s="68"/>
      <c r="AP335" s="70"/>
      <c r="AQ335" s="71"/>
      <c r="AR335" s="77"/>
      <c r="AS335" s="70"/>
      <c r="AT335" s="68"/>
      <c r="AU335" s="70"/>
      <c r="AV335" s="70"/>
      <c r="AW335" s="71"/>
      <c r="AX335" s="71"/>
      <c r="AY335" s="70"/>
      <c r="AZ335" s="76"/>
      <c r="BA335" s="76"/>
      <c r="BB335" s="76"/>
      <c r="BC335" s="78"/>
    </row>
    <row r="336" spans="1:55" x14ac:dyDescent="0.25">
      <c r="A336" s="68"/>
      <c r="B336" s="68"/>
      <c r="C336" s="68"/>
      <c r="D336" s="70"/>
      <c r="E336" s="70"/>
      <c r="F336" s="70"/>
      <c r="G336" s="72"/>
      <c r="H336" s="74"/>
      <c r="I336" s="74"/>
      <c r="J336" s="75"/>
      <c r="K336" s="81"/>
      <c r="L336" s="76"/>
      <c r="M336" s="76"/>
      <c r="N336" s="76"/>
      <c r="O336" s="71"/>
      <c r="P336" s="70"/>
      <c r="Q336" s="71"/>
      <c r="R336" s="71"/>
      <c r="S336" s="70"/>
      <c r="T336" s="71"/>
      <c r="U336" s="71"/>
      <c r="V336" s="75"/>
      <c r="W336" s="69"/>
      <c r="X336" s="69"/>
      <c r="Y336" s="69"/>
      <c r="Z336" s="69"/>
      <c r="AA336" s="69"/>
      <c r="AB336" s="69"/>
      <c r="AC336" s="69"/>
      <c r="AD336" s="69"/>
      <c r="AE336" s="76"/>
      <c r="AF336" s="71"/>
      <c r="AG336" s="71"/>
      <c r="AH336" s="71"/>
      <c r="AI336" s="71"/>
      <c r="AJ336" s="71"/>
      <c r="AK336" s="71"/>
      <c r="AL336" s="71"/>
      <c r="AM336" s="71"/>
      <c r="AN336" s="68"/>
      <c r="AO336" s="68"/>
      <c r="AP336" s="70"/>
      <c r="AQ336" s="71"/>
      <c r="AR336" s="77"/>
      <c r="AS336" s="70"/>
      <c r="AT336" s="68"/>
      <c r="AU336" s="70"/>
      <c r="AV336" s="70"/>
      <c r="AW336" s="71"/>
      <c r="AX336" s="71"/>
      <c r="AY336" s="70"/>
      <c r="AZ336" s="76"/>
      <c r="BA336" s="76"/>
      <c r="BB336" s="76"/>
      <c r="BC336" s="78"/>
    </row>
    <row r="337" spans="1:55" x14ac:dyDescent="0.25">
      <c r="A337" s="68"/>
      <c r="B337" s="68"/>
      <c r="C337" s="68"/>
      <c r="D337" s="70"/>
      <c r="E337" s="70"/>
      <c r="F337" s="70"/>
      <c r="G337" s="72"/>
      <c r="H337" s="74"/>
      <c r="I337" s="74"/>
      <c r="J337" s="75"/>
      <c r="K337" s="81"/>
      <c r="L337" s="76"/>
      <c r="M337" s="76"/>
      <c r="N337" s="76"/>
      <c r="O337" s="71"/>
      <c r="P337" s="70"/>
      <c r="Q337" s="71"/>
      <c r="R337" s="71"/>
      <c r="S337" s="70"/>
      <c r="T337" s="71"/>
      <c r="U337" s="71"/>
      <c r="V337" s="75"/>
      <c r="W337" s="69"/>
      <c r="X337" s="69"/>
      <c r="Y337" s="69"/>
      <c r="Z337" s="69"/>
      <c r="AA337" s="69"/>
      <c r="AB337" s="69"/>
      <c r="AC337" s="69"/>
      <c r="AD337" s="69"/>
      <c r="AE337" s="76"/>
      <c r="AF337" s="71"/>
      <c r="AG337" s="71"/>
      <c r="AH337" s="71"/>
      <c r="AI337" s="71"/>
      <c r="AJ337" s="71"/>
      <c r="AK337" s="71"/>
      <c r="AL337" s="71"/>
      <c r="AM337" s="71"/>
      <c r="AN337" s="68"/>
      <c r="AO337" s="68"/>
      <c r="AP337" s="70"/>
      <c r="AQ337" s="71"/>
      <c r="AR337" s="77"/>
      <c r="AS337" s="70"/>
      <c r="AT337" s="68"/>
      <c r="AU337" s="70"/>
      <c r="AV337" s="70"/>
      <c r="AW337" s="71"/>
      <c r="AX337" s="71"/>
      <c r="AY337" s="70"/>
      <c r="AZ337" s="76"/>
      <c r="BA337" s="76"/>
      <c r="BB337" s="76"/>
      <c r="BC337" s="78"/>
    </row>
    <row r="338" spans="1:55" x14ac:dyDescent="0.25">
      <c r="A338" s="68"/>
      <c r="B338" s="68"/>
      <c r="C338" s="68"/>
      <c r="D338" s="70"/>
      <c r="E338" s="70"/>
      <c r="F338" s="70"/>
      <c r="G338" s="72"/>
      <c r="H338" s="74"/>
      <c r="I338" s="74"/>
      <c r="J338" s="75"/>
      <c r="K338" s="81"/>
      <c r="L338" s="76"/>
      <c r="M338" s="76"/>
      <c r="N338" s="76"/>
      <c r="O338" s="71"/>
      <c r="P338" s="70"/>
      <c r="Q338" s="71"/>
      <c r="R338" s="71"/>
      <c r="S338" s="70"/>
      <c r="T338" s="71"/>
      <c r="U338" s="71"/>
      <c r="V338" s="75"/>
      <c r="W338" s="69"/>
      <c r="X338" s="69"/>
      <c r="Y338" s="69"/>
      <c r="Z338" s="69"/>
      <c r="AA338" s="69"/>
      <c r="AB338" s="69"/>
      <c r="AC338" s="69"/>
      <c r="AD338" s="69"/>
      <c r="AE338" s="76"/>
      <c r="AF338" s="71"/>
      <c r="AG338" s="71"/>
      <c r="AH338" s="71"/>
      <c r="AI338" s="71"/>
      <c r="AJ338" s="71"/>
      <c r="AK338" s="71"/>
      <c r="AL338" s="71"/>
      <c r="AM338" s="71"/>
      <c r="AN338" s="68"/>
      <c r="AO338" s="68"/>
      <c r="AP338" s="70"/>
      <c r="AQ338" s="71"/>
      <c r="AR338" s="77"/>
      <c r="AS338" s="70"/>
      <c r="AT338" s="68"/>
      <c r="AU338" s="70"/>
      <c r="AV338" s="70"/>
      <c r="AW338" s="71"/>
      <c r="AX338" s="71"/>
      <c r="AY338" s="70"/>
      <c r="AZ338" s="76"/>
      <c r="BA338" s="76"/>
      <c r="BB338" s="76"/>
      <c r="BC338" s="78"/>
    </row>
    <row r="339" spans="1:55" x14ac:dyDescent="0.25">
      <c r="A339" s="68"/>
      <c r="B339" s="68"/>
      <c r="C339" s="68"/>
      <c r="D339" s="70"/>
      <c r="E339" s="70"/>
      <c r="F339" s="70"/>
      <c r="G339" s="72"/>
      <c r="H339" s="74"/>
      <c r="I339" s="74"/>
      <c r="J339" s="75"/>
      <c r="K339" s="81"/>
      <c r="L339" s="76"/>
      <c r="M339" s="76"/>
      <c r="N339" s="76"/>
      <c r="O339" s="71"/>
      <c r="P339" s="70"/>
      <c r="Q339" s="71"/>
      <c r="R339" s="71"/>
      <c r="S339" s="70"/>
      <c r="T339" s="71"/>
      <c r="U339" s="71"/>
      <c r="V339" s="75"/>
      <c r="W339" s="69"/>
      <c r="X339" s="69"/>
      <c r="Y339" s="69"/>
      <c r="Z339" s="69"/>
      <c r="AA339" s="69"/>
      <c r="AB339" s="69"/>
      <c r="AC339" s="69"/>
      <c r="AD339" s="69"/>
      <c r="AE339" s="76"/>
      <c r="AF339" s="71"/>
      <c r="AG339" s="71"/>
      <c r="AH339" s="71"/>
      <c r="AI339" s="71"/>
      <c r="AJ339" s="71"/>
      <c r="AK339" s="71"/>
      <c r="AL339" s="71"/>
      <c r="AM339" s="71"/>
      <c r="AN339" s="68"/>
      <c r="AO339" s="68"/>
      <c r="AP339" s="70"/>
      <c r="AQ339" s="71"/>
      <c r="AR339" s="77"/>
      <c r="AS339" s="70"/>
      <c r="AT339" s="68"/>
      <c r="AU339" s="70"/>
      <c r="AV339" s="70"/>
      <c r="AW339" s="71"/>
      <c r="AX339" s="71"/>
      <c r="AY339" s="70"/>
      <c r="AZ339" s="76"/>
      <c r="BA339" s="76"/>
      <c r="BB339" s="76"/>
      <c r="BC339" s="78"/>
    </row>
    <row r="340" spans="1:55" x14ac:dyDescent="0.25">
      <c r="A340" s="68"/>
      <c r="B340" s="68"/>
      <c r="C340" s="68"/>
      <c r="D340" s="70"/>
      <c r="E340" s="70"/>
      <c r="F340" s="70"/>
      <c r="G340" s="72"/>
      <c r="H340" s="74"/>
      <c r="I340" s="74"/>
      <c r="J340" s="75"/>
      <c r="K340" s="81"/>
      <c r="L340" s="76"/>
      <c r="M340" s="76"/>
      <c r="N340" s="76"/>
      <c r="O340" s="71"/>
      <c r="P340" s="70"/>
      <c r="Q340" s="71"/>
      <c r="R340" s="71"/>
      <c r="S340" s="70"/>
      <c r="T340" s="71"/>
      <c r="U340" s="71"/>
      <c r="V340" s="75"/>
      <c r="W340" s="69"/>
      <c r="X340" s="69"/>
      <c r="Y340" s="69"/>
      <c r="Z340" s="69"/>
      <c r="AA340" s="69"/>
      <c r="AB340" s="69"/>
      <c r="AC340" s="69"/>
      <c r="AD340" s="69"/>
      <c r="AE340" s="76"/>
      <c r="AF340" s="71"/>
      <c r="AG340" s="71"/>
      <c r="AH340" s="71"/>
      <c r="AI340" s="71"/>
      <c r="AJ340" s="71"/>
      <c r="AK340" s="71"/>
      <c r="AL340" s="71"/>
      <c r="AM340" s="71"/>
      <c r="AN340" s="68"/>
      <c r="AO340" s="68"/>
      <c r="AP340" s="70"/>
      <c r="AQ340" s="71"/>
      <c r="AR340" s="77"/>
      <c r="AS340" s="70"/>
      <c r="AT340" s="68"/>
      <c r="AU340" s="70"/>
      <c r="AV340" s="70"/>
      <c r="AW340" s="71"/>
      <c r="AX340" s="71"/>
      <c r="AY340" s="70"/>
      <c r="AZ340" s="76"/>
      <c r="BA340" s="76"/>
      <c r="BB340" s="76"/>
      <c r="BC340" s="78"/>
    </row>
    <row r="341" spans="1:55" x14ac:dyDescent="0.25">
      <c r="A341" s="68"/>
      <c r="B341" s="68"/>
      <c r="C341" s="68"/>
      <c r="D341" s="70"/>
      <c r="E341" s="70"/>
      <c r="F341" s="70"/>
      <c r="G341" s="72"/>
      <c r="H341" s="74"/>
      <c r="I341" s="74"/>
      <c r="J341" s="75"/>
      <c r="K341" s="81"/>
      <c r="L341" s="76"/>
      <c r="M341" s="76"/>
      <c r="N341" s="76"/>
      <c r="O341" s="71"/>
      <c r="P341" s="70"/>
      <c r="Q341" s="71"/>
      <c r="R341" s="71"/>
      <c r="S341" s="70"/>
      <c r="T341" s="71"/>
      <c r="U341" s="71"/>
      <c r="V341" s="75"/>
      <c r="W341" s="69"/>
      <c r="X341" s="69"/>
      <c r="Y341" s="69"/>
      <c r="Z341" s="69"/>
      <c r="AA341" s="69"/>
      <c r="AB341" s="69"/>
      <c r="AC341" s="69"/>
      <c r="AD341" s="69"/>
      <c r="AE341" s="76"/>
      <c r="AF341" s="71"/>
      <c r="AG341" s="71"/>
      <c r="AH341" s="71"/>
      <c r="AI341" s="71"/>
      <c r="AJ341" s="71"/>
      <c r="AK341" s="71"/>
      <c r="AL341" s="71"/>
      <c r="AM341" s="71"/>
      <c r="AN341" s="68"/>
      <c r="AO341" s="68"/>
      <c r="AP341" s="70"/>
      <c r="AQ341" s="71"/>
      <c r="AR341" s="77"/>
      <c r="AS341" s="70"/>
      <c r="AT341" s="68"/>
      <c r="AU341" s="70"/>
      <c r="AV341" s="70"/>
      <c r="AW341" s="71"/>
      <c r="AX341" s="71"/>
      <c r="AY341" s="70"/>
      <c r="AZ341" s="76"/>
      <c r="BA341" s="76"/>
      <c r="BB341" s="76"/>
      <c r="BC341" s="78"/>
    </row>
    <row r="342" spans="1:55" x14ac:dyDescent="0.25">
      <c r="A342" s="68"/>
      <c r="B342" s="68"/>
      <c r="C342" s="68"/>
      <c r="D342" s="70"/>
      <c r="E342" s="70"/>
      <c r="F342" s="70"/>
      <c r="G342" s="72"/>
      <c r="H342" s="74"/>
      <c r="I342" s="74"/>
      <c r="J342" s="75"/>
      <c r="K342" s="81"/>
      <c r="L342" s="76"/>
      <c r="M342" s="76"/>
      <c r="N342" s="76"/>
      <c r="O342" s="71"/>
      <c r="P342" s="70"/>
      <c r="Q342" s="71"/>
      <c r="R342" s="71"/>
      <c r="S342" s="70"/>
      <c r="T342" s="71"/>
      <c r="U342" s="71"/>
      <c r="V342" s="75"/>
      <c r="W342" s="69"/>
      <c r="X342" s="69"/>
      <c r="Y342" s="69"/>
      <c r="Z342" s="69"/>
      <c r="AA342" s="69"/>
      <c r="AB342" s="69"/>
      <c r="AC342" s="69"/>
      <c r="AD342" s="69"/>
      <c r="AE342" s="76"/>
      <c r="AF342" s="71"/>
      <c r="AG342" s="71"/>
      <c r="AH342" s="71"/>
      <c r="AI342" s="71"/>
      <c r="AJ342" s="71"/>
      <c r="AK342" s="71"/>
      <c r="AL342" s="71"/>
      <c r="AM342" s="71"/>
      <c r="AN342" s="68"/>
      <c r="AO342" s="68"/>
      <c r="AP342" s="70"/>
      <c r="AQ342" s="71"/>
      <c r="AR342" s="77"/>
      <c r="AS342" s="70"/>
      <c r="AT342" s="68"/>
      <c r="AU342" s="70"/>
      <c r="AV342" s="70"/>
      <c r="AW342" s="71"/>
      <c r="AX342" s="71"/>
      <c r="AY342" s="70"/>
      <c r="AZ342" s="76"/>
      <c r="BA342" s="76"/>
      <c r="BB342" s="76"/>
      <c r="BC342" s="78"/>
    </row>
    <row r="343" spans="1:55" x14ac:dyDescent="0.25">
      <c r="A343" s="68"/>
      <c r="B343" s="68"/>
      <c r="C343" s="68"/>
      <c r="D343" s="70"/>
      <c r="E343" s="70"/>
      <c r="F343" s="70"/>
      <c r="G343" s="72"/>
      <c r="H343" s="74"/>
      <c r="I343" s="74"/>
      <c r="J343" s="75"/>
      <c r="K343" s="81"/>
      <c r="L343" s="76"/>
      <c r="M343" s="76"/>
      <c r="N343" s="76"/>
      <c r="O343" s="71"/>
      <c r="P343" s="70"/>
      <c r="Q343" s="71"/>
      <c r="R343" s="71"/>
      <c r="S343" s="70"/>
      <c r="T343" s="71"/>
      <c r="U343" s="71"/>
      <c r="V343" s="75"/>
      <c r="W343" s="69"/>
      <c r="X343" s="69"/>
      <c r="Y343" s="69"/>
      <c r="Z343" s="69"/>
      <c r="AA343" s="69"/>
      <c r="AB343" s="69"/>
      <c r="AC343" s="69"/>
      <c r="AD343" s="69"/>
      <c r="AE343" s="76"/>
      <c r="AF343" s="71"/>
      <c r="AG343" s="71"/>
      <c r="AH343" s="71"/>
      <c r="AI343" s="71"/>
      <c r="AJ343" s="71"/>
      <c r="AK343" s="71"/>
      <c r="AL343" s="71"/>
      <c r="AM343" s="71"/>
      <c r="AN343" s="68"/>
      <c r="AO343" s="68"/>
      <c r="AP343" s="70"/>
      <c r="AQ343" s="71"/>
      <c r="AR343" s="77"/>
      <c r="AS343" s="70"/>
      <c r="AT343" s="68"/>
      <c r="AU343" s="70"/>
      <c r="AV343" s="70"/>
      <c r="AW343" s="71"/>
      <c r="AX343" s="71"/>
      <c r="AY343" s="70"/>
      <c r="AZ343" s="76"/>
      <c r="BA343" s="76"/>
      <c r="BB343" s="76"/>
      <c r="BC343" s="78"/>
    </row>
    <row r="344" spans="1:55" x14ac:dyDescent="0.25">
      <c r="A344" s="68"/>
      <c r="B344" s="68"/>
      <c r="C344" s="68"/>
      <c r="D344" s="70"/>
      <c r="E344" s="70"/>
      <c r="F344" s="70"/>
      <c r="G344" s="72"/>
      <c r="H344" s="74"/>
      <c r="I344" s="74"/>
      <c r="J344" s="75"/>
      <c r="K344" s="81"/>
      <c r="L344" s="76"/>
      <c r="M344" s="76"/>
      <c r="N344" s="76"/>
      <c r="O344" s="71"/>
      <c r="P344" s="70"/>
      <c r="Q344" s="71"/>
      <c r="R344" s="71"/>
      <c r="S344" s="70"/>
      <c r="T344" s="71"/>
      <c r="U344" s="71"/>
      <c r="V344" s="75"/>
      <c r="W344" s="69"/>
      <c r="X344" s="69"/>
      <c r="Y344" s="69"/>
      <c r="Z344" s="69"/>
      <c r="AA344" s="69"/>
      <c r="AB344" s="69"/>
      <c r="AC344" s="69"/>
      <c r="AD344" s="69"/>
      <c r="AE344" s="76"/>
      <c r="AF344" s="71"/>
      <c r="AG344" s="71"/>
      <c r="AH344" s="71"/>
      <c r="AI344" s="71"/>
      <c r="AJ344" s="71"/>
      <c r="AK344" s="71"/>
      <c r="AL344" s="71"/>
      <c r="AM344" s="71"/>
      <c r="AN344" s="68"/>
      <c r="AO344" s="68"/>
      <c r="AP344" s="70"/>
      <c r="AQ344" s="71"/>
      <c r="AR344" s="77"/>
      <c r="AS344" s="70"/>
      <c r="AT344" s="68"/>
      <c r="AU344" s="70"/>
      <c r="AV344" s="70"/>
      <c r="AW344" s="71"/>
      <c r="AX344" s="71"/>
      <c r="AY344" s="70"/>
      <c r="AZ344" s="76"/>
      <c r="BA344" s="76"/>
      <c r="BB344" s="76"/>
      <c r="BC344" s="78"/>
    </row>
    <row r="345" spans="1:55" x14ac:dyDescent="0.25">
      <c r="A345" s="68"/>
      <c r="B345" s="68"/>
      <c r="C345" s="68"/>
      <c r="D345" s="70"/>
      <c r="E345" s="70"/>
      <c r="F345" s="70"/>
      <c r="G345" s="72"/>
      <c r="H345" s="74"/>
      <c r="I345" s="74"/>
      <c r="J345" s="75"/>
      <c r="K345" s="81"/>
      <c r="L345" s="76"/>
      <c r="M345" s="76"/>
      <c r="N345" s="76"/>
      <c r="O345" s="71"/>
      <c r="P345" s="70"/>
      <c r="Q345" s="71"/>
      <c r="R345" s="71"/>
      <c r="S345" s="70"/>
      <c r="T345" s="71"/>
      <c r="U345" s="71"/>
      <c r="V345" s="75"/>
      <c r="W345" s="69"/>
      <c r="X345" s="69"/>
      <c r="Y345" s="69"/>
      <c r="Z345" s="69"/>
      <c r="AA345" s="69"/>
      <c r="AB345" s="69"/>
      <c r="AC345" s="69"/>
      <c r="AD345" s="69"/>
      <c r="AE345" s="76"/>
      <c r="AF345" s="71"/>
      <c r="AG345" s="71"/>
      <c r="AH345" s="71"/>
      <c r="AI345" s="71"/>
      <c r="AJ345" s="71"/>
      <c r="AK345" s="71"/>
      <c r="AL345" s="71"/>
      <c r="AM345" s="71"/>
      <c r="AN345" s="68"/>
      <c r="AO345" s="68"/>
      <c r="AP345" s="70"/>
      <c r="AQ345" s="71"/>
      <c r="AR345" s="77"/>
      <c r="AS345" s="70"/>
      <c r="AT345" s="68"/>
      <c r="AU345" s="70"/>
      <c r="AV345" s="70"/>
      <c r="AW345" s="71"/>
      <c r="AX345" s="71"/>
      <c r="AY345" s="70"/>
      <c r="AZ345" s="76"/>
      <c r="BA345" s="76"/>
      <c r="BB345" s="76"/>
      <c r="BC345" s="78"/>
    </row>
    <row r="346" spans="1:55" x14ac:dyDescent="0.25">
      <c r="A346" s="68"/>
      <c r="B346" s="68"/>
      <c r="C346" s="68"/>
      <c r="D346" s="70"/>
      <c r="E346" s="70"/>
      <c r="F346" s="70"/>
      <c r="G346" s="72"/>
      <c r="H346" s="74"/>
      <c r="I346" s="74"/>
      <c r="J346" s="75"/>
      <c r="K346" s="81"/>
      <c r="L346" s="76"/>
      <c r="M346" s="76"/>
      <c r="N346" s="76"/>
      <c r="O346" s="71"/>
      <c r="P346" s="70"/>
      <c r="Q346" s="71"/>
      <c r="R346" s="71"/>
      <c r="S346" s="70"/>
      <c r="T346" s="71"/>
      <c r="U346" s="71"/>
      <c r="V346" s="75"/>
      <c r="W346" s="69"/>
      <c r="X346" s="69"/>
      <c r="Y346" s="69"/>
      <c r="Z346" s="69"/>
      <c r="AA346" s="69"/>
      <c r="AB346" s="69"/>
      <c r="AC346" s="69"/>
      <c r="AD346" s="69"/>
      <c r="AE346" s="76"/>
      <c r="AF346" s="71"/>
      <c r="AG346" s="71"/>
      <c r="AH346" s="71"/>
      <c r="AI346" s="71"/>
      <c r="AJ346" s="71"/>
      <c r="AK346" s="71"/>
      <c r="AL346" s="71"/>
      <c r="AM346" s="71"/>
      <c r="AN346" s="68"/>
      <c r="AO346" s="68"/>
      <c r="AP346" s="70"/>
      <c r="AQ346" s="71"/>
      <c r="AR346" s="77"/>
      <c r="AS346" s="70"/>
      <c r="AT346" s="68"/>
      <c r="AU346" s="70"/>
      <c r="AV346" s="70"/>
      <c r="AW346" s="71"/>
      <c r="AX346" s="71"/>
      <c r="AY346" s="70"/>
      <c r="AZ346" s="76"/>
      <c r="BA346" s="76"/>
      <c r="BB346" s="76"/>
      <c r="BC346" s="78"/>
    </row>
    <row r="347" spans="1:55" x14ac:dyDescent="0.25">
      <c r="A347" s="68"/>
      <c r="B347" s="68"/>
      <c r="C347" s="68"/>
      <c r="D347" s="70"/>
      <c r="E347" s="70"/>
      <c r="F347" s="70"/>
      <c r="G347" s="72"/>
      <c r="H347" s="74"/>
      <c r="I347" s="74"/>
      <c r="J347" s="75"/>
      <c r="K347" s="81"/>
      <c r="L347" s="76"/>
      <c r="M347" s="76"/>
      <c r="N347" s="76"/>
      <c r="O347" s="71"/>
      <c r="P347" s="70"/>
      <c r="Q347" s="71"/>
      <c r="R347" s="71"/>
      <c r="S347" s="70"/>
      <c r="T347" s="71"/>
      <c r="U347" s="71"/>
      <c r="V347" s="75"/>
      <c r="W347" s="69"/>
      <c r="X347" s="69"/>
      <c r="Y347" s="69"/>
      <c r="Z347" s="69"/>
      <c r="AA347" s="69"/>
      <c r="AB347" s="69"/>
      <c r="AC347" s="69"/>
      <c r="AD347" s="69"/>
      <c r="AE347" s="76"/>
      <c r="AF347" s="71"/>
      <c r="AG347" s="71"/>
      <c r="AH347" s="71"/>
      <c r="AI347" s="71"/>
      <c r="AJ347" s="71"/>
      <c r="AK347" s="71"/>
      <c r="AL347" s="71"/>
      <c r="AM347" s="71"/>
      <c r="AN347" s="68"/>
      <c r="AO347" s="68"/>
      <c r="AP347" s="70"/>
      <c r="AQ347" s="71"/>
      <c r="AR347" s="77"/>
      <c r="AS347" s="70"/>
      <c r="AT347" s="68"/>
      <c r="AU347" s="70"/>
      <c r="AV347" s="70"/>
      <c r="AW347" s="71"/>
      <c r="AX347" s="71"/>
      <c r="AY347" s="70"/>
      <c r="AZ347" s="76"/>
      <c r="BA347" s="76"/>
      <c r="BB347" s="76"/>
      <c r="BC347" s="78"/>
    </row>
    <row r="348" spans="1:55" x14ac:dyDescent="0.25">
      <c r="A348" s="68"/>
      <c r="B348" s="68"/>
      <c r="C348" s="68"/>
      <c r="D348" s="70"/>
      <c r="E348" s="70"/>
      <c r="F348" s="70"/>
      <c r="G348" s="72"/>
      <c r="H348" s="74"/>
      <c r="I348" s="74"/>
      <c r="J348" s="75"/>
      <c r="K348" s="81"/>
      <c r="L348" s="76"/>
      <c r="M348" s="76"/>
      <c r="N348" s="76"/>
      <c r="O348" s="71"/>
      <c r="P348" s="70"/>
      <c r="Q348" s="71"/>
      <c r="R348" s="71"/>
      <c r="S348" s="70"/>
      <c r="T348" s="71"/>
      <c r="U348" s="71"/>
      <c r="V348" s="75"/>
      <c r="W348" s="69"/>
      <c r="X348" s="69"/>
      <c r="Y348" s="69"/>
      <c r="Z348" s="69"/>
      <c r="AA348" s="69"/>
      <c r="AB348" s="69"/>
      <c r="AC348" s="69"/>
      <c r="AD348" s="69"/>
      <c r="AE348" s="76"/>
      <c r="AF348" s="71"/>
      <c r="AG348" s="71"/>
      <c r="AH348" s="71"/>
      <c r="AI348" s="71"/>
      <c r="AJ348" s="71"/>
      <c r="AK348" s="71"/>
      <c r="AL348" s="71"/>
      <c r="AM348" s="71"/>
      <c r="AN348" s="68"/>
      <c r="AO348" s="68"/>
      <c r="AP348" s="70"/>
      <c r="AQ348" s="71"/>
      <c r="AR348" s="77"/>
      <c r="AS348" s="70"/>
      <c r="AT348" s="68"/>
      <c r="AU348" s="70"/>
      <c r="AV348" s="70"/>
      <c r="AW348" s="71"/>
      <c r="AX348" s="71"/>
      <c r="AY348" s="70"/>
      <c r="AZ348" s="76"/>
      <c r="BA348" s="76"/>
      <c r="BB348" s="76"/>
      <c r="BC348" s="78"/>
    </row>
    <row r="349" spans="1:55" x14ac:dyDescent="0.25">
      <c r="A349" s="68"/>
      <c r="B349" s="68"/>
      <c r="C349" s="68"/>
      <c r="D349" s="70"/>
      <c r="E349" s="70"/>
      <c r="F349" s="70"/>
      <c r="G349" s="72"/>
      <c r="H349" s="74"/>
      <c r="I349" s="74"/>
      <c r="J349" s="75"/>
      <c r="K349" s="81"/>
      <c r="L349" s="76"/>
      <c r="M349" s="76"/>
      <c r="N349" s="76"/>
      <c r="O349" s="71"/>
      <c r="P349" s="70"/>
      <c r="Q349" s="71"/>
      <c r="R349" s="71"/>
      <c r="S349" s="70"/>
      <c r="T349" s="71"/>
      <c r="U349" s="71"/>
      <c r="V349" s="75"/>
      <c r="W349" s="69"/>
      <c r="X349" s="69"/>
      <c r="Y349" s="69"/>
      <c r="Z349" s="69"/>
      <c r="AA349" s="69"/>
      <c r="AB349" s="69"/>
      <c r="AC349" s="69"/>
      <c r="AD349" s="69"/>
      <c r="AE349" s="76"/>
      <c r="AF349" s="71"/>
      <c r="AG349" s="71"/>
      <c r="AH349" s="71"/>
      <c r="AI349" s="71"/>
      <c r="AJ349" s="71"/>
      <c r="AK349" s="71"/>
      <c r="AL349" s="71"/>
      <c r="AM349" s="71"/>
      <c r="AN349" s="68"/>
      <c r="AO349" s="68"/>
      <c r="AP349" s="70"/>
      <c r="AQ349" s="71"/>
      <c r="AR349" s="77"/>
      <c r="AS349" s="70"/>
      <c r="AT349" s="68"/>
      <c r="AU349" s="70"/>
      <c r="AV349" s="70"/>
      <c r="AW349" s="71"/>
      <c r="AX349" s="71"/>
      <c r="AY349" s="70"/>
      <c r="AZ349" s="76"/>
      <c r="BA349" s="76"/>
      <c r="BB349" s="76"/>
      <c r="BC349" s="78"/>
    </row>
    <row r="350" spans="1:55" x14ac:dyDescent="0.25">
      <c r="A350" s="68"/>
      <c r="B350" s="68"/>
      <c r="C350" s="68"/>
      <c r="D350" s="70"/>
      <c r="E350" s="70"/>
      <c r="F350" s="70"/>
      <c r="G350" s="72"/>
      <c r="H350" s="74"/>
      <c r="I350" s="74"/>
      <c r="J350" s="75"/>
      <c r="K350" s="81"/>
      <c r="L350" s="76"/>
      <c r="M350" s="76"/>
      <c r="N350" s="76"/>
      <c r="O350" s="71"/>
      <c r="P350" s="70"/>
      <c r="Q350" s="71"/>
      <c r="R350" s="71"/>
      <c r="S350" s="70"/>
      <c r="T350" s="71"/>
      <c r="U350" s="71"/>
      <c r="V350" s="75"/>
      <c r="W350" s="69"/>
      <c r="X350" s="69"/>
      <c r="Y350" s="69"/>
      <c r="Z350" s="69"/>
      <c r="AA350" s="69"/>
      <c r="AB350" s="69"/>
      <c r="AC350" s="69"/>
      <c r="AD350" s="69"/>
      <c r="AE350" s="76"/>
      <c r="AF350" s="71"/>
      <c r="AG350" s="71"/>
      <c r="AH350" s="71"/>
      <c r="AI350" s="71"/>
      <c r="AJ350" s="71"/>
      <c r="AK350" s="71"/>
      <c r="AL350" s="71"/>
      <c r="AM350" s="71"/>
      <c r="AN350" s="68"/>
      <c r="AO350" s="68"/>
      <c r="AP350" s="70"/>
      <c r="AQ350" s="71"/>
      <c r="AR350" s="77"/>
      <c r="AS350" s="70"/>
      <c r="AT350" s="68"/>
      <c r="AU350" s="70"/>
      <c r="AV350" s="70"/>
      <c r="AW350" s="71"/>
      <c r="AX350" s="71"/>
      <c r="AY350" s="70"/>
      <c r="AZ350" s="76"/>
      <c r="BA350" s="76"/>
      <c r="BB350" s="76"/>
      <c r="BC350" s="78"/>
    </row>
    <row r="351" spans="1:55" x14ac:dyDescent="0.25">
      <c r="A351" s="68"/>
      <c r="B351" s="68"/>
      <c r="C351" s="68"/>
      <c r="D351" s="70"/>
      <c r="E351" s="70"/>
      <c r="F351" s="70"/>
      <c r="G351" s="72"/>
      <c r="H351" s="74"/>
      <c r="I351" s="74"/>
      <c r="J351" s="75"/>
      <c r="K351" s="81"/>
      <c r="L351" s="76"/>
      <c r="M351" s="76"/>
      <c r="N351" s="76"/>
      <c r="O351" s="71"/>
      <c r="P351" s="70"/>
      <c r="Q351" s="71"/>
      <c r="R351" s="71"/>
      <c r="S351" s="70"/>
      <c r="T351" s="71"/>
      <c r="U351" s="71"/>
      <c r="V351" s="75"/>
      <c r="W351" s="69"/>
      <c r="X351" s="69"/>
      <c r="Y351" s="69"/>
      <c r="Z351" s="69"/>
      <c r="AA351" s="69"/>
      <c r="AB351" s="69"/>
      <c r="AC351" s="69"/>
      <c r="AD351" s="69"/>
      <c r="AE351" s="76"/>
      <c r="AF351" s="71"/>
      <c r="AG351" s="71"/>
      <c r="AH351" s="71"/>
      <c r="AI351" s="71"/>
      <c r="AJ351" s="71"/>
      <c r="AK351" s="71"/>
      <c r="AL351" s="71"/>
      <c r="AM351" s="71"/>
      <c r="AN351" s="68"/>
      <c r="AO351" s="68"/>
      <c r="AP351" s="70"/>
      <c r="AQ351" s="71"/>
      <c r="AR351" s="77"/>
      <c r="AS351" s="70"/>
      <c r="AT351" s="68"/>
      <c r="AU351" s="70"/>
      <c r="AV351" s="70"/>
      <c r="AW351" s="71"/>
      <c r="AX351" s="71"/>
      <c r="AY351" s="70"/>
      <c r="AZ351" s="76"/>
      <c r="BA351" s="76"/>
      <c r="BB351" s="76"/>
      <c r="BC351" s="78"/>
    </row>
    <row r="352" spans="1:55" x14ac:dyDescent="0.25">
      <c r="A352" s="68"/>
      <c r="B352" s="68"/>
      <c r="C352" s="68"/>
      <c r="D352" s="70"/>
      <c r="E352" s="70"/>
      <c r="F352" s="70"/>
      <c r="G352" s="72"/>
      <c r="H352" s="74"/>
      <c r="I352" s="74"/>
      <c r="J352" s="75"/>
      <c r="K352" s="81"/>
      <c r="L352" s="76"/>
      <c r="M352" s="76"/>
      <c r="N352" s="76"/>
      <c r="O352" s="71"/>
      <c r="P352" s="70"/>
      <c r="Q352" s="71"/>
      <c r="R352" s="71"/>
      <c r="S352" s="70"/>
      <c r="T352" s="71"/>
      <c r="U352" s="71"/>
      <c r="V352" s="75"/>
      <c r="W352" s="69"/>
      <c r="X352" s="69"/>
      <c r="Y352" s="69"/>
      <c r="Z352" s="69"/>
      <c r="AA352" s="69"/>
      <c r="AB352" s="69"/>
      <c r="AC352" s="69"/>
      <c r="AD352" s="69"/>
      <c r="AE352" s="76"/>
      <c r="AF352" s="71"/>
      <c r="AG352" s="71"/>
      <c r="AH352" s="71"/>
      <c r="AI352" s="71"/>
      <c r="AJ352" s="71"/>
      <c r="AK352" s="71"/>
      <c r="AL352" s="71"/>
      <c r="AM352" s="71"/>
      <c r="AN352" s="68"/>
      <c r="AO352" s="68"/>
      <c r="AP352" s="70"/>
      <c r="AQ352" s="71"/>
      <c r="AR352" s="77"/>
      <c r="AS352" s="70"/>
      <c r="AT352" s="68"/>
      <c r="AU352" s="70"/>
      <c r="AV352" s="70"/>
      <c r="AW352" s="71"/>
      <c r="AX352" s="71"/>
      <c r="AY352" s="70"/>
      <c r="AZ352" s="76"/>
      <c r="BA352" s="76"/>
      <c r="BB352" s="76"/>
      <c r="BC352" s="78"/>
    </row>
    <row r="353" spans="1:55" x14ac:dyDescent="0.25">
      <c r="A353" s="68"/>
      <c r="B353" s="68"/>
      <c r="C353" s="68"/>
      <c r="D353" s="70"/>
      <c r="E353" s="70"/>
      <c r="F353" s="70"/>
      <c r="G353" s="72"/>
      <c r="H353" s="74"/>
      <c r="I353" s="74"/>
      <c r="J353" s="75"/>
      <c r="K353" s="81"/>
      <c r="L353" s="76"/>
      <c r="M353" s="76"/>
      <c r="N353" s="76"/>
      <c r="O353" s="71"/>
      <c r="P353" s="70"/>
      <c r="Q353" s="71"/>
      <c r="R353" s="71"/>
      <c r="S353" s="70"/>
      <c r="T353" s="71"/>
      <c r="U353" s="71"/>
      <c r="V353" s="75"/>
      <c r="W353" s="69"/>
      <c r="X353" s="69"/>
      <c r="Y353" s="69"/>
      <c r="Z353" s="69"/>
      <c r="AA353" s="69"/>
      <c r="AB353" s="69"/>
      <c r="AC353" s="69"/>
      <c r="AD353" s="69"/>
      <c r="AE353" s="76"/>
      <c r="AF353" s="71"/>
      <c r="AG353" s="71"/>
      <c r="AH353" s="71"/>
      <c r="AI353" s="71"/>
      <c r="AJ353" s="71"/>
      <c r="AK353" s="71"/>
      <c r="AL353" s="71"/>
      <c r="AM353" s="71"/>
      <c r="AN353" s="68"/>
      <c r="AO353" s="68"/>
      <c r="AP353" s="70"/>
      <c r="AQ353" s="71"/>
      <c r="AR353" s="77"/>
      <c r="AS353" s="70"/>
      <c r="AT353" s="68"/>
      <c r="AU353" s="70"/>
      <c r="AV353" s="70"/>
      <c r="AW353" s="71"/>
      <c r="AX353" s="71"/>
      <c r="AY353" s="70"/>
      <c r="AZ353" s="76"/>
      <c r="BA353" s="76"/>
      <c r="BB353" s="76"/>
      <c r="BC353" s="78"/>
    </row>
    <row r="354" spans="1:55" x14ac:dyDescent="0.25">
      <c r="A354" s="68"/>
      <c r="B354" s="68"/>
      <c r="C354" s="68"/>
      <c r="D354" s="70"/>
      <c r="E354" s="70"/>
      <c r="F354" s="70"/>
      <c r="G354" s="72"/>
      <c r="H354" s="74"/>
      <c r="I354" s="74"/>
      <c r="J354" s="75"/>
      <c r="K354" s="81"/>
      <c r="L354" s="76"/>
      <c r="M354" s="76"/>
      <c r="N354" s="76"/>
      <c r="O354" s="71"/>
      <c r="P354" s="70"/>
      <c r="Q354" s="71"/>
      <c r="R354" s="71"/>
      <c r="S354" s="70"/>
      <c r="T354" s="71"/>
      <c r="U354" s="71"/>
      <c r="V354" s="75"/>
      <c r="W354" s="69"/>
      <c r="X354" s="69"/>
      <c r="Y354" s="69"/>
      <c r="Z354" s="69"/>
      <c r="AA354" s="69"/>
      <c r="AB354" s="69"/>
      <c r="AC354" s="69"/>
      <c r="AD354" s="69"/>
      <c r="AE354" s="76"/>
      <c r="AF354" s="71"/>
      <c r="AG354" s="71"/>
      <c r="AH354" s="71"/>
      <c r="AI354" s="71"/>
      <c r="AJ354" s="71"/>
      <c r="AK354" s="71"/>
      <c r="AL354" s="71"/>
      <c r="AM354" s="71"/>
      <c r="AN354" s="68"/>
      <c r="AO354" s="68"/>
      <c r="AP354" s="70"/>
      <c r="AQ354" s="71"/>
      <c r="AR354" s="77"/>
      <c r="AS354" s="70"/>
      <c r="AT354" s="68"/>
      <c r="AU354" s="70"/>
      <c r="AV354" s="70"/>
      <c r="AW354" s="71"/>
      <c r="AX354" s="71"/>
      <c r="AY354" s="70"/>
      <c r="AZ354" s="76"/>
      <c r="BA354" s="76"/>
      <c r="BB354" s="76"/>
      <c r="BC354" s="78"/>
    </row>
    <row r="355" spans="1:55" x14ac:dyDescent="0.25">
      <c r="A355" s="68"/>
      <c r="B355" s="68"/>
      <c r="C355" s="68"/>
      <c r="D355" s="70"/>
      <c r="E355" s="70"/>
      <c r="F355" s="70"/>
      <c r="G355" s="72"/>
      <c r="H355" s="74"/>
      <c r="I355" s="74"/>
      <c r="J355" s="75"/>
      <c r="K355" s="81"/>
      <c r="L355" s="76"/>
      <c r="M355" s="76"/>
      <c r="N355" s="76"/>
      <c r="O355" s="71"/>
      <c r="P355" s="70"/>
      <c r="Q355" s="71"/>
      <c r="R355" s="71"/>
      <c r="S355" s="70"/>
      <c r="T355" s="71"/>
      <c r="U355" s="71"/>
      <c r="V355" s="75"/>
      <c r="W355" s="69"/>
      <c r="X355" s="69"/>
      <c r="Y355" s="69"/>
      <c r="Z355" s="69"/>
      <c r="AA355" s="69"/>
      <c r="AB355" s="69"/>
      <c r="AC355" s="69"/>
      <c r="AD355" s="69"/>
      <c r="AE355" s="76"/>
      <c r="AF355" s="71"/>
      <c r="AG355" s="71"/>
      <c r="AH355" s="71"/>
      <c r="AI355" s="71"/>
      <c r="AJ355" s="71"/>
      <c r="AK355" s="71"/>
      <c r="AL355" s="71"/>
      <c r="AM355" s="71"/>
      <c r="AN355" s="68"/>
      <c r="AO355" s="68"/>
      <c r="AP355" s="70"/>
      <c r="AQ355" s="71"/>
      <c r="AR355" s="77"/>
      <c r="AS355" s="70"/>
      <c r="AT355" s="68"/>
      <c r="AU355" s="70"/>
      <c r="AV355" s="70"/>
      <c r="AW355" s="71"/>
      <c r="AX355" s="71"/>
      <c r="AY355" s="70"/>
      <c r="AZ355" s="76"/>
      <c r="BA355" s="76"/>
      <c r="BB355" s="76"/>
      <c r="BC355" s="78"/>
    </row>
    <row r="356" spans="1:55" x14ac:dyDescent="0.25">
      <c r="A356" s="68"/>
      <c r="B356" s="68"/>
      <c r="C356" s="68"/>
      <c r="D356" s="70"/>
      <c r="E356" s="70"/>
      <c r="F356" s="70"/>
      <c r="G356" s="72"/>
      <c r="H356" s="74"/>
      <c r="I356" s="74"/>
      <c r="J356" s="75"/>
      <c r="K356" s="81"/>
      <c r="L356" s="76"/>
      <c r="M356" s="76"/>
      <c r="N356" s="76"/>
      <c r="O356" s="71"/>
      <c r="P356" s="70"/>
      <c r="Q356" s="71"/>
      <c r="R356" s="71"/>
      <c r="S356" s="70"/>
      <c r="T356" s="71"/>
      <c r="U356" s="71"/>
      <c r="V356" s="75"/>
      <c r="W356" s="69"/>
      <c r="X356" s="69"/>
      <c r="Y356" s="69"/>
      <c r="Z356" s="69"/>
      <c r="AA356" s="69"/>
      <c r="AB356" s="69"/>
      <c r="AC356" s="69"/>
      <c r="AD356" s="69"/>
      <c r="AE356" s="76"/>
      <c r="AF356" s="71"/>
      <c r="AG356" s="71"/>
      <c r="AH356" s="71"/>
      <c r="AI356" s="71"/>
      <c r="AJ356" s="71"/>
      <c r="AK356" s="71"/>
      <c r="AL356" s="71"/>
      <c r="AM356" s="71"/>
      <c r="AN356" s="68"/>
      <c r="AO356" s="68"/>
      <c r="AP356" s="70"/>
      <c r="AQ356" s="71"/>
      <c r="AR356" s="77"/>
      <c r="AS356" s="70"/>
      <c r="AT356" s="68"/>
      <c r="AU356" s="70"/>
      <c r="AV356" s="70"/>
      <c r="AW356" s="71"/>
      <c r="AX356" s="71"/>
      <c r="AY356" s="70"/>
      <c r="AZ356" s="76"/>
      <c r="BA356" s="76"/>
      <c r="BB356" s="76"/>
      <c r="BC356" s="78"/>
    </row>
    <row r="357" spans="1:55" x14ac:dyDescent="0.25">
      <c r="A357" s="68"/>
      <c r="B357" s="68"/>
      <c r="C357" s="68"/>
      <c r="D357" s="70"/>
      <c r="E357" s="70"/>
      <c r="F357" s="70"/>
      <c r="G357" s="72"/>
      <c r="H357" s="74"/>
      <c r="I357" s="74"/>
      <c r="J357" s="75"/>
      <c r="K357" s="81"/>
      <c r="L357" s="76"/>
      <c r="M357" s="76"/>
      <c r="N357" s="76"/>
      <c r="O357" s="71"/>
      <c r="P357" s="70"/>
      <c r="Q357" s="71"/>
      <c r="R357" s="71"/>
      <c r="S357" s="70"/>
      <c r="T357" s="71"/>
      <c r="U357" s="71"/>
      <c r="V357" s="75"/>
      <c r="W357" s="69"/>
      <c r="X357" s="69"/>
      <c r="Y357" s="69"/>
      <c r="Z357" s="69"/>
      <c r="AA357" s="69"/>
      <c r="AB357" s="69"/>
      <c r="AC357" s="69"/>
      <c r="AD357" s="69"/>
      <c r="AE357" s="76"/>
      <c r="AF357" s="71"/>
      <c r="AG357" s="71"/>
      <c r="AH357" s="71"/>
      <c r="AI357" s="71"/>
      <c r="AJ357" s="71"/>
      <c r="AK357" s="71"/>
      <c r="AL357" s="71"/>
      <c r="AM357" s="71"/>
      <c r="AN357" s="68"/>
      <c r="AO357" s="68"/>
      <c r="AP357" s="70"/>
      <c r="AQ357" s="71"/>
      <c r="AR357" s="77"/>
      <c r="AS357" s="70"/>
      <c r="AT357" s="68"/>
      <c r="AU357" s="70"/>
      <c r="AV357" s="70"/>
      <c r="AW357" s="71"/>
      <c r="AX357" s="71"/>
      <c r="AY357" s="70"/>
      <c r="AZ357" s="76"/>
      <c r="BA357" s="76"/>
      <c r="BB357" s="76"/>
      <c r="BC357" s="78"/>
    </row>
    <row r="358" spans="1:55" x14ac:dyDescent="0.25">
      <c r="A358" s="68"/>
      <c r="B358" s="68"/>
      <c r="C358" s="68"/>
      <c r="D358" s="70"/>
      <c r="E358" s="70"/>
      <c r="F358" s="70"/>
      <c r="G358" s="72"/>
      <c r="H358" s="74"/>
      <c r="I358" s="74"/>
      <c r="J358" s="75"/>
      <c r="K358" s="81"/>
      <c r="L358" s="76"/>
      <c r="M358" s="76"/>
      <c r="N358" s="76"/>
      <c r="O358" s="71"/>
      <c r="P358" s="70"/>
      <c r="Q358" s="71"/>
      <c r="R358" s="71"/>
      <c r="S358" s="70"/>
      <c r="T358" s="71"/>
      <c r="U358" s="71"/>
      <c r="V358" s="75"/>
      <c r="W358" s="69"/>
      <c r="X358" s="69"/>
      <c r="Y358" s="69"/>
      <c r="Z358" s="69"/>
      <c r="AA358" s="69"/>
      <c r="AB358" s="69"/>
      <c r="AC358" s="69"/>
      <c r="AD358" s="69"/>
      <c r="AE358" s="76"/>
      <c r="AF358" s="71"/>
      <c r="AG358" s="71"/>
      <c r="AH358" s="71"/>
      <c r="AI358" s="71"/>
      <c r="AJ358" s="71"/>
      <c r="AK358" s="71"/>
      <c r="AL358" s="71"/>
      <c r="AM358" s="71"/>
      <c r="AN358" s="68"/>
      <c r="AO358" s="68"/>
      <c r="AP358" s="70"/>
      <c r="AQ358" s="71"/>
      <c r="AR358" s="77"/>
      <c r="AS358" s="70"/>
      <c r="AT358" s="68"/>
      <c r="AU358" s="70"/>
      <c r="AV358" s="70"/>
      <c r="AW358" s="71"/>
      <c r="AX358" s="71"/>
      <c r="AY358" s="70"/>
      <c r="AZ358" s="76"/>
      <c r="BA358" s="76"/>
      <c r="BB358" s="76"/>
      <c r="BC358" s="78"/>
    </row>
    <row r="359" spans="1:55" x14ac:dyDescent="0.25">
      <c r="A359" s="68"/>
      <c r="B359" s="68"/>
      <c r="C359" s="68"/>
      <c r="D359" s="70"/>
      <c r="E359" s="70"/>
      <c r="F359" s="70"/>
      <c r="G359" s="72"/>
      <c r="H359" s="74"/>
      <c r="I359" s="74"/>
      <c r="J359" s="75"/>
      <c r="K359" s="81"/>
      <c r="L359" s="76"/>
      <c r="M359" s="76"/>
      <c r="N359" s="76"/>
      <c r="O359" s="71"/>
      <c r="P359" s="70"/>
      <c r="Q359" s="71"/>
      <c r="R359" s="71"/>
      <c r="S359" s="70"/>
      <c r="T359" s="71"/>
      <c r="U359" s="71"/>
      <c r="V359" s="75"/>
      <c r="W359" s="69"/>
      <c r="X359" s="69"/>
      <c r="Y359" s="69"/>
      <c r="Z359" s="69"/>
      <c r="AA359" s="69"/>
      <c r="AB359" s="69"/>
      <c r="AC359" s="69"/>
      <c r="AD359" s="69"/>
      <c r="AE359" s="76"/>
      <c r="AF359" s="71"/>
      <c r="AG359" s="71"/>
      <c r="AH359" s="71"/>
      <c r="AI359" s="71"/>
      <c r="AJ359" s="71"/>
      <c r="AK359" s="71"/>
      <c r="AL359" s="71"/>
      <c r="AM359" s="71"/>
      <c r="AN359" s="68"/>
      <c r="AO359" s="68"/>
      <c r="AP359" s="70"/>
      <c r="AQ359" s="71"/>
      <c r="AR359" s="77"/>
      <c r="AS359" s="70"/>
      <c r="AT359" s="68"/>
      <c r="AU359" s="70"/>
      <c r="AV359" s="70"/>
      <c r="AW359" s="71"/>
      <c r="AX359" s="71"/>
      <c r="AY359" s="70"/>
      <c r="AZ359" s="76"/>
      <c r="BA359" s="76"/>
      <c r="BB359" s="76"/>
      <c r="BC359" s="78"/>
    </row>
    <row r="360" spans="1:55" x14ac:dyDescent="0.25">
      <c r="A360" s="68"/>
      <c r="B360" s="68"/>
      <c r="C360" s="68"/>
      <c r="D360" s="70"/>
      <c r="E360" s="70"/>
      <c r="F360" s="70"/>
      <c r="G360" s="72"/>
      <c r="H360" s="74"/>
      <c r="I360" s="74"/>
      <c r="J360" s="75"/>
      <c r="K360" s="81"/>
      <c r="L360" s="76"/>
      <c r="M360" s="76"/>
      <c r="N360" s="76"/>
      <c r="O360" s="71"/>
      <c r="P360" s="70"/>
      <c r="Q360" s="71"/>
      <c r="R360" s="71"/>
      <c r="S360" s="70"/>
      <c r="T360" s="71"/>
      <c r="U360" s="71"/>
      <c r="V360" s="75"/>
      <c r="W360" s="69"/>
      <c r="X360" s="69"/>
      <c r="Y360" s="69"/>
      <c r="Z360" s="69"/>
      <c r="AA360" s="69"/>
      <c r="AB360" s="69"/>
      <c r="AC360" s="69"/>
      <c r="AD360" s="69"/>
      <c r="AE360" s="76"/>
      <c r="AF360" s="71"/>
      <c r="AG360" s="71"/>
      <c r="AH360" s="71"/>
      <c r="AI360" s="71"/>
      <c r="AJ360" s="71"/>
      <c r="AK360" s="71"/>
      <c r="AL360" s="71"/>
      <c r="AM360" s="71"/>
      <c r="AN360" s="68"/>
      <c r="AO360" s="68"/>
      <c r="AP360" s="70"/>
      <c r="AQ360" s="71"/>
      <c r="AR360" s="77"/>
      <c r="AS360" s="70"/>
      <c r="AT360" s="68"/>
      <c r="AU360" s="70"/>
      <c r="AV360" s="70"/>
      <c r="AW360" s="71"/>
      <c r="AX360" s="71"/>
      <c r="AY360" s="70"/>
      <c r="AZ360" s="76"/>
      <c r="BA360" s="76"/>
      <c r="BB360" s="76"/>
      <c r="BC360" s="78"/>
    </row>
    <row r="361" spans="1:55" x14ac:dyDescent="0.25">
      <c r="A361" s="68"/>
      <c r="B361" s="68"/>
      <c r="C361" s="68"/>
      <c r="D361" s="70"/>
      <c r="E361" s="70"/>
      <c r="F361" s="70"/>
      <c r="G361" s="72"/>
      <c r="H361" s="74"/>
      <c r="I361" s="74"/>
      <c r="J361" s="75"/>
      <c r="K361" s="81"/>
      <c r="L361" s="76"/>
      <c r="M361" s="76"/>
      <c r="N361" s="76"/>
      <c r="O361" s="71"/>
      <c r="P361" s="70"/>
      <c r="Q361" s="71"/>
      <c r="R361" s="71"/>
      <c r="S361" s="70"/>
      <c r="T361" s="71"/>
      <c r="U361" s="71"/>
      <c r="V361" s="75"/>
      <c r="W361" s="69"/>
      <c r="X361" s="69"/>
      <c r="Y361" s="69"/>
      <c r="Z361" s="69"/>
      <c r="AA361" s="69"/>
      <c r="AB361" s="69"/>
      <c r="AC361" s="69"/>
      <c r="AD361" s="69"/>
      <c r="AE361" s="76"/>
      <c r="AF361" s="71"/>
      <c r="AG361" s="71"/>
      <c r="AH361" s="71"/>
      <c r="AI361" s="71"/>
      <c r="AJ361" s="71"/>
      <c r="AK361" s="71"/>
      <c r="AL361" s="71"/>
      <c r="AM361" s="71"/>
      <c r="AN361" s="68"/>
      <c r="AO361" s="68"/>
      <c r="AP361" s="70"/>
      <c r="AQ361" s="71"/>
      <c r="AR361" s="77"/>
      <c r="AS361" s="70"/>
      <c r="AT361" s="68"/>
      <c r="AU361" s="70"/>
      <c r="AV361" s="70"/>
      <c r="AW361" s="71"/>
      <c r="AX361" s="71"/>
      <c r="AY361" s="70"/>
      <c r="AZ361" s="76"/>
      <c r="BA361" s="76"/>
      <c r="BB361" s="76"/>
      <c r="BC361" s="78"/>
    </row>
    <row r="362" spans="1:55" x14ac:dyDescent="0.25">
      <c r="A362" s="68"/>
      <c r="B362" s="68"/>
      <c r="C362" s="68"/>
      <c r="D362" s="70"/>
      <c r="E362" s="70"/>
      <c r="F362" s="70"/>
      <c r="G362" s="72"/>
      <c r="H362" s="74"/>
      <c r="I362" s="74"/>
      <c r="J362" s="75"/>
      <c r="K362" s="81"/>
      <c r="L362" s="76"/>
      <c r="M362" s="76"/>
      <c r="N362" s="76"/>
      <c r="O362" s="71"/>
      <c r="P362" s="70"/>
      <c r="Q362" s="71"/>
      <c r="R362" s="71"/>
      <c r="S362" s="70"/>
      <c r="T362" s="71"/>
      <c r="U362" s="71"/>
      <c r="V362" s="75"/>
      <c r="W362" s="69"/>
      <c r="X362" s="69"/>
      <c r="Y362" s="69"/>
      <c r="Z362" s="69"/>
      <c r="AA362" s="69"/>
      <c r="AB362" s="69"/>
      <c r="AC362" s="69"/>
      <c r="AD362" s="69"/>
      <c r="AE362" s="76"/>
      <c r="AF362" s="71"/>
      <c r="AG362" s="71"/>
      <c r="AH362" s="71"/>
      <c r="AI362" s="71"/>
      <c r="AJ362" s="71"/>
      <c r="AK362" s="71"/>
      <c r="AL362" s="71"/>
      <c r="AM362" s="71"/>
      <c r="AN362" s="68"/>
      <c r="AO362" s="68"/>
      <c r="AP362" s="70"/>
      <c r="AQ362" s="71"/>
      <c r="AR362" s="77"/>
      <c r="AS362" s="70"/>
      <c r="AT362" s="68"/>
      <c r="AU362" s="70"/>
      <c r="AV362" s="70"/>
      <c r="AW362" s="71"/>
      <c r="AX362" s="71"/>
      <c r="AY362" s="70"/>
      <c r="AZ362" s="76"/>
      <c r="BA362" s="76"/>
      <c r="BB362" s="76"/>
      <c r="BC362" s="78"/>
    </row>
    <row r="363" spans="1:55" x14ac:dyDescent="0.25">
      <c r="A363" s="68"/>
      <c r="B363" s="68"/>
      <c r="C363" s="68"/>
      <c r="D363" s="70"/>
      <c r="E363" s="70"/>
      <c r="F363" s="70"/>
      <c r="G363" s="72"/>
      <c r="H363" s="74"/>
      <c r="I363" s="74"/>
      <c r="J363" s="75"/>
      <c r="K363" s="81"/>
      <c r="L363" s="76"/>
      <c r="M363" s="76"/>
      <c r="N363" s="76"/>
      <c r="O363" s="71"/>
      <c r="P363" s="70"/>
      <c r="Q363" s="71"/>
      <c r="R363" s="71"/>
      <c r="S363" s="70"/>
      <c r="T363" s="71"/>
      <c r="U363" s="71"/>
      <c r="V363" s="75"/>
      <c r="W363" s="69"/>
      <c r="X363" s="69"/>
      <c r="Y363" s="69"/>
      <c r="Z363" s="69"/>
      <c r="AA363" s="69"/>
      <c r="AB363" s="69"/>
      <c r="AC363" s="69"/>
      <c r="AD363" s="69"/>
      <c r="AE363" s="76"/>
      <c r="AF363" s="71"/>
      <c r="AG363" s="71"/>
      <c r="AH363" s="71"/>
      <c r="AI363" s="71"/>
      <c r="AJ363" s="71"/>
      <c r="AK363" s="71"/>
      <c r="AL363" s="71"/>
      <c r="AM363" s="71"/>
      <c r="AN363" s="68"/>
      <c r="AO363" s="68"/>
      <c r="AP363" s="70"/>
      <c r="AQ363" s="71"/>
      <c r="AR363" s="77"/>
      <c r="AS363" s="70"/>
      <c r="AT363" s="68"/>
      <c r="AU363" s="70"/>
      <c r="AV363" s="70"/>
      <c r="AW363" s="71"/>
      <c r="AX363" s="71"/>
      <c r="AY363" s="70"/>
      <c r="AZ363" s="76"/>
      <c r="BA363" s="76"/>
      <c r="BB363" s="76"/>
      <c r="BC363" s="78"/>
    </row>
    <row r="364" spans="1:55" x14ac:dyDescent="0.25">
      <c r="A364" s="68"/>
      <c r="B364" s="68"/>
      <c r="C364" s="68"/>
      <c r="D364" s="70"/>
      <c r="E364" s="70"/>
      <c r="F364" s="70"/>
      <c r="G364" s="72"/>
      <c r="H364" s="74"/>
      <c r="I364" s="74"/>
      <c r="J364" s="75"/>
      <c r="K364" s="81"/>
      <c r="L364" s="76"/>
      <c r="M364" s="76"/>
      <c r="N364" s="76"/>
      <c r="O364" s="71"/>
      <c r="P364" s="70"/>
      <c r="Q364" s="71"/>
      <c r="R364" s="71"/>
      <c r="S364" s="70"/>
      <c r="T364" s="71"/>
      <c r="U364" s="71"/>
      <c r="V364" s="75"/>
      <c r="W364" s="69"/>
      <c r="X364" s="69"/>
      <c r="Y364" s="69"/>
      <c r="Z364" s="69"/>
      <c r="AA364" s="69"/>
      <c r="AB364" s="69"/>
      <c r="AC364" s="69"/>
      <c r="AD364" s="69"/>
      <c r="AE364" s="76"/>
      <c r="AF364" s="71"/>
      <c r="AG364" s="71"/>
      <c r="AH364" s="71"/>
      <c r="AI364" s="71"/>
      <c r="AJ364" s="71"/>
      <c r="AK364" s="71"/>
      <c r="AL364" s="71"/>
      <c r="AM364" s="71"/>
      <c r="AN364" s="68"/>
      <c r="AO364" s="68"/>
      <c r="AP364" s="70"/>
      <c r="AQ364" s="71"/>
      <c r="AR364" s="77"/>
      <c r="AS364" s="70"/>
      <c r="AT364" s="68"/>
      <c r="AU364" s="70"/>
      <c r="AV364" s="70"/>
      <c r="AW364" s="71"/>
      <c r="AX364" s="71"/>
      <c r="AY364" s="70"/>
      <c r="AZ364" s="76"/>
      <c r="BA364" s="76"/>
      <c r="BB364" s="76"/>
      <c r="BC364" s="78"/>
    </row>
    <row r="365" spans="1:55" x14ac:dyDescent="0.25">
      <c r="A365" s="68"/>
      <c r="B365" s="68"/>
      <c r="C365" s="68"/>
      <c r="D365" s="70"/>
      <c r="E365" s="70"/>
      <c r="F365" s="70"/>
      <c r="G365" s="72"/>
      <c r="H365" s="74"/>
      <c r="I365" s="74"/>
      <c r="J365" s="75"/>
      <c r="K365" s="81"/>
      <c r="L365" s="76"/>
      <c r="M365" s="76"/>
      <c r="N365" s="76"/>
      <c r="O365" s="71"/>
      <c r="P365" s="70"/>
      <c r="Q365" s="71"/>
      <c r="R365" s="71"/>
      <c r="S365" s="70"/>
      <c r="T365" s="71"/>
      <c r="U365" s="71"/>
      <c r="V365" s="75"/>
      <c r="W365" s="69"/>
      <c r="X365" s="69"/>
      <c r="Y365" s="69"/>
      <c r="Z365" s="69"/>
      <c r="AA365" s="69"/>
      <c r="AB365" s="69"/>
      <c r="AC365" s="69"/>
      <c r="AD365" s="69"/>
      <c r="AE365" s="76"/>
      <c r="AF365" s="71"/>
      <c r="AG365" s="71"/>
      <c r="AH365" s="71"/>
      <c r="AI365" s="71"/>
      <c r="AJ365" s="71"/>
      <c r="AK365" s="71"/>
      <c r="AL365" s="71"/>
      <c r="AM365" s="71"/>
      <c r="AN365" s="68"/>
      <c r="AO365" s="68"/>
      <c r="AP365" s="70"/>
      <c r="AQ365" s="71"/>
      <c r="AR365" s="77"/>
      <c r="AS365" s="70"/>
      <c r="AT365" s="68"/>
      <c r="AU365" s="70"/>
      <c r="AV365" s="70"/>
      <c r="AW365" s="71"/>
      <c r="AX365" s="71"/>
      <c r="AY365" s="70"/>
      <c r="AZ365" s="76"/>
      <c r="BA365" s="76"/>
      <c r="BB365" s="76"/>
      <c r="BC365" s="78"/>
    </row>
    <row r="366" spans="1:55" x14ac:dyDescent="0.25">
      <c r="A366" s="68"/>
      <c r="B366" s="68"/>
      <c r="C366" s="68"/>
      <c r="D366" s="70"/>
      <c r="E366" s="70"/>
      <c r="F366" s="70"/>
      <c r="G366" s="72"/>
      <c r="H366" s="74"/>
      <c r="I366" s="74"/>
      <c r="J366" s="75"/>
      <c r="K366" s="81"/>
      <c r="L366" s="76"/>
      <c r="M366" s="76"/>
      <c r="N366" s="76"/>
      <c r="O366" s="71"/>
      <c r="P366" s="70"/>
      <c r="Q366" s="71"/>
      <c r="R366" s="71"/>
      <c r="S366" s="70"/>
      <c r="T366" s="71"/>
      <c r="U366" s="71"/>
      <c r="V366" s="75"/>
      <c r="W366" s="69"/>
      <c r="X366" s="69"/>
      <c r="Y366" s="69"/>
      <c r="Z366" s="69"/>
      <c r="AA366" s="69"/>
      <c r="AB366" s="69"/>
      <c r="AC366" s="69"/>
      <c r="AD366" s="69"/>
      <c r="AE366" s="76"/>
      <c r="AF366" s="71"/>
      <c r="AG366" s="71"/>
      <c r="AH366" s="71"/>
      <c r="AI366" s="71"/>
      <c r="AJ366" s="71"/>
      <c r="AK366" s="71"/>
      <c r="AL366" s="71"/>
      <c r="AM366" s="71"/>
      <c r="AN366" s="68"/>
      <c r="AO366" s="68"/>
      <c r="AP366" s="70"/>
      <c r="AQ366" s="71"/>
      <c r="AR366" s="77"/>
      <c r="AS366" s="70"/>
      <c r="AT366" s="68"/>
      <c r="AU366" s="70"/>
      <c r="AV366" s="70"/>
      <c r="AW366" s="71"/>
      <c r="AX366" s="71"/>
      <c r="AY366" s="70"/>
      <c r="AZ366" s="76"/>
      <c r="BA366" s="76"/>
      <c r="BB366" s="76"/>
      <c r="BC366" s="78"/>
    </row>
    <row r="367" spans="1:55" x14ac:dyDescent="0.25">
      <c r="A367" s="68"/>
      <c r="B367" s="68"/>
      <c r="C367" s="68"/>
      <c r="D367" s="70"/>
      <c r="E367" s="70"/>
      <c r="F367" s="70"/>
      <c r="G367" s="72"/>
      <c r="H367" s="74"/>
      <c r="I367" s="74"/>
      <c r="J367" s="75"/>
      <c r="K367" s="81"/>
      <c r="L367" s="76"/>
      <c r="M367" s="76"/>
      <c r="N367" s="76"/>
      <c r="O367" s="71"/>
      <c r="P367" s="70"/>
      <c r="Q367" s="71"/>
      <c r="R367" s="71"/>
      <c r="S367" s="70"/>
      <c r="T367" s="71"/>
      <c r="U367" s="71"/>
      <c r="V367" s="75"/>
      <c r="W367" s="69"/>
      <c r="X367" s="69"/>
      <c r="Y367" s="69"/>
      <c r="Z367" s="69"/>
      <c r="AA367" s="69"/>
      <c r="AB367" s="69"/>
      <c r="AC367" s="69"/>
      <c r="AD367" s="69"/>
      <c r="AE367" s="76"/>
      <c r="AF367" s="71"/>
      <c r="AG367" s="71"/>
      <c r="AH367" s="71"/>
      <c r="AI367" s="71"/>
      <c r="AJ367" s="71"/>
      <c r="AK367" s="71"/>
      <c r="AL367" s="71"/>
      <c r="AM367" s="71"/>
      <c r="AN367" s="68"/>
      <c r="AO367" s="68"/>
      <c r="AP367" s="70"/>
      <c r="AQ367" s="71"/>
      <c r="AR367" s="77"/>
      <c r="AS367" s="70"/>
      <c r="AT367" s="68"/>
      <c r="AU367" s="70"/>
      <c r="AV367" s="70"/>
      <c r="AW367" s="71"/>
      <c r="AX367" s="71"/>
      <c r="AY367" s="70"/>
      <c r="AZ367" s="76"/>
      <c r="BA367" s="76"/>
      <c r="BB367" s="76"/>
      <c r="BC367" s="78"/>
    </row>
    <row r="368" spans="1:55" x14ac:dyDescent="0.25">
      <c r="A368" s="68"/>
      <c r="B368" s="68"/>
      <c r="C368" s="68"/>
      <c r="D368" s="70"/>
      <c r="E368" s="70"/>
      <c r="F368" s="70"/>
      <c r="G368" s="72"/>
      <c r="H368" s="74"/>
      <c r="I368" s="74"/>
      <c r="J368" s="75"/>
      <c r="K368" s="81"/>
      <c r="L368" s="76"/>
      <c r="M368" s="76"/>
      <c r="N368" s="76"/>
      <c r="O368" s="71"/>
      <c r="P368" s="70"/>
      <c r="Q368" s="71"/>
      <c r="R368" s="71"/>
      <c r="S368" s="70"/>
      <c r="T368" s="71"/>
      <c r="U368" s="71"/>
      <c r="V368" s="75"/>
      <c r="W368" s="69"/>
      <c r="X368" s="69"/>
      <c r="Y368" s="69"/>
      <c r="Z368" s="69"/>
      <c r="AA368" s="69"/>
      <c r="AB368" s="69"/>
      <c r="AC368" s="69"/>
      <c r="AD368" s="69"/>
      <c r="AE368" s="76"/>
      <c r="AF368" s="71"/>
      <c r="AG368" s="71"/>
      <c r="AH368" s="71"/>
      <c r="AI368" s="71"/>
      <c r="AJ368" s="71"/>
      <c r="AK368" s="71"/>
      <c r="AL368" s="71"/>
      <c r="AM368" s="71"/>
      <c r="AN368" s="68"/>
      <c r="AO368" s="68"/>
      <c r="AP368" s="70"/>
      <c r="AQ368" s="71"/>
      <c r="AR368" s="77"/>
      <c r="AS368" s="70"/>
      <c r="AT368" s="68"/>
      <c r="AU368" s="70"/>
      <c r="AV368" s="70"/>
      <c r="AW368" s="71"/>
      <c r="AX368" s="71"/>
      <c r="AY368" s="70"/>
      <c r="AZ368" s="76"/>
      <c r="BA368" s="76"/>
      <c r="BB368" s="76"/>
      <c r="BC368" s="78"/>
    </row>
    <row r="369" spans="1:55" x14ac:dyDescent="0.25">
      <c r="A369" s="68"/>
      <c r="B369" s="68"/>
      <c r="C369" s="68"/>
      <c r="D369" s="70"/>
      <c r="E369" s="70"/>
      <c r="F369" s="70"/>
      <c r="G369" s="72"/>
      <c r="H369" s="74"/>
      <c r="I369" s="74"/>
      <c r="J369" s="75"/>
      <c r="K369" s="81"/>
      <c r="L369" s="76"/>
      <c r="M369" s="76"/>
      <c r="N369" s="76"/>
      <c r="O369" s="71"/>
      <c r="P369" s="70"/>
      <c r="Q369" s="71"/>
      <c r="R369" s="71"/>
      <c r="S369" s="70"/>
      <c r="T369" s="71"/>
      <c r="U369" s="71"/>
      <c r="V369" s="75"/>
      <c r="W369" s="69"/>
      <c r="X369" s="69"/>
      <c r="Y369" s="69"/>
      <c r="Z369" s="69"/>
      <c r="AA369" s="69"/>
      <c r="AB369" s="69"/>
      <c r="AC369" s="69"/>
      <c r="AD369" s="69"/>
      <c r="AE369" s="76"/>
      <c r="AF369" s="71"/>
      <c r="AG369" s="71"/>
      <c r="AH369" s="71"/>
      <c r="AI369" s="71"/>
      <c r="AJ369" s="71"/>
      <c r="AK369" s="71"/>
      <c r="AL369" s="71"/>
      <c r="AM369" s="71"/>
      <c r="AN369" s="68"/>
      <c r="AO369" s="68"/>
      <c r="AP369" s="70"/>
      <c r="AQ369" s="71"/>
      <c r="AR369" s="77"/>
      <c r="AS369" s="70"/>
      <c r="AT369" s="68"/>
      <c r="AU369" s="70"/>
      <c r="AV369" s="70"/>
      <c r="AW369" s="71"/>
      <c r="AX369" s="71"/>
      <c r="AY369" s="70"/>
      <c r="AZ369" s="76"/>
      <c r="BA369" s="76"/>
      <c r="BB369" s="76"/>
      <c r="BC369" s="78"/>
    </row>
    <row r="370" spans="1:55" x14ac:dyDescent="0.25">
      <c r="A370" s="68"/>
      <c r="B370" s="68"/>
      <c r="C370" s="68"/>
      <c r="D370" s="70"/>
      <c r="E370" s="70"/>
      <c r="F370" s="70"/>
      <c r="G370" s="72"/>
      <c r="H370" s="74"/>
      <c r="I370" s="74"/>
      <c r="J370" s="75"/>
      <c r="K370" s="81"/>
      <c r="L370" s="76"/>
      <c r="M370" s="76"/>
      <c r="N370" s="76"/>
      <c r="O370" s="71"/>
      <c r="P370" s="70"/>
      <c r="Q370" s="71"/>
      <c r="R370" s="71"/>
      <c r="S370" s="70"/>
      <c r="T370" s="71"/>
      <c r="U370" s="71"/>
      <c r="V370" s="75"/>
      <c r="W370" s="69"/>
      <c r="X370" s="69"/>
      <c r="Y370" s="69"/>
      <c r="Z370" s="69"/>
      <c r="AA370" s="69"/>
      <c r="AB370" s="69"/>
      <c r="AC370" s="69"/>
      <c r="AD370" s="69"/>
      <c r="AE370" s="76"/>
      <c r="AF370" s="71"/>
      <c r="AG370" s="71"/>
      <c r="AH370" s="71"/>
      <c r="AI370" s="71"/>
      <c r="AJ370" s="71"/>
      <c r="AK370" s="71"/>
      <c r="AL370" s="71"/>
      <c r="AM370" s="71"/>
      <c r="AN370" s="68"/>
      <c r="AO370" s="68"/>
      <c r="AP370" s="70"/>
      <c r="AQ370" s="71"/>
      <c r="AR370" s="77"/>
      <c r="AS370" s="70"/>
      <c r="AT370" s="68"/>
      <c r="AU370" s="70"/>
      <c r="AV370" s="70"/>
      <c r="AW370" s="71"/>
      <c r="AX370" s="71"/>
      <c r="AY370" s="70"/>
      <c r="AZ370" s="76"/>
      <c r="BA370" s="76"/>
      <c r="BB370" s="76"/>
      <c r="BC370" s="78"/>
    </row>
    <row r="371" spans="1:55" x14ac:dyDescent="0.25">
      <c r="A371" s="68"/>
      <c r="B371" s="68"/>
      <c r="C371" s="68"/>
      <c r="D371" s="70"/>
      <c r="E371" s="70"/>
      <c r="F371" s="70"/>
      <c r="G371" s="72"/>
      <c r="H371" s="74"/>
      <c r="I371" s="74"/>
      <c r="J371" s="75"/>
      <c r="K371" s="81"/>
      <c r="L371" s="76"/>
      <c r="M371" s="76"/>
      <c r="N371" s="76"/>
      <c r="O371" s="71"/>
      <c r="P371" s="70"/>
      <c r="Q371" s="71"/>
      <c r="R371" s="71"/>
      <c r="S371" s="70"/>
      <c r="T371" s="71"/>
      <c r="U371" s="71"/>
      <c r="V371" s="75"/>
      <c r="W371" s="69"/>
      <c r="X371" s="69"/>
      <c r="Y371" s="69"/>
      <c r="Z371" s="69"/>
      <c r="AA371" s="69"/>
      <c r="AB371" s="69"/>
      <c r="AC371" s="69"/>
      <c r="AD371" s="69"/>
      <c r="AE371" s="76"/>
      <c r="AF371" s="71"/>
      <c r="AG371" s="71"/>
      <c r="AH371" s="71"/>
      <c r="AI371" s="71"/>
      <c r="AJ371" s="71"/>
      <c r="AK371" s="71"/>
      <c r="AL371" s="71"/>
      <c r="AM371" s="71"/>
      <c r="AN371" s="68"/>
      <c r="AO371" s="68"/>
      <c r="AP371" s="70"/>
      <c r="AQ371" s="71"/>
      <c r="AR371" s="77"/>
      <c r="AS371" s="70"/>
      <c r="AT371" s="68"/>
      <c r="AU371" s="70"/>
      <c r="AV371" s="70"/>
      <c r="AW371" s="71"/>
      <c r="AX371" s="71"/>
      <c r="AY371" s="70"/>
      <c r="AZ371" s="76"/>
      <c r="BA371" s="76"/>
      <c r="BB371" s="76"/>
      <c r="BC371" s="78"/>
    </row>
    <row r="372" spans="1:55" x14ac:dyDescent="0.25">
      <c r="A372" s="68"/>
      <c r="B372" s="68"/>
      <c r="C372" s="68"/>
      <c r="D372" s="70"/>
      <c r="E372" s="70"/>
      <c r="F372" s="70"/>
      <c r="G372" s="72"/>
      <c r="H372" s="74"/>
      <c r="I372" s="74"/>
      <c r="J372" s="75"/>
      <c r="K372" s="81"/>
      <c r="L372" s="76"/>
      <c r="M372" s="76"/>
      <c r="N372" s="76"/>
      <c r="O372" s="71"/>
      <c r="P372" s="70"/>
      <c r="Q372" s="71"/>
      <c r="R372" s="71"/>
      <c r="S372" s="70"/>
      <c r="T372" s="71"/>
      <c r="U372" s="71"/>
      <c r="V372" s="75"/>
      <c r="W372" s="69"/>
      <c r="X372" s="69"/>
      <c r="Y372" s="69"/>
      <c r="Z372" s="69"/>
      <c r="AA372" s="69"/>
      <c r="AB372" s="69"/>
      <c r="AC372" s="69"/>
      <c r="AD372" s="69"/>
      <c r="AE372" s="76"/>
      <c r="AF372" s="71"/>
      <c r="AG372" s="71"/>
      <c r="AH372" s="71"/>
      <c r="AI372" s="71"/>
      <c r="AJ372" s="71"/>
      <c r="AK372" s="71"/>
      <c r="AL372" s="71"/>
      <c r="AM372" s="71"/>
      <c r="AN372" s="68"/>
      <c r="AO372" s="68"/>
      <c r="AP372" s="70"/>
      <c r="AQ372" s="71"/>
      <c r="AR372" s="77"/>
      <c r="AS372" s="70"/>
      <c r="AT372" s="68"/>
      <c r="AU372" s="70"/>
      <c r="AV372" s="70"/>
      <c r="AW372" s="71"/>
      <c r="AX372" s="71"/>
      <c r="AY372" s="70"/>
      <c r="AZ372" s="76"/>
      <c r="BA372" s="76"/>
      <c r="BB372" s="76"/>
      <c r="BC372" s="78"/>
    </row>
    <row r="373" spans="1:55" x14ac:dyDescent="0.25">
      <c r="A373" s="68"/>
      <c r="B373" s="68"/>
      <c r="C373" s="68"/>
      <c r="D373" s="70"/>
      <c r="E373" s="70"/>
      <c r="F373" s="70"/>
      <c r="G373" s="72"/>
      <c r="H373" s="74"/>
      <c r="I373" s="74"/>
      <c r="J373" s="75"/>
      <c r="K373" s="81"/>
      <c r="L373" s="76"/>
      <c r="M373" s="76"/>
      <c r="N373" s="76"/>
      <c r="O373" s="71"/>
      <c r="P373" s="70"/>
      <c r="Q373" s="71"/>
      <c r="R373" s="71"/>
      <c r="S373" s="70"/>
      <c r="T373" s="71"/>
      <c r="U373" s="71"/>
      <c r="V373" s="75"/>
      <c r="W373" s="69"/>
      <c r="X373" s="69"/>
      <c r="Y373" s="69"/>
      <c r="Z373" s="69"/>
      <c r="AA373" s="69"/>
      <c r="AB373" s="69"/>
      <c r="AC373" s="69"/>
      <c r="AD373" s="69"/>
      <c r="AE373" s="76"/>
      <c r="AF373" s="71"/>
      <c r="AG373" s="71"/>
      <c r="AH373" s="71"/>
      <c r="AI373" s="71"/>
      <c r="AJ373" s="71"/>
      <c r="AK373" s="71"/>
      <c r="AL373" s="71"/>
      <c r="AM373" s="71"/>
      <c r="AN373" s="68"/>
      <c r="AO373" s="68"/>
      <c r="AP373" s="70"/>
      <c r="AQ373" s="71"/>
      <c r="AR373" s="77"/>
      <c r="AS373" s="70"/>
      <c r="AT373" s="68"/>
      <c r="AU373" s="70"/>
      <c r="AV373" s="70"/>
      <c r="AW373" s="71"/>
      <c r="AX373" s="71"/>
      <c r="AY373" s="70"/>
      <c r="AZ373" s="76"/>
      <c r="BA373" s="76"/>
      <c r="BB373" s="76"/>
      <c r="BC373" s="78"/>
    </row>
    <row r="374" spans="1:55" x14ac:dyDescent="0.25">
      <c r="A374" s="68"/>
      <c r="B374" s="68"/>
      <c r="C374" s="68"/>
      <c r="D374" s="70"/>
      <c r="E374" s="70"/>
      <c r="F374" s="70"/>
      <c r="G374" s="72"/>
      <c r="H374" s="74"/>
      <c r="I374" s="74"/>
      <c r="J374" s="75"/>
      <c r="K374" s="81"/>
      <c r="L374" s="76"/>
      <c r="M374" s="76"/>
      <c r="N374" s="76"/>
      <c r="O374" s="71"/>
      <c r="P374" s="70"/>
      <c r="Q374" s="71"/>
      <c r="R374" s="71"/>
      <c r="S374" s="70"/>
      <c r="T374" s="71"/>
      <c r="U374" s="71"/>
      <c r="V374" s="75"/>
      <c r="W374" s="69"/>
      <c r="X374" s="69"/>
      <c r="Y374" s="69"/>
      <c r="Z374" s="69"/>
      <c r="AA374" s="69"/>
      <c r="AB374" s="69"/>
      <c r="AC374" s="69"/>
      <c r="AD374" s="69"/>
      <c r="AE374" s="76"/>
      <c r="AF374" s="71"/>
      <c r="AG374" s="71"/>
      <c r="AH374" s="71"/>
      <c r="AI374" s="71"/>
      <c r="AJ374" s="71"/>
      <c r="AK374" s="71"/>
      <c r="AL374" s="71"/>
      <c r="AM374" s="71"/>
      <c r="AN374" s="68"/>
      <c r="AO374" s="68"/>
      <c r="AP374" s="70"/>
      <c r="AQ374" s="71"/>
      <c r="AR374" s="77"/>
      <c r="AS374" s="70"/>
      <c r="AT374" s="68"/>
      <c r="AU374" s="70"/>
      <c r="AV374" s="70"/>
      <c r="AW374" s="71"/>
      <c r="AX374" s="71"/>
      <c r="AY374" s="70"/>
      <c r="AZ374" s="76"/>
      <c r="BA374" s="76"/>
      <c r="BB374" s="76"/>
      <c r="BC374" s="78"/>
    </row>
    <row r="375" spans="1:55" x14ac:dyDescent="0.25">
      <c r="A375" s="68"/>
      <c r="B375" s="68"/>
      <c r="C375" s="68"/>
      <c r="D375" s="70"/>
      <c r="E375" s="70"/>
      <c r="F375" s="70"/>
      <c r="G375" s="72"/>
      <c r="H375" s="74"/>
      <c r="I375" s="74"/>
      <c r="J375" s="75"/>
      <c r="K375" s="81"/>
      <c r="L375" s="76"/>
      <c r="M375" s="76"/>
      <c r="N375" s="76"/>
      <c r="O375" s="71"/>
      <c r="P375" s="70"/>
      <c r="Q375" s="71"/>
      <c r="R375" s="71"/>
      <c r="S375" s="70"/>
      <c r="T375" s="71"/>
      <c r="U375" s="71"/>
      <c r="V375" s="75"/>
      <c r="W375" s="69"/>
      <c r="X375" s="69"/>
      <c r="Y375" s="69"/>
      <c r="Z375" s="69"/>
      <c r="AA375" s="69"/>
      <c r="AB375" s="69"/>
      <c r="AC375" s="69"/>
      <c r="AD375" s="69"/>
      <c r="AE375" s="76"/>
      <c r="AF375" s="71"/>
      <c r="AG375" s="71"/>
      <c r="AH375" s="71"/>
      <c r="AI375" s="71"/>
      <c r="AJ375" s="71"/>
      <c r="AK375" s="71"/>
      <c r="AL375" s="71"/>
      <c r="AM375" s="71"/>
      <c r="AN375" s="68"/>
      <c r="AO375" s="68"/>
      <c r="AP375" s="70"/>
      <c r="AQ375" s="71"/>
      <c r="AR375" s="77"/>
      <c r="AS375" s="70"/>
      <c r="AT375" s="68"/>
      <c r="AU375" s="70"/>
      <c r="AV375" s="70"/>
      <c r="AW375" s="71"/>
      <c r="AX375" s="71"/>
      <c r="AY375" s="70"/>
      <c r="AZ375" s="76"/>
      <c r="BA375" s="76"/>
      <c r="BB375" s="76"/>
      <c r="BC375" s="78"/>
    </row>
    <row r="376" spans="1:55" x14ac:dyDescent="0.25">
      <c r="A376" s="68"/>
      <c r="B376" s="68"/>
      <c r="C376" s="68"/>
      <c r="D376" s="70"/>
      <c r="E376" s="70"/>
      <c r="F376" s="70"/>
      <c r="G376" s="72"/>
      <c r="H376" s="74"/>
      <c r="I376" s="74"/>
      <c r="J376" s="75"/>
      <c r="K376" s="81"/>
      <c r="L376" s="76"/>
      <c r="M376" s="76"/>
      <c r="N376" s="76"/>
      <c r="O376" s="71"/>
      <c r="P376" s="70"/>
      <c r="Q376" s="71"/>
      <c r="R376" s="71"/>
      <c r="S376" s="70"/>
      <c r="T376" s="71"/>
      <c r="U376" s="71"/>
      <c r="V376" s="75"/>
      <c r="W376" s="69"/>
      <c r="X376" s="69"/>
      <c r="Y376" s="69"/>
      <c r="Z376" s="69"/>
      <c r="AA376" s="69"/>
      <c r="AB376" s="69"/>
      <c r="AC376" s="69"/>
      <c r="AD376" s="69"/>
      <c r="AE376" s="76"/>
      <c r="AF376" s="71"/>
      <c r="AG376" s="71"/>
      <c r="AH376" s="71"/>
      <c r="AI376" s="71"/>
      <c r="AJ376" s="71"/>
      <c r="AK376" s="71"/>
      <c r="AL376" s="71"/>
      <c r="AM376" s="71"/>
      <c r="AN376" s="68"/>
      <c r="AO376" s="68"/>
      <c r="AP376" s="70"/>
      <c r="AQ376" s="71"/>
      <c r="AR376" s="77"/>
      <c r="AS376" s="70"/>
      <c r="AT376" s="68"/>
      <c r="AU376" s="70"/>
      <c r="AV376" s="70"/>
      <c r="AW376" s="71"/>
      <c r="AX376" s="71"/>
      <c r="AY376" s="70"/>
      <c r="AZ376" s="76"/>
      <c r="BA376" s="76"/>
      <c r="BB376" s="76"/>
      <c r="BC376" s="78"/>
    </row>
    <row r="377" spans="1:55" x14ac:dyDescent="0.25">
      <c r="A377" s="68"/>
      <c r="B377" s="68"/>
      <c r="C377" s="68"/>
      <c r="D377" s="70"/>
      <c r="E377" s="70"/>
      <c r="F377" s="70"/>
      <c r="G377" s="72"/>
      <c r="H377" s="74"/>
      <c r="I377" s="74"/>
      <c r="J377" s="75"/>
      <c r="K377" s="81"/>
      <c r="L377" s="76"/>
      <c r="M377" s="76"/>
      <c r="N377" s="76"/>
      <c r="O377" s="71"/>
      <c r="P377" s="70"/>
      <c r="Q377" s="71"/>
      <c r="R377" s="71"/>
      <c r="S377" s="70"/>
      <c r="T377" s="71"/>
      <c r="U377" s="71"/>
      <c r="V377" s="75"/>
      <c r="W377" s="69"/>
      <c r="X377" s="69"/>
      <c r="Y377" s="69"/>
      <c r="Z377" s="69"/>
      <c r="AA377" s="69"/>
      <c r="AB377" s="69"/>
      <c r="AC377" s="69"/>
      <c r="AD377" s="69"/>
      <c r="AE377" s="76"/>
      <c r="AF377" s="71"/>
      <c r="AG377" s="71"/>
      <c r="AH377" s="71"/>
      <c r="AI377" s="71"/>
      <c r="AJ377" s="71"/>
      <c r="AK377" s="71"/>
      <c r="AL377" s="71"/>
      <c r="AM377" s="71"/>
      <c r="AN377" s="68"/>
      <c r="AO377" s="68"/>
      <c r="AP377" s="70"/>
      <c r="AQ377" s="71"/>
      <c r="AR377" s="77"/>
      <c r="AS377" s="70"/>
      <c r="AT377" s="68"/>
      <c r="AU377" s="70"/>
      <c r="AV377" s="70"/>
      <c r="AW377" s="71"/>
      <c r="AX377" s="71"/>
      <c r="AY377" s="70"/>
      <c r="AZ377" s="76"/>
      <c r="BA377" s="76"/>
      <c r="BB377" s="76"/>
      <c r="BC377" s="78"/>
    </row>
    <row r="378" spans="1:55" x14ac:dyDescent="0.25">
      <c r="A378" s="68"/>
      <c r="B378" s="68"/>
      <c r="C378" s="68"/>
      <c r="D378" s="70"/>
      <c r="E378" s="70"/>
      <c r="F378" s="70"/>
      <c r="G378" s="72"/>
      <c r="H378" s="74"/>
      <c r="I378" s="74"/>
      <c r="J378" s="75"/>
      <c r="K378" s="81"/>
      <c r="L378" s="76"/>
      <c r="M378" s="76"/>
      <c r="N378" s="76"/>
      <c r="O378" s="71"/>
      <c r="P378" s="70"/>
      <c r="Q378" s="71"/>
      <c r="R378" s="71"/>
      <c r="S378" s="70"/>
      <c r="T378" s="71"/>
      <c r="U378" s="71"/>
      <c r="V378" s="75"/>
      <c r="W378" s="69"/>
      <c r="X378" s="69"/>
      <c r="Y378" s="69"/>
      <c r="Z378" s="69"/>
      <c r="AA378" s="69"/>
      <c r="AB378" s="69"/>
      <c r="AC378" s="69"/>
      <c r="AD378" s="69"/>
      <c r="AE378" s="76"/>
      <c r="AF378" s="71"/>
      <c r="AG378" s="71"/>
      <c r="AH378" s="71"/>
      <c r="AI378" s="71"/>
      <c r="AJ378" s="71"/>
      <c r="AK378" s="71"/>
      <c r="AL378" s="71"/>
      <c r="AM378" s="71"/>
      <c r="AN378" s="68"/>
      <c r="AO378" s="68"/>
      <c r="AP378" s="70"/>
      <c r="AQ378" s="71"/>
      <c r="AR378" s="77"/>
      <c r="AS378" s="70"/>
      <c r="AT378" s="68"/>
      <c r="AU378" s="70"/>
      <c r="AV378" s="70"/>
      <c r="AW378" s="71"/>
      <c r="AX378" s="71"/>
      <c r="AY378" s="70"/>
      <c r="AZ378" s="76"/>
      <c r="BA378" s="76"/>
      <c r="BB378" s="76"/>
      <c r="BC378" s="78"/>
    </row>
    <row r="379" spans="1:55" x14ac:dyDescent="0.25">
      <c r="A379" s="68"/>
      <c r="B379" s="68"/>
      <c r="C379" s="68"/>
      <c r="D379" s="70"/>
      <c r="E379" s="70"/>
      <c r="F379" s="70"/>
      <c r="G379" s="72"/>
      <c r="H379" s="74"/>
      <c r="I379" s="74"/>
      <c r="J379" s="75"/>
      <c r="K379" s="81"/>
      <c r="L379" s="76"/>
      <c r="M379" s="76"/>
      <c r="N379" s="76"/>
      <c r="O379" s="71"/>
      <c r="P379" s="70"/>
      <c r="Q379" s="71"/>
      <c r="R379" s="71"/>
      <c r="S379" s="70"/>
      <c r="T379" s="71"/>
      <c r="U379" s="71"/>
      <c r="V379" s="75"/>
      <c r="W379" s="69"/>
      <c r="X379" s="69"/>
      <c r="Y379" s="69"/>
      <c r="Z379" s="69"/>
      <c r="AA379" s="69"/>
      <c r="AB379" s="69"/>
      <c r="AC379" s="69"/>
      <c r="AD379" s="69"/>
      <c r="AE379" s="76"/>
      <c r="AF379" s="71"/>
      <c r="AG379" s="71"/>
      <c r="AH379" s="71"/>
      <c r="AI379" s="71"/>
      <c r="AJ379" s="71"/>
      <c r="AK379" s="71"/>
      <c r="AL379" s="71"/>
      <c r="AM379" s="71"/>
      <c r="AN379" s="68"/>
      <c r="AO379" s="68"/>
      <c r="AP379" s="70"/>
      <c r="AQ379" s="71"/>
      <c r="AR379" s="77"/>
      <c r="AS379" s="70"/>
      <c r="AT379" s="68"/>
      <c r="AU379" s="70"/>
      <c r="AV379" s="70"/>
      <c r="AW379" s="71"/>
      <c r="AX379" s="71"/>
      <c r="AY379" s="70"/>
      <c r="AZ379" s="76"/>
      <c r="BA379" s="76"/>
      <c r="BB379" s="76"/>
      <c r="BC379" s="78"/>
    </row>
    <row r="380" spans="1:55" x14ac:dyDescent="0.25">
      <c r="A380" s="68"/>
      <c r="B380" s="68"/>
      <c r="C380" s="68"/>
      <c r="D380" s="70"/>
      <c r="E380" s="70"/>
      <c r="F380" s="70"/>
      <c r="G380" s="72"/>
      <c r="H380" s="74"/>
      <c r="I380" s="74"/>
      <c r="J380" s="75"/>
      <c r="K380" s="81"/>
      <c r="L380" s="76"/>
      <c r="M380" s="76"/>
      <c r="N380" s="76"/>
      <c r="O380" s="71"/>
      <c r="P380" s="70"/>
      <c r="Q380" s="71"/>
      <c r="R380" s="71"/>
      <c r="S380" s="70"/>
      <c r="T380" s="71"/>
      <c r="U380" s="71"/>
      <c r="V380" s="75"/>
      <c r="W380" s="69"/>
      <c r="X380" s="69"/>
      <c r="Y380" s="69"/>
      <c r="Z380" s="69"/>
      <c r="AA380" s="69"/>
      <c r="AB380" s="69"/>
      <c r="AC380" s="69"/>
      <c r="AD380" s="69"/>
      <c r="AE380" s="76"/>
      <c r="AF380" s="71"/>
      <c r="AG380" s="71"/>
      <c r="AH380" s="71"/>
      <c r="AI380" s="71"/>
      <c r="AJ380" s="71"/>
      <c r="AK380" s="71"/>
      <c r="AL380" s="71"/>
      <c r="AM380" s="71"/>
      <c r="AN380" s="68"/>
      <c r="AO380" s="68"/>
      <c r="AP380" s="70"/>
      <c r="AQ380" s="71"/>
      <c r="AR380" s="77"/>
      <c r="AS380" s="70"/>
      <c r="AT380" s="68"/>
      <c r="AU380" s="70"/>
      <c r="AV380" s="70"/>
      <c r="AW380" s="71"/>
      <c r="AX380" s="71"/>
      <c r="AY380" s="70"/>
      <c r="AZ380" s="76"/>
      <c r="BA380" s="76"/>
      <c r="BB380" s="76"/>
      <c r="BC380" s="78"/>
    </row>
    <row r="381" spans="1:55" x14ac:dyDescent="0.25">
      <c r="A381" s="68"/>
      <c r="B381" s="68"/>
      <c r="C381" s="68"/>
      <c r="D381" s="70"/>
      <c r="E381" s="70"/>
      <c r="F381" s="70"/>
      <c r="G381" s="72"/>
      <c r="H381" s="74"/>
      <c r="I381" s="74"/>
      <c r="J381" s="75"/>
      <c r="K381" s="81"/>
      <c r="L381" s="76"/>
      <c r="M381" s="76"/>
      <c r="N381" s="76"/>
      <c r="O381" s="71"/>
      <c r="P381" s="70"/>
      <c r="Q381" s="71"/>
      <c r="R381" s="71"/>
      <c r="S381" s="70"/>
      <c r="T381" s="71"/>
      <c r="U381" s="71"/>
      <c r="V381" s="75"/>
      <c r="W381" s="69"/>
      <c r="X381" s="69"/>
      <c r="Y381" s="69"/>
      <c r="Z381" s="69"/>
      <c r="AA381" s="69"/>
      <c r="AB381" s="69"/>
      <c r="AC381" s="69"/>
      <c r="AD381" s="69"/>
      <c r="AE381" s="76"/>
      <c r="AF381" s="71"/>
      <c r="AG381" s="71"/>
      <c r="AH381" s="71"/>
      <c r="AI381" s="71"/>
      <c r="AJ381" s="71"/>
      <c r="AK381" s="71"/>
      <c r="AL381" s="71"/>
      <c r="AM381" s="71"/>
      <c r="AN381" s="68"/>
      <c r="AO381" s="68"/>
      <c r="AP381" s="70"/>
      <c r="AQ381" s="71"/>
      <c r="AR381" s="77"/>
      <c r="AS381" s="70"/>
      <c r="AT381" s="68"/>
      <c r="AU381" s="70"/>
      <c r="AV381" s="70"/>
      <c r="AW381" s="71"/>
      <c r="AX381" s="71"/>
      <c r="AY381" s="70"/>
      <c r="AZ381" s="76"/>
      <c r="BA381" s="76"/>
      <c r="BB381" s="76"/>
      <c r="BC381" s="78"/>
    </row>
    <row r="382" spans="1:55" x14ac:dyDescent="0.25">
      <c r="A382" s="68"/>
      <c r="B382" s="68"/>
      <c r="C382" s="68"/>
      <c r="D382" s="70"/>
      <c r="E382" s="70"/>
      <c r="F382" s="70"/>
      <c r="G382" s="72"/>
      <c r="H382" s="74"/>
      <c r="I382" s="74"/>
      <c r="J382" s="75"/>
      <c r="K382" s="81"/>
      <c r="L382" s="76"/>
      <c r="M382" s="76"/>
      <c r="N382" s="76"/>
      <c r="O382" s="71"/>
      <c r="P382" s="70"/>
      <c r="Q382" s="71"/>
      <c r="R382" s="71"/>
      <c r="S382" s="70"/>
      <c r="T382" s="71"/>
      <c r="U382" s="71"/>
      <c r="V382" s="75"/>
      <c r="W382" s="69"/>
      <c r="X382" s="69"/>
      <c r="Y382" s="69"/>
      <c r="Z382" s="69"/>
      <c r="AA382" s="69"/>
      <c r="AB382" s="69"/>
      <c r="AC382" s="69"/>
      <c r="AD382" s="69"/>
      <c r="AE382" s="76"/>
      <c r="AF382" s="71"/>
      <c r="AG382" s="71"/>
      <c r="AH382" s="71"/>
      <c r="AI382" s="71"/>
      <c r="AJ382" s="71"/>
      <c r="AK382" s="71"/>
      <c r="AL382" s="71"/>
      <c r="AM382" s="71"/>
      <c r="AN382" s="68"/>
      <c r="AO382" s="68"/>
      <c r="AP382" s="70"/>
      <c r="AQ382" s="71"/>
      <c r="AR382" s="77"/>
      <c r="AS382" s="70"/>
      <c r="AT382" s="68"/>
      <c r="AU382" s="70"/>
      <c r="AV382" s="70"/>
      <c r="AW382" s="71"/>
      <c r="AX382" s="71"/>
      <c r="AY382" s="70"/>
      <c r="AZ382" s="76"/>
      <c r="BA382" s="76"/>
      <c r="BB382" s="76"/>
      <c r="BC382" s="78"/>
    </row>
    <row r="383" spans="1:55" x14ac:dyDescent="0.25">
      <c r="A383" s="68"/>
      <c r="B383" s="68"/>
      <c r="C383" s="68"/>
      <c r="D383" s="70"/>
      <c r="E383" s="70"/>
      <c r="F383" s="70"/>
      <c r="G383" s="72"/>
      <c r="H383" s="74"/>
      <c r="I383" s="74"/>
      <c r="J383" s="75"/>
      <c r="K383" s="81"/>
      <c r="L383" s="76"/>
      <c r="M383" s="76"/>
      <c r="N383" s="76"/>
      <c r="O383" s="71"/>
      <c r="P383" s="70"/>
      <c r="Q383" s="71"/>
      <c r="R383" s="71"/>
      <c r="S383" s="70"/>
      <c r="T383" s="71"/>
      <c r="U383" s="71"/>
      <c r="V383" s="75"/>
      <c r="W383" s="69"/>
      <c r="X383" s="69"/>
      <c r="Y383" s="69"/>
      <c r="Z383" s="69"/>
      <c r="AA383" s="69"/>
      <c r="AB383" s="69"/>
      <c r="AC383" s="69"/>
      <c r="AD383" s="69"/>
      <c r="AE383" s="76"/>
      <c r="AF383" s="71"/>
      <c r="AG383" s="71"/>
      <c r="AH383" s="71"/>
      <c r="AI383" s="71"/>
      <c r="AJ383" s="71"/>
      <c r="AK383" s="71"/>
      <c r="AL383" s="71"/>
      <c r="AM383" s="71"/>
      <c r="AN383" s="68"/>
      <c r="AO383" s="68"/>
      <c r="AP383" s="70"/>
      <c r="AQ383" s="71"/>
      <c r="AR383" s="77"/>
      <c r="AS383" s="70"/>
      <c r="AT383" s="68"/>
      <c r="AU383" s="70"/>
      <c r="AV383" s="70"/>
      <c r="AW383" s="71"/>
      <c r="AX383" s="71"/>
      <c r="AY383" s="70"/>
      <c r="AZ383" s="76"/>
      <c r="BA383" s="76"/>
      <c r="BB383" s="76"/>
      <c r="BC383" s="78"/>
    </row>
    <row r="384" spans="1:55" x14ac:dyDescent="0.25">
      <c r="A384" s="68"/>
      <c r="B384" s="68"/>
      <c r="C384" s="68"/>
      <c r="D384" s="70"/>
      <c r="E384" s="70"/>
      <c r="F384" s="70"/>
      <c r="G384" s="72"/>
      <c r="H384" s="74"/>
      <c r="I384" s="74"/>
      <c r="J384" s="75"/>
      <c r="K384" s="81"/>
      <c r="L384" s="76"/>
      <c r="M384" s="76"/>
      <c r="N384" s="76"/>
      <c r="O384" s="71"/>
      <c r="P384" s="70"/>
      <c r="Q384" s="71"/>
      <c r="R384" s="71"/>
      <c r="S384" s="70"/>
      <c r="T384" s="71"/>
      <c r="U384" s="71"/>
      <c r="V384" s="75"/>
      <c r="W384" s="69"/>
      <c r="X384" s="69"/>
      <c r="Y384" s="69"/>
      <c r="Z384" s="69"/>
      <c r="AA384" s="69"/>
      <c r="AB384" s="69"/>
      <c r="AC384" s="69"/>
      <c r="AD384" s="69"/>
      <c r="AE384" s="76"/>
      <c r="AF384" s="71"/>
      <c r="AG384" s="71"/>
      <c r="AH384" s="71"/>
      <c r="AI384" s="71"/>
      <c r="AJ384" s="71"/>
      <c r="AK384" s="71"/>
      <c r="AL384" s="71"/>
      <c r="AM384" s="71"/>
      <c r="AN384" s="68"/>
      <c r="AO384" s="68"/>
      <c r="AP384" s="70"/>
      <c r="AQ384" s="71"/>
      <c r="AR384" s="77"/>
      <c r="AS384" s="70"/>
      <c r="AT384" s="68"/>
      <c r="AU384" s="70"/>
      <c r="AV384" s="70"/>
      <c r="AW384" s="71"/>
      <c r="AX384" s="71"/>
      <c r="AY384" s="70"/>
      <c r="AZ384" s="76"/>
      <c r="BA384" s="76"/>
      <c r="BB384" s="76"/>
      <c r="BC384" s="78"/>
    </row>
    <row r="385" spans="1:55" x14ac:dyDescent="0.25">
      <c r="A385" s="68"/>
      <c r="B385" s="68"/>
      <c r="C385" s="68"/>
      <c r="D385" s="70"/>
      <c r="E385" s="70"/>
      <c r="F385" s="70"/>
      <c r="G385" s="72"/>
      <c r="H385" s="74"/>
      <c r="I385" s="74"/>
      <c r="J385" s="75"/>
      <c r="K385" s="81"/>
      <c r="L385" s="76"/>
      <c r="M385" s="76"/>
      <c r="N385" s="76"/>
      <c r="O385" s="71"/>
      <c r="P385" s="70"/>
      <c r="Q385" s="71"/>
      <c r="R385" s="71"/>
      <c r="S385" s="70"/>
      <c r="T385" s="71"/>
      <c r="U385" s="71"/>
      <c r="V385" s="75"/>
      <c r="W385" s="69"/>
      <c r="X385" s="69"/>
      <c r="Y385" s="69"/>
      <c r="Z385" s="69"/>
      <c r="AA385" s="69"/>
      <c r="AB385" s="69"/>
      <c r="AC385" s="69"/>
      <c r="AD385" s="69"/>
      <c r="AE385" s="76"/>
      <c r="AF385" s="71"/>
      <c r="AG385" s="71"/>
      <c r="AH385" s="71"/>
      <c r="AI385" s="71"/>
      <c r="AJ385" s="71"/>
      <c r="AK385" s="71"/>
      <c r="AL385" s="71"/>
      <c r="AM385" s="71"/>
      <c r="AN385" s="68"/>
      <c r="AO385" s="68"/>
      <c r="AP385" s="70"/>
      <c r="AQ385" s="71"/>
      <c r="AR385" s="77"/>
      <c r="AS385" s="70"/>
      <c r="AT385" s="68"/>
      <c r="AU385" s="70"/>
      <c r="AV385" s="70"/>
      <c r="AW385" s="71"/>
      <c r="AX385" s="71"/>
      <c r="AY385" s="70"/>
      <c r="AZ385" s="76"/>
      <c r="BA385" s="76"/>
      <c r="BB385" s="76"/>
      <c r="BC385" s="78"/>
    </row>
    <row r="386" spans="1:55" x14ac:dyDescent="0.25">
      <c r="A386" s="68"/>
      <c r="B386" s="68"/>
      <c r="C386" s="68"/>
      <c r="D386" s="70"/>
      <c r="E386" s="70"/>
      <c r="F386" s="70"/>
      <c r="G386" s="72"/>
      <c r="H386" s="74"/>
      <c r="I386" s="74"/>
      <c r="J386" s="75"/>
      <c r="K386" s="81"/>
      <c r="L386" s="76"/>
      <c r="M386" s="76"/>
      <c r="N386" s="76"/>
      <c r="O386" s="71"/>
      <c r="P386" s="70"/>
      <c r="Q386" s="71"/>
      <c r="R386" s="71"/>
      <c r="S386" s="70"/>
      <c r="T386" s="71"/>
      <c r="U386" s="71"/>
      <c r="V386" s="75"/>
      <c r="W386" s="69"/>
      <c r="X386" s="69"/>
      <c r="Y386" s="69"/>
      <c r="Z386" s="69"/>
      <c r="AA386" s="69"/>
      <c r="AB386" s="69"/>
      <c r="AC386" s="69"/>
      <c r="AD386" s="69"/>
      <c r="AE386" s="76"/>
      <c r="AF386" s="71"/>
      <c r="AG386" s="71"/>
      <c r="AH386" s="71"/>
      <c r="AI386" s="71"/>
      <c r="AJ386" s="71"/>
      <c r="AK386" s="71"/>
      <c r="AL386" s="71"/>
      <c r="AM386" s="71"/>
      <c r="AN386" s="68"/>
      <c r="AO386" s="68"/>
      <c r="AP386" s="70"/>
      <c r="AQ386" s="71"/>
      <c r="AR386" s="77"/>
      <c r="AS386" s="70"/>
      <c r="AT386" s="68"/>
      <c r="AU386" s="70"/>
      <c r="AV386" s="70"/>
      <c r="AW386" s="71"/>
      <c r="AX386" s="71"/>
      <c r="AY386" s="70"/>
      <c r="AZ386" s="76"/>
      <c r="BA386" s="76"/>
      <c r="BB386" s="76"/>
      <c r="BC386" s="78"/>
    </row>
    <row r="387" spans="1:55" x14ac:dyDescent="0.25">
      <c r="A387" s="68"/>
      <c r="B387" s="68"/>
      <c r="C387" s="68"/>
      <c r="D387" s="70"/>
      <c r="E387" s="70"/>
      <c r="F387" s="70"/>
      <c r="G387" s="72"/>
      <c r="H387" s="74"/>
      <c r="I387" s="74"/>
      <c r="J387" s="75"/>
      <c r="K387" s="81"/>
      <c r="L387" s="76"/>
      <c r="M387" s="76"/>
      <c r="N387" s="76"/>
      <c r="O387" s="71"/>
      <c r="P387" s="70"/>
      <c r="Q387" s="71"/>
      <c r="R387" s="71"/>
      <c r="S387" s="70"/>
      <c r="T387" s="71"/>
      <c r="U387" s="71"/>
      <c r="V387" s="75"/>
      <c r="W387" s="69"/>
      <c r="X387" s="69"/>
      <c r="Y387" s="69"/>
      <c r="Z387" s="69"/>
      <c r="AA387" s="69"/>
      <c r="AB387" s="69"/>
      <c r="AC387" s="69"/>
      <c r="AD387" s="69"/>
      <c r="AE387" s="76"/>
      <c r="AF387" s="71"/>
      <c r="AG387" s="71"/>
      <c r="AH387" s="71"/>
      <c r="AI387" s="71"/>
      <c r="AJ387" s="71"/>
      <c r="AK387" s="71"/>
      <c r="AL387" s="71"/>
      <c r="AM387" s="71"/>
      <c r="AN387" s="68"/>
      <c r="AO387" s="68"/>
      <c r="AP387" s="70"/>
      <c r="AQ387" s="71"/>
      <c r="AR387" s="77"/>
      <c r="AS387" s="70"/>
      <c r="AT387" s="68"/>
      <c r="AU387" s="70"/>
      <c r="AV387" s="70"/>
      <c r="AW387" s="71"/>
      <c r="AX387" s="71"/>
      <c r="AY387" s="70"/>
      <c r="AZ387" s="76"/>
      <c r="BA387" s="76"/>
      <c r="BB387" s="76"/>
      <c r="BC387" s="78"/>
    </row>
    <row r="388" spans="1:55" x14ac:dyDescent="0.25">
      <c r="A388" s="68"/>
      <c r="B388" s="68"/>
      <c r="C388" s="68"/>
      <c r="D388" s="70"/>
      <c r="E388" s="70"/>
      <c r="F388" s="70"/>
      <c r="G388" s="72"/>
      <c r="H388" s="74"/>
      <c r="I388" s="74"/>
      <c r="J388" s="75"/>
      <c r="K388" s="81"/>
      <c r="L388" s="76"/>
      <c r="M388" s="76"/>
      <c r="N388" s="76"/>
      <c r="O388" s="71"/>
      <c r="P388" s="70"/>
      <c r="Q388" s="71"/>
      <c r="R388" s="71"/>
      <c r="S388" s="70"/>
      <c r="T388" s="71"/>
      <c r="U388" s="71"/>
      <c r="V388" s="75"/>
      <c r="W388" s="69"/>
      <c r="X388" s="69"/>
      <c r="Y388" s="69"/>
      <c r="Z388" s="69"/>
      <c r="AA388" s="69"/>
      <c r="AB388" s="69"/>
      <c r="AC388" s="69"/>
      <c r="AD388" s="69"/>
      <c r="AE388" s="76"/>
      <c r="AF388" s="71"/>
      <c r="AG388" s="71"/>
      <c r="AH388" s="71"/>
      <c r="AI388" s="71"/>
      <c r="AJ388" s="71"/>
      <c r="AK388" s="71"/>
      <c r="AL388" s="71"/>
      <c r="AM388" s="71"/>
      <c r="AN388" s="68"/>
      <c r="AO388" s="68"/>
      <c r="AP388" s="70"/>
      <c r="AQ388" s="71"/>
      <c r="AR388" s="77"/>
      <c r="AS388" s="70"/>
      <c r="AT388" s="68"/>
      <c r="AU388" s="70"/>
      <c r="AV388" s="70"/>
      <c r="AW388" s="71"/>
      <c r="AX388" s="71"/>
      <c r="AY388" s="70"/>
      <c r="AZ388" s="76"/>
      <c r="BA388" s="76"/>
      <c r="BB388" s="76"/>
      <c r="BC388" s="78"/>
    </row>
    <row r="389" spans="1:55" x14ac:dyDescent="0.25">
      <c r="A389" s="68"/>
      <c r="B389" s="68"/>
      <c r="C389" s="68"/>
      <c r="D389" s="70"/>
      <c r="E389" s="70"/>
      <c r="F389" s="70"/>
      <c r="G389" s="72"/>
      <c r="H389" s="74"/>
      <c r="I389" s="74"/>
      <c r="J389" s="75"/>
      <c r="K389" s="81"/>
      <c r="L389" s="76"/>
      <c r="M389" s="76"/>
      <c r="N389" s="76"/>
      <c r="O389" s="71"/>
      <c r="P389" s="70"/>
      <c r="Q389" s="71"/>
      <c r="R389" s="71"/>
      <c r="S389" s="70"/>
      <c r="T389" s="71"/>
      <c r="U389" s="71"/>
      <c r="V389" s="75"/>
      <c r="W389" s="69"/>
      <c r="X389" s="69"/>
      <c r="Y389" s="69"/>
      <c r="Z389" s="69"/>
      <c r="AA389" s="69"/>
      <c r="AB389" s="69"/>
      <c r="AC389" s="69"/>
      <c r="AD389" s="69"/>
      <c r="AE389" s="76"/>
      <c r="AF389" s="71"/>
      <c r="AG389" s="71"/>
      <c r="AH389" s="71"/>
      <c r="AI389" s="71"/>
      <c r="AJ389" s="71"/>
      <c r="AK389" s="71"/>
      <c r="AL389" s="71"/>
      <c r="AM389" s="71"/>
      <c r="AN389" s="68"/>
      <c r="AO389" s="68"/>
      <c r="AP389" s="70"/>
      <c r="AQ389" s="71"/>
      <c r="AR389" s="77"/>
      <c r="AS389" s="70"/>
      <c r="AT389" s="68"/>
      <c r="AU389" s="70"/>
      <c r="AV389" s="70"/>
      <c r="AW389" s="71"/>
      <c r="AX389" s="71"/>
      <c r="AY389" s="70"/>
      <c r="AZ389" s="76"/>
      <c r="BA389" s="76"/>
      <c r="BB389" s="76"/>
      <c r="BC389" s="78"/>
    </row>
    <row r="390" spans="1:55" x14ac:dyDescent="0.25">
      <c r="A390" s="68"/>
      <c r="B390" s="68"/>
      <c r="C390" s="68"/>
      <c r="D390" s="70"/>
      <c r="E390" s="70"/>
      <c r="F390" s="70"/>
      <c r="G390" s="72"/>
      <c r="H390" s="74"/>
      <c r="I390" s="74"/>
      <c r="J390" s="75"/>
      <c r="K390" s="81"/>
      <c r="L390" s="76"/>
      <c r="M390" s="76"/>
      <c r="N390" s="76"/>
      <c r="O390" s="71"/>
      <c r="P390" s="70"/>
      <c r="Q390" s="71"/>
      <c r="R390" s="71"/>
      <c r="S390" s="70"/>
      <c r="T390" s="71"/>
      <c r="U390" s="71"/>
      <c r="V390" s="75"/>
      <c r="W390" s="69"/>
      <c r="X390" s="69"/>
      <c r="Y390" s="69"/>
      <c r="Z390" s="69"/>
      <c r="AA390" s="69"/>
      <c r="AB390" s="69"/>
      <c r="AC390" s="69"/>
      <c r="AD390" s="69"/>
      <c r="AE390" s="76"/>
      <c r="AF390" s="71"/>
      <c r="AG390" s="71"/>
      <c r="AH390" s="71"/>
      <c r="AI390" s="71"/>
      <c r="AJ390" s="71"/>
      <c r="AK390" s="71"/>
      <c r="AL390" s="71"/>
      <c r="AM390" s="71"/>
      <c r="AN390" s="68"/>
      <c r="AO390" s="68"/>
      <c r="AP390" s="70"/>
      <c r="AQ390" s="71"/>
      <c r="AR390" s="77"/>
      <c r="AS390" s="70"/>
      <c r="AT390" s="68"/>
      <c r="AU390" s="70"/>
      <c r="AV390" s="70"/>
      <c r="AW390" s="71"/>
      <c r="AX390" s="71"/>
      <c r="AY390" s="70"/>
      <c r="AZ390" s="76"/>
      <c r="BA390" s="76"/>
      <c r="BB390" s="76"/>
      <c r="BC390" s="78"/>
    </row>
    <row r="391" spans="1:55" x14ac:dyDescent="0.25">
      <c r="A391" s="68"/>
      <c r="B391" s="68"/>
      <c r="C391" s="68"/>
      <c r="D391" s="70"/>
      <c r="E391" s="70"/>
      <c r="F391" s="70"/>
      <c r="G391" s="72"/>
      <c r="H391" s="74"/>
      <c r="I391" s="74"/>
      <c r="J391" s="75"/>
      <c r="K391" s="81"/>
      <c r="L391" s="76"/>
      <c r="M391" s="76"/>
      <c r="N391" s="76"/>
      <c r="O391" s="71"/>
      <c r="P391" s="70"/>
      <c r="Q391" s="71"/>
      <c r="R391" s="71"/>
      <c r="S391" s="70"/>
      <c r="T391" s="71"/>
      <c r="U391" s="71"/>
      <c r="V391" s="75"/>
      <c r="W391" s="69"/>
      <c r="X391" s="69"/>
      <c r="Y391" s="69"/>
      <c r="Z391" s="69"/>
      <c r="AA391" s="69"/>
      <c r="AB391" s="69"/>
      <c r="AC391" s="69"/>
      <c r="AD391" s="69"/>
      <c r="AE391" s="76"/>
      <c r="AF391" s="71"/>
      <c r="AG391" s="71"/>
      <c r="AH391" s="71"/>
      <c r="AI391" s="71"/>
      <c r="AJ391" s="71"/>
      <c r="AK391" s="71"/>
      <c r="AL391" s="71"/>
      <c r="AM391" s="71"/>
      <c r="AN391" s="68"/>
      <c r="AO391" s="68"/>
      <c r="AP391" s="70"/>
      <c r="AQ391" s="71"/>
      <c r="AR391" s="77"/>
      <c r="AS391" s="70"/>
      <c r="AT391" s="68"/>
      <c r="AU391" s="70"/>
      <c r="AV391" s="70"/>
      <c r="AW391" s="71"/>
      <c r="AX391" s="71"/>
      <c r="AY391" s="70"/>
      <c r="AZ391" s="76"/>
      <c r="BA391" s="76"/>
      <c r="BB391" s="76"/>
      <c r="BC391" s="78"/>
    </row>
    <row r="392" spans="1:55" x14ac:dyDescent="0.25">
      <c r="A392" s="68"/>
      <c r="B392" s="68"/>
      <c r="C392" s="68"/>
      <c r="D392" s="70"/>
      <c r="E392" s="70"/>
      <c r="F392" s="70"/>
      <c r="G392" s="72"/>
      <c r="H392" s="74"/>
      <c r="I392" s="74"/>
      <c r="J392" s="75"/>
      <c r="K392" s="81"/>
      <c r="L392" s="76"/>
      <c r="M392" s="76"/>
      <c r="N392" s="76"/>
      <c r="O392" s="71"/>
      <c r="P392" s="70"/>
      <c r="Q392" s="71"/>
      <c r="R392" s="71"/>
      <c r="S392" s="70"/>
      <c r="T392" s="71"/>
      <c r="U392" s="71"/>
      <c r="V392" s="75"/>
      <c r="W392" s="69"/>
      <c r="X392" s="69"/>
      <c r="Y392" s="69"/>
      <c r="Z392" s="69"/>
      <c r="AA392" s="69"/>
      <c r="AB392" s="69"/>
      <c r="AC392" s="69"/>
      <c r="AD392" s="69"/>
      <c r="AE392" s="76"/>
      <c r="AF392" s="71"/>
      <c r="AG392" s="71"/>
      <c r="AH392" s="71"/>
      <c r="AI392" s="71"/>
      <c r="AJ392" s="71"/>
      <c r="AK392" s="71"/>
      <c r="AL392" s="71"/>
      <c r="AM392" s="71"/>
      <c r="AN392" s="68"/>
      <c r="AO392" s="68"/>
      <c r="AP392" s="70"/>
      <c r="AQ392" s="71"/>
      <c r="AR392" s="77"/>
      <c r="AS392" s="70"/>
      <c r="AT392" s="68"/>
      <c r="AU392" s="70"/>
      <c r="AV392" s="70"/>
      <c r="AW392" s="71"/>
      <c r="AX392" s="71"/>
      <c r="AY392" s="70"/>
      <c r="AZ392" s="76"/>
      <c r="BA392" s="76"/>
      <c r="BB392" s="76"/>
      <c r="BC392" s="78"/>
    </row>
    <row r="393" spans="1:55" x14ac:dyDescent="0.25">
      <c r="A393" s="68"/>
      <c r="B393" s="68"/>
      <c r="C393" s="68"/>
      <c r="D393" s="70"/>
      <c r="E393" s="70"/>
      <c r="F393" s="70"/>
      <c r="G393" s="72"/>
      <c r="H393" s="74"/>
      <c r="I393" s="74"/>
      <c r="J393" s="75"/>
      <c r="K393" s="81"/>
      <c r="L393" s="76"/>
      <c r="M393" s="76"/>
      <c r="N393" s="76"/>
      <c r="O393" s="71"/>
      <c r="P393" s="70"/>
      <c r="Q393" s="71"/>
      <c r="R393" s="71"/>
      <c r="S393" s="70"/>
      <c r="T393" s="71"/>
      <c r="U393" s="71"/>
      <c r="V393" s="75"/>
      <c r="W393" s="69"/>
      <c r="X393" s="69"/>
      <c r="Y393" s="69"/>
      <c r="Z393" s="69"/>
      <c r="AA393" s="69"/>
      <c r="AB393" s="69"/>
      <c r="AC393" s="69"/>
      <c r="AD393" s="69"/>
      <c r="AE393" s="76"/>
      <c r="AF393" s="71"/>
      <c r="AG393" s="71"/>
      <c r="AH393" s="71"/>
      <c r="AI393" s="71"/>
      <c r="AJ393" s="71"/>
      <c r="AK393" s="71"/>
      <c r="AL393" s="71"/>
      <c r="AM393" s="71"/>
      <c r="AN393" s="68"/>
      <c r="AO393" s="68"/>
      <c r="AP393" s="70"/>
      <c r="AQ393" s="71"/>
      <c r="AR393" s="77"/>
      <c r="AS393" s="70"/>
      <c r="AT393" s="68"/>
      <c r="AU393" s="70"/>
      <c r="AV393" s="70"/>
      <c r="AW393" s="71"/>
      <c r="AX393" s="71"/>
      <c r="AY393" s="70"/>
      <c r="AZ393" s="76"/>
      <c r="BA393" s="76"/>
      <c r="BB393" s="76"/>
      <c r="BC393" s="78"/>
    </row>
    <row r="394" spans="1:55" x14ac:dyDescent="0.25">
      <c r="A394" s="68"/>
      <c r="B394" s="68"/>
      <c r="C394" s="68"/>
      <c r="D394" s="70"/>
      <c r="E394" s="70"/>
      <c r="F394" s="70"/>
      <c r="G394" s="72"/>
      <c r="H394" s="74"/>
      <c r="I394" s="74"/>
      <c r="J394" s="75"/>
      <c r="K394" s="81"/>
      <c r="L394" s="76"/>
      <c r="M394" s="76"/>
      <c r="N394" s="76"/>
      <c r="O394" s="71"/>
      <c r="P394" s="70"/>
      <c r="Q394" s="71"/>
      <c r="R394" s="71"/>
      <c r="S394" s="70"/>
      <c r="T394" s="71"/>
      <c r="U394" s="71"/>
      <c r="V394" s="75"/>
      <c r="W394" s="69"/>
      <c r="X394" s="69"/>
      <c r="Y394" s="69"/>
      <c r="Z394" s="69"/>
      <c r="AA394" s="69"/>
      <c r="AB394" s="69"/>
      <c r="AC394" s="69"/>
      <c r="AD394" s="69"/>
      <c r="AE394" s="76"/>
      <c r="AF394" s="71"/>
      <c r="AG394" s="71"/>
      <c r="AH394" s="71"/>
      <c r="AI394" s="71"/>
      <c r="AJ394" s="71"/>
      <c r="AK394" s="71"/>
      <c r="AL394" s="71"/>
      <c r="AM394" s="71"/>
      <c r="AN394" s="68"/>
      <c r="AO394" s="68"/>
      <c r="AP394" s="70"/>
      <c r="AQ394" s="71"/>
      <c r="AR394" s="77"/>
      <c r="AS394" s="70"/>
      <c r="AT394" s="68"/>
      <c r="AU394" s="70"/>
      <c r="AV394" s="70"/>
      <c r="AW394" s="71"/>
      <c r="AX394" s="71"/>
      <c r="AY394" s="70"/>
      <c r="AZ394" s="76"/>
      <c r="BA394" s="76"/>
      <c r="BB394" s="76"/>
      <c r="BC394" s="78"/>
    </row>
    <row r="395" spans="1:55" x14ac:dyDescent="0.25">
      <c r="A395" s="68"/>
      <c r="B395" s="68"/>
      <c r="C395" s="68"/>
      <c r="D395" s="70"/>
      <c r="E395" s="70"/>
      <c r="F395" s="70"/>
      <c r="G395" s="72"/>
      <c r="H395" s="74"/>
      <c r="I395" s="74"/>
      <c r="J395" s="75"/>
      <c r="K395" s="81"/>
      <c r="L395" s="76"/>
      <c r="M395" s="76"/>
      <c r="N395" s="76"/>
      <c r="O395" s="71"/>
      <c r="P395" s="70"/>
      <c r="Q395" s="71"/>
      <c r="R395" s="71"/>
      <c r="S395" s="70"/>
      <c r="T395" s="71"/>
      <c r="U395" s="71"/>
      <c r="V395" s="75"/>
      <c r="W395" s="69"/>
      <c r="X395" s="69"/>
      <c r="Y395" s="69"/>
      <c r="Z395" s="69"/>
      <c r="AA395" s="69"/>
      <c r="AB395" s="69"/>
      <c r="AC395" s="69"/>
      <c r="AD395" s="69"/>
      <c r="AE395" s="76"/>
      <c r="AF395" s="71"/>
      <c r="AG395" s="71"/>
      <c r="AH395" s="71"/>
      <c r="AI395" s="71"/>
      <c r="AJ395" s="71"/>
      <c r="AK395" s="71"/>
      <c r="AL395" s="71"/>
      <c r="AM395" s="71"/>
      <c r="AN395" s="68"/>
      <c r="AO395" s="68"/>
      <c r="AP395" s="70"/>
      <c r="AQ395" s="71"/>
      <c r="AR395" s="77"/>
      <c r="AS395" s="70"/>
      <c r="AT395" s="68"/>
      <c r="AU395" s="70"/>
      <c r="AV395" s="70"/>
      <c r="AW395" s="71"/>
      <c r="AX395" s="71"/>
      <c r="AY395" s="70"/>
      <c r="AZ395" s="76"/>
      <c r="BA395" s="76"/>
      <c r="BB395" s="76"/>
      <c r="BC395" s="78"/>
    </row>
    <row r="396" spans="1:55" x14ac:dyDescent="0.25">
      <c r="A396" s="68"/>
      <c r="B396" s="68"/>
      <c r="C396" s="68"/>
      <c r="D396" s="70"/>
      <c r="E396" s="70"/>
      <c r="F396" s="70"/>
      <c r="G396" s="72"/>
      <c r="H396" s="74"/>
      <c r="I396" s="74"/>
      <c r="J396" s="75"/>
      <c r="K396" s="81"/>
      <c r="L396" s="76"/>
      <c r="M396" s="76"/>
      <c r="N396" s="76"/>
      <c r="O396" s="71"/>
      <c r="P396" s="70"/>
      <c r="Q396" s="71"/>
      <c r="R396" s="71"/>
      <c r="S396" s="70"/>
      <c r="T396" s="71"/>
      <c r="U396" s="71"/>
      <c r="V396" s="75"/>
      <c r="W396" s="69"/>
      <c r="X396" s="69"/>
      <c r="Y396" s="69"/>
      <c r="Z396" s="69"/>
      <c r="AA396" s="69"/>
      <c r="AB396" s="69"/>
      <c r="AC396" s="69"/>
      <c r="AD396" s="69"/>
      <c r="AE396" s="76"/>
      <c r="AF396" s="71"/>
      <c r="AG396" s="71"/>
      <c r="AH396" s="71"/>
      <c r="AI396" s="71"/>
      <c r="AJ396" s="71"/>
      <c r="AK396" s="71"/>
      <c r="AL396" s="71"/>
      <c r="AM396" s="71"/>
      <c r="AN396" s="68"/>
      <c r="AO396" s="68"/>
      <c r="AP396" s="70"/>
      <c r="AQ396" s="71"/>
      <c r="AR396" s="77"/>
      <c r="AS396" s="70"/>
      <c r="AT396" s="68"/>
      <c r="AU396" s="70"/>
      <c r="AV396" s="70"/>
      <c r="AW396" s="71"/>
      <c r="AX396" s="71"/>
      <c r="AY396" s="70"/>
      <c r="AZ396" s="76"/>
      <c r="BA396" s="76"/>
      <c r="BB396" s="76"/>
      <c r="BC396" s="78"/>
    </row>
    <row r="397" spans="1:55" x14ac:dyDescent="0.25">
      <c r="A397" s="68"/>
      <c r="B397" s="68"/>
      <c r="C397" s="68"/>
      <c r="D397" s="70"/>
      <c r="E397" s="70"/>
      <c r="F397" s="70"/>
      <c r="G397" s="72"/>
      <c r="H397" s="74"/>
      <c r="I397" s="74"/>
      <c r="J397" s="75"/>
      <c r="K397" s="81"/>
      <c r="L397" s="76"/>
      <c r="M397" s="76"/>
      <c r="N397" s="76"/>
      <c r="O397" s="71"/>
      <c r="P397" s="70"/>
      <c r="Q397" s="71"/>
      <c r="R397" s="71"/>
      <c r="S397" s="70"/>
      <c r="T397" s="71"/>
      <c r="U397" s="71"/>
      <c r="V397" s="75"/>
      <c r="W397" s="69"/>
      <c r="X397" s="69"/>
      <c r="Y397" s="69"/>
      <c r="Z397" s="69"/>
      <c r="AA397" s="69"/>
      <c r="AB397" s="69"/>
      <c r="AC397" s="69"/>
      <c r="AD397" s="69"/>
      <c r="AE397" s="76"/>
      <c r="AF397" s="71"/>
      <c r="AG397" s="71"/>
      <c r="AH397" s="71"/>
      <c r="AI397" s="71"/>
      <c r="AJ397" s="71"/>
      <c r="AK397" s="71"/>
      <c r="AL397" s="71"/>
      <c r="AM397" s="71"/>
      <c r="AN397" s="68"/>
      <c r="AO397" s="68"/>
      <c r="AP397" s="70"/>
      <c r="AQ397" s="71"/>
      <c r="AR397" s="77"/>
      <c r="AS397" s="70"/>
      <c r="AT397" s="68"/>
      <c r="AU397" s="70"/>
      <c r="AV397" s="70"/>
      <c r="AW397" s="71"/>
      <c r="AX397" s="71"/>
      <c r="AY397" s="70"/>
      <c r="AZ397" s="76"/>
      <c r="BA397" s="76"/>
      <c r="BB397" s="76"/>
      <c r="BC397" s="78"/>
    </row>
    <row r="398" spans="1:55" x14ac:dyDescent="0.25">
      <c r="A398" s="68"/>
      <c r="B398" s="68"/>
      <c r="C398" s="68"/>
      <c r="D398" s="70"/>
      <c r="E398" s="70"/>
      <c r="F398" s="70"/>
      <c r="G398" s="72"/>
      <c r="H398" s="74"/>
      <c r="I398" s="74"/>
      <c r="J398" s="75"/>
      <c r="K398" s="81"/>
      <c r="L398" s="76"/>
      <c r="M398" s="76"/>
      <c r="N398" s="76"/>
      <c r="O398" s="71"/>
      <c r="P398" s="70"/>
      <c r="Q398" s="71"/>
      <c r="R398" s="71"/>
      <c r="S398" s="70"/>
      <c r="T398" s="71"/>
      <c r="U398" s="71"/>
      <c r="V398" s="75"/>
      <c r="W398" s="69"/>
      <c r="X398" s="69"/>
      <c r="Y398" s="69"/>
      <c r="Z398" s="69"/>
      <c r="AA398" s="69"/>
      <c r="AB398" s="69"/>
      <c r="AC398" s="69"/>
      <c r="AD398" s="69"/>
      <c r="AE398" s="76"/>
      <c r="AF398" s="71"/>
      <c r="AG398" s="71"/>
      <c r="AH398" s="71"/>
      <c r="AI398" s="71"/>
      <c r="AJ398" s="71"/>
      <c r="AK398" s="71"/>
      <c r="AL398" s="71"/>
      <c r="AM398" s="71"/>
      <c r="AN398" s="68"/>
      <c r="AO398" s="68"/>
      <c r="AP398" s="70"/>
      <c r="AQ398" s="71"/>
      <c r="AR398" s="77"/>
      <c r="AS398" s="70"/>
      <c r="AT398" s="68"/>
      <c r="AU398" s="70"/>
      <c r="AV398" s="70"/>
      <c r="AW398" s="71"/>
      <c r="AX398" s="71"/>
      <c r="AY398" s="70"/>
      <c r="AZ398" s="76"/>
      <c r="BA398" s="76"/>
      <c r="BB398" s="76"/>
      <c r="BC398" s="78"/>
    </row>
    <row r="399" spans="1:55" x14ac:dyDescent="0.25">
      <c r="A399" s="68"/>
      <c r="B399" s="68"/>
      <c r="C399" s="68"/>
      <c r="D399" s="70"/>
      <c r="E399" s="70"/>
      <c r="F399" s="70"/>
      <c r="G399" s="72"/>
      <c r="H399" s="74"/>
      <c r="I399" s="74"/>
      <c r="J399" s="75"/>
      <c r="K399" s="81"/>
      <c r="L399" s="76"/>
      <c r="M399" s="76"/>
      <c r="N399" s="76"/>
      <c r="O399" s="71"/>
      <c r="P399" s="70"/>
      <c r="Q399" s="71"/>
      <c r="R399" s="71"/>
      <c r="S399" s="70"/>
      <c r="T399" s="71"/>
      <c r="U399" s="71"/>
      <c r="V399" s="75"/>
      <c r="W399" s="69"/>
      <c r="X399" s="69"/>
      <c r="Y399" s="69"/>
      <c r="Z399" s="69"/>
      <c r="AA399" s="69"/>
      <c r="AB399" s="69"/>
      <c r="AC399" s="69"/>
      <c r="AD399" s="69"/>
      <c r="AE399" s="76"/>
      <c r="AF399" s="71"/>
      <c r="AG399" s="71"/>
      <c r="AH399" s="71"/>
      <c r="AI399" s="71"/>
      <c r="AJ399" s="71"/>
      <c r="AK399" s="71"/>
      <c r="AL399" s="71"/>
      <c r="AM399" s="71"/>
      <c r="AN399" s="68"/>
      <c r="AO399" s="68"/>
      <c r="AP399" s="70"/>
      <c r="AQ399" s="71"/>
      <c r="AR399" s="77"/>
      <c r="AS399" s="70"/>
      <c r="AT399" s="68"/>
      <c r="AU399" s="70"/>
      <c r="AV399" s="70"/>
      <c r="AW399" s="71"/>
      <c r="AX399" s="71"/>
      <c r="AY399" s="70"/>
      <c r="AZ399" s="76"/>
      <c r="BA399" s="76"/>
      <c r="BB399" s="76"/>
      <c r="BC399" s="78"/>
    </row>
    <row r="400" spans="1:55" x14ac:dyDescent="0.25">
      <c r="A400" s="68"/>
      <c r="B400" s="68"/>
      <c r="C400" s="68"/>
      <c r="D400" s="70"/>
      <c r="E400" s="70"/>
      <c r="F400" s="70"/>
      <c r="G400" s="72"/>
      <c r="H400" s="74"/>
      <c r="I400" s="74"/>
      <c r="J400" s="75"/>
      <c r="K400" s="81"/>
      <c r="L400" s="76"/>
      <c r="M400" s="76"/>
      <c r="N400" s="76"/>
      <c r="O400" s="71"/>
      <c r="P400" s="70"/>
      <c r="Q400" s="71"/>
      <c r="R400" s="71"/>
      <c r="S400" s="70"/>
      <c r="T400" s="71"/>
      <c r="U400" s="71"/>
      <c r="V400" s="75"/>
      <c r="W400" s="69"/>
      <c r="X400" s="69"/>
      <c r="Y400" s="69"/>
      <c r="Z400" s="69"/>
      <c r="AA400" s="69"/>
      <c r="AB400" s="69"/>
      <c r="AC400" s="69"/>
      <c r="AD400" s="69"/>
      <c r="AE400" s="76"/>
      <c r="AF400" s="71"/>
      <c r="AG400" s="71"/>
      <c r="AH400" s="71"/>
      <c r="AI400" s="71"/>
      <c r="AJ400" s="71"/>
      <c r="AK400" s="71"/>
      <c r="AL400" s="71"/>
      <c r="AM400" s="71"/>
      <c r="AN400" s="68"/>
      <c r="AO400" s="68"/>
      <c r="AP400" s="70"/>
      <c r="AQ400" s="71"/>
      <c r="AR400" s="77"/>
      <c r="AS400" s="70"/>
      <c r="AT400" s="68"/>
      <c r="AU400" s="70"/>
      <c r="AV400" s="70"/>
      <c r="AW400" s="71"/>
      <c r="AX400" s="71"/>
      <c r="AY400" s="70"/>
      <c r="AZ400" s="76"/>
      <c r="BA400" s="76"/>
      <c r="BB400" s="76"/>
      <c r="BC400" s="78"/>
    </row>
    <row r="401" spans="1:55" x14ac:dyDescent="0.25">
      <c r="A401" s="68"/>
      <c r="B401" s="68"/>
      <c r="C401" s="68"/>
      <c r="D401" s="70"/>
      <c r="E401" s="70"/>
      <c r="F401" s="70"/>
      <c r="G401" s="72"/>
      <c r="H401" s="74"/>
      <c r="I401" s="74"/>
      <c r="J401" s="75"/>
      <c r="K401" s="81"/>
      <c r="L401" s="76"/>
      <c r="M401" s="76"/>
      <c r="N401" s="76"/>
      <c r="O401" s="71"/>
      <c r="P401" s="70"/>
      <c r="Q401" s="71"/>
      <c r="R401" s="71"/>
      <c r="S401" s="70"/>
      <c r="T401" s="71"/>
      <c r="U401" s="71"/>
      <c r="V401" s="75"/>
      <c r="W401" s="69"/>
      <c r="X401" s="69"/>
      <c r="Y401" s="69"/>
      <c r="Z401" s="69"/>
      <c r="AA401" s="69"/>
      <c r="AB401" s="69"/>
      <c r="AC401" s="69"/>
      <c r="AD401" s="69"/>
      <c r="AE401" s="76"/>
      <c r="AF401" s="71"/>
      <c r="AG401" s="71"/>
      <c r="AH401" s="71"/>
      <c r="AI401" s="71"/>
      <c r="AJ401" s="71"/>
      <c r="AK401" s="71"/>
      <c r="AL401" s="71"/>
      <c r="AM401" s="71"/>
      <c r="AN401" s="68"/>
      <c r="AO401" s="68"/>
      <c r="AP401" s="70"/>
      <c r="AQ401" s="71"/>
      <c r="AR401" s="77"/>
      <c r="AS401" s="70"/>
      <c r="AT401" s="68"/>
      <c r="AU401" s="70"/>
      <c r="AV401" s="70"/>
      <c r="AW401" s="71"/>
      <c r="AX401" s="71"/>
      <c r="AY401" s="70"/>
      <c r="AZ401" s="76"/>
      <c r="BA401" s="76"/>
      <c r="BB401" s="76"/>
      <c r="BC401" s="78"/>
    </row>
    <row r="402" spans="1:55" x14ac:dyDescent="0.25">
      <c r="A402" s="68"/>
      <c r="B402" s="68"/>
      <c r="C402" s="68"/>
      <c r="D402" s="70"/>
      <c r="E402" s="70"/>
      <c r="F402" s="70"/>
      <c r="G402" s="72"/>
      <c r="H402" s="74"/>
      <c r="I402" s="74"/>
      <c r="J402" s="75"/>
      <c r="K402" s="81"/>
      <c r="L402" s="76"/>
      <c r="M402" s="76"/>
      <c r="N402" s="76"/>
      <c r="O402" s="71"/>
      <c r="P402" s="70"/>
      <c r="Q402" s="71"/>
      <c r="R402" s="71"/>
      <c r="S402" s="70"/>
      <c r="T402" s="71"/>
      <c r="U402" s="71"/>
      <c r="V402" s="75"/>
      <c r="W402" s="69"/>
      <c r="X402" s="69"/>
      <c r="Y402" s="69"/>
      <c r="Z402" s="69"/>
      <c r="AA402" s="69"/>
      <c r="AB402" s="69"/>
      <c r="AC402" s="69"/>
      <c r="AD402" s="69"/>
      <c r="AE402" s="76"/>
      <c r="AF402" s="71"/>
      <c r="AG402" s="71"/>
      <c r="AH402" s="71"/>
      <c r="AI402" s="71"/>
      <c r="AJ402" s="71"/>
      <c r="AK402" s="71"/>
      <c r="AL402" s="71"/>
      <c r="AM402" s="71"/>
      <c r="AN402" s="68"/>
      <c r="AO402" s="68"/>
      <c r="AP402" s="70"/>
      <c r="AQ402" s="71"/>
      <c r="AR402" s="77"/>
      <c r="AS402" s="70"/>
      <c r="AT402" s="68"/>
      <c r="AU402" s="70"/>
      <c r="AV402" s="70"/>
      <c r="AW402" s="71"/>
      <c r="AX402" s="71"/>
      <c r="AY402" s="70"/>
      <c r="AZ402" s="76"/>
      <c r="BA402" s="76"/>
      <c r="BB402" s="76"/>
      <c r="BC402" s="78"/>
    </row>
    <row r="403" spans="1:55" x14ac:dyDescent="0.25">
      <c r="A403" s="68"/>
      <c r="B403" s="68"/>
      <c r="C403" s="68"/>
      <c r="D403" s="70"/>
      <c r="E403" s="70"/>
      <c r="F403" s="70"/>
      <c r="G403" s="72"/>
      <c r="H403" s="74"/>
      <c r="I403" s="74"/>
      <c r="J403" s="75"/>
      <c r="K403" s="81"/>
      <c r="L403" s="76"/>
      <c r="M403" s="76"/>
      <c r="N403" s="76"/>
      <c r="O403" s="71"/>
      <c r="P403" s="70"/>
      <c r="Q403" s="71"/>
      <c r="R403" s="71"/>
      <c r="S403" s="70"/>
      <c r="T403" s="71"/>
      <c r="U403" s="71"/>
      <c r="V403" s="75"/>
      <c r="W403" s="69"/>
      <c r="X403" s="69"/>
      <c r="Y403" s="69"/>
      <c r="Z403" s="69"/>
      <c r="AA403" s="69"/>
      <c r="AB403" s="69"/>
      <c r="AC403" s="69"/>
      <c r="AD403" s="69"/>
      <c r="AE403" s="76"/>
      <c r="AF403" s="71"/>
      <c r="AG403" s="71"/>
      <c r="AH403" s="71"/>
      <c r="AI403" s="71"/>
      <c r="AJ403" s="71"/>
      <c r="AK403" s="71"/>
      <c r="AL403" s="71"/>
      <c r="AM403" s="71"/>
      <c r="AN403" s="68"/>
      <c r="AO403" s="68"/>
      <c r="AP403" s="70"/>
      <c r="AQ403" s="71"/>
      <c r="AR403" s="77"/>
      <c r="AS403" s="70"/>
      <c r="AT403" s="68"/>
      <c r="AU403" s="70"/>
      <c r="AV403" s="70"/>
      <c r="AW403" s="71"/>
      <c r="AX403" s="71"/>
      <c r="AY403" s="70"/>
      <c r="AZ403" s="76"/>
      <c r="BA403" s="76"/>
      <c r="BB403" s="76"/>
      <c r="BC403" s="78"/>
    </row>
    <row r="404" spans="1:55" x14ac:dyDescent="0.25">
      <c r="A404" s="68"/>
      <c r="B404" s="68"/>
      <c r="C404" s="68"/>
      <c r="D404" s="70"/>
      <c r="E404" s="70"/>
      <c r="F404" s="70"/>
      <c r="G404" s="72"/>
      <c r="H404" s="74"/>
      <c r="I404" s="74"/>
      <c r="J404" s="75"/>
      <c r="K404" s="81"/>
      <c r="L404" s="76"/>
      <c r="M404" s="76"/>
      <c r="N404" s="76"/>
      <c r="O404" s="71"/>
      <c r="P404" s="70"/>
      <c r="Q404" s="71"/>
      <c r="R404" s="71"/>
      <c r="S404" s="70"/>
      <c r="T404" s="71"/>
      <c r="U404" s="71"/>
      <c r="V404" s="75"/>
      <c r="W404" s="69"/>
      <c r="X404" s="69"/>
      <c r="Y404" s="69"/>
      <c r="Z404" s="69"/>
      <c r="AA404" s="69"/>
      <c r="AB404" s="69"/>
      <c r="AC404" s="69"/>
      <c r="AD404" s="69"/>
      <c r="AE404" s="76"/>
      <c r="AF404" s="71"/>
      <c r="AG404" s="71"/>
      <c r="AH404" s="71"/>
      <c r="AI404" s="71"/>
      <c r="AJ404" s="71"/>
      <c r="AK404" s="71"/>
      <c r="AL404" s="71"/>
      <c r="AM404" s="71"/>
      <c r="AN404" s="68"/>
      <c r="AO404" s="68"/>
      <c r="AP404" s="70"/>
      <c r="AQ404" s="71"/>
      <c r="AR404" s="77"/>
      <c r="AS404" s="70"/>
      <c r="AT404" s="68"/>
      <c r="AU404" s="70"/>
      <c r="AV404" s="70"/>
      <c r="AW404" s="71"/>
      <c r="AX404" s="71"/>
      <c r="AY404" s="70"/>
      <c r="AZ404" s="76"/>
      <c r="BA404" s="76"/>
      <c r="BB404" s="76"/>
      <c r="BC404" s="78"/>
    </row>
    <row r="405" spans="1:55" x14ac:dyDescent="0.25">
      <c r="A405" s="68"/>
      <c r="B405" s="68"/>
      <c r="C405" s="68"/>
      <c r="D405" s="70"/>
      <c r="E405" s="70"/>
      <c r="F405" s="70"/>
      <c r="G405" s="72"/>
      <c r="H405" s="74"/>
      <c r="I405" s="74"/>
      <c r="J405" s="75"/>
      <c r="K405" s="81"/>
      <c r="L405" s="76"/>
      <c r="M405" s="76"/>
      <c r="N405" s="76"/>
      <c r="O405" s="71"/>
      <c r="P405" s="70"/>
      <c r="Q405" s="71"/>
      <c r="R405" s="71"/>
      <c r="S405" s="70"/>
      <c r="T405" s="71"/>
      <c r="U405" s="71"/>
      <c r="V405" s="75"/>
      <c r="W405" s="69"/>
      <c r="X405" s="69"/>
      <c r="Y405" s="69"/>
      <c r="Z405" s="69"/>
      <c r="AA405" s="69"/>
      <c r="AB405" s="69"/>
      <c r="AC405" s="69"/>
      <c r="AD405" s="69"/>
      <c r="AE405" s="76"/>
      <c r="AF405" s="71"/>
      <c r="AG405" s="71"/>
      <c r="AH405" s="71"/>
      <c r="AI405" s="71"/>
      <c r="AJ405" s="71"/>
      <c r="AK405" s="71"/>
      <c r="AL405" s="71"/>
      <c r="AM405" s="71"/>
      <c r="AN405" s="68"/>
      <c r="AO405" s="68"/>
      <c r="AP405" s="70"/>
      <c r="AQ405" s="71"/>
      <c r="AR405" s="77"/>
      <c r="AS405" s="70"/>
      <c r="AT405" s="68"/>
      <c r="AU405" s="70"/>
      <c r="AV405" s="70"/>
      <c r="AW405" s="71"/>
      <c r="AX405" s="71"/>
      <c r="AY405" s="70"/>
      <c r="AZ405" s="76"/>
      <c r="BA405" s="76"/>
      <c r="BB405" s="76"/>
      <c r="BC405" s="78"/>
    </row>
    <row r="406" spans="1:55" x14ac:dyDescent="0.25">
      <c r="A406" s="68"/>
      <c r="B406" s="68"/>
      <c r="C406" s="68"/>
      <c r="D406" s="70"/>
      <c r="E406" s="70"/>
      <c r="F406" s="70"/>
      <c r="G406" s="72"/>
      <c r="H406" s="74"/>
      <c r="I406" s="74"/>
      <c r="J406" s="75"/>
      <c r="K406" s="81"/>
      <c r="L406" s="76"/>
      <c r="M406" s="76"/>
      <c r="N406" s="76"/>
      <c r="O406" s="71"/>
      <c r="P406" s="70"/>
      <c r="Q406" s="71"/>
      <c r="R406" s="71"/>
      <c r="S406" s="70"/>
      <c r="T406" s="71"/>
      <c r="U406" s="71"/>
      <c r="V406" s="75"/>
      <c r="W406" s="69"/>
      <c r="X406" s="69"/>
      <c r="Y406" s="69"/>
      <c r="Z406" s="69"/>
      <c r="AA406" s="69"/>
      <c r="AB406" s="69"/>
      <c r="AC406" s="69"/>
      <c r="AD406" s="69"/>
      <c r="AE406" s="76"/>
      <c r="AF406" s="71"/>
      <c r="AG406" s="71"/>
      <c r="AH406" s="71"/>
      <c r="AI406" s="71"/>
      <c r="AJ406" s="71"/>
      <c r="AK406" s="71"/>
      <c r="AL406" s="71"/>
      <c r="AM406" s="71"/>
      <c r="AN406" s="68"/>
      <c r="AO406" s="68"/>
      <c r="AP406" s="70"/>
      <c r="AQ406" s="71"/>
      <c r="AR406" s="77"/>
      <c r="AS406" s="70"/>
      <c r="AT406" s="68"/>
      <c r="AU406" s="70"/>
      <c r="AV406" s="70"/>
      <c r="AW406" s="71"/>
      <c r="AX406" s="71"/>
      <c r="AY406" s="70"/>
      <c r="AZ406" s="76"/>
      <c r="BA406" s="76"/>
      <c r="BB406" s="76"/>
      <c r="BC406" s="78"/>
    </row>
    <row r="407" spans="1:55" x14ac:dyDescent="0.25">
      <c r="A407" s="68"/>
      <c r="B407" s="68"/>
      <c r="C407" s="68"/>
      <c r="D407" s="70"/>
      <c r="E407" s="70"/>
      <c r="F407" s="70"/>
      <c r="G407" s="72"/>
      <c r="H407" s="74"/>
      <c r="I407" s="74"/>
      <c r="J407" s="75"/>
      <c r="K407" s="81"/>
      <c r="L407" s="76"/>
      <c r="M407" s="76"/>
      <c r="N407" s="76"/>
      <c r="O407" s="71"/>
      <c r="P407" s="70"/>
      <c r="Q407" s="71"/>
      <c r="R407" s="71"/>
      <c r="S407" s="70"/>
      <c r="T407" s="71"/>
      <c r="U407" s="71"/>
      <c r="V407" s="75"/>
      <c r="W407" s="69"/>
      <c r="X407" s="69"/>
      <c r="Y407" s="69"/>
      <c r="Z407" s="69"/>
      <c r="AA407" s="69"/>
      <c r="AB407" s="69"/>
      <c r="AC407" s="69"/>
      <c r="AD407" s="69"/>
      <c r="AE407" s="76"/>
      <c r="AF407" s="71"/>
      <c r="AG407" s="71"/>
      <c r="AH407" s="71"/>
      <c r="AI407" s="71"/>
      <c r="AJ407" s="71"/>
      <c r="AK407" s="71"/>
      <c r="AL407" s="71"/>
      <c r="AM407" s="71"/>
      <c r="AN407" s="68"/>
      <c r="AO407" s="68"/>
      <c r="AP407" s="70"/>
      <c r="AQ407" s="71"/>
      <c r="AR407" s="77"/>
      <c r="AS407" s="70"/>
      <c r="AT407" s="68"/>
      <c r="AU407" s="70"/>
      <c r="AV407" s="70"/>
      <c r="AW407" s="71"/>
      <c r="AX407" s="71"/>
      <c r="AY407" s="70"/>
      <c r="AZ407" s="76"/>
      <c r="BA407" s="76"/>
      <c r="BB407" s="76"/>
      <c r="BC407" s="78"/>
    </row>
    <row r="408" spans="1:55" x14ac:dyDescent="0.25">
      <c r="A408" s="68"/>
      <c r="B408" s="68"/>
      <c r="C408" s="68"/>
      <c r="D408" s="70"/>
      <c r="E408" s="70"/>
      <c r="F408" s="70"/>
      <c r="G408" s="72"/>
      <c r="H408" s="74"/>
      <c r="I408" s="74"/>
      <c r="J408" s="75"/>
      <c r="K408" s="81"/>
      <c r="L408" s="76"/>
      <c r="M408" s="76"/>
      <c r="N408" s="76"/>
      <c r="O408" s="71"/>
      <c r="P408" s="70"/>
      <c r="Q408" s="71"/>
      <c r="R408" s="71"/>
      <c r="S408" s="70"/>
      <c r="T408" s="71"/>
      <c r="U408" s="71"/>
      <c r="V408" s="75"/>
      <c r="W408" s="69"/>
      <c r="X408" s="69"/>
      <c r="Y408" s="69"/>
      <c r="Z408" s="69"/>
      <c r="AA408" s="69"/>
      <c r="AB408" s="69"/>
      <c r="AC408" s="69"/>
      <c r="AD408" s="69"/>
      <c r="AE408" s="76"/>
      <c r="AF408" s="71"/>
      <c r="AG408" s="71"/>
      <c r="AH408" s="71"/>
      <c r="AI408" s="71"/>
      <c r="AJ408" s="71"/>
      <c r="AK408" s="71"/>
      <c r="AL408" s="71"/>
      <c r="AM408" s="71"/>
      <c r="AN408" s="68"/>
      <c r="AO408" s="68"/>
      <c r="AP408" s="70"/>
      <c r="AQ408" s="71"/>
      <c r="AR408" s="77"/>
      <c r="AS408" s="70"/>
      <c r="AT408" s="68"/>
      <c r="AU408" s="70"/>
      <c r="AV408" s="70"/>
      <c r="AW408" s="71"/>
      <c r="AX408" s="71"/>
      <c r="AY408" s="70"/>
      <c r="AZ408" s="76"/>
      <c r="BA408" s="76"/>
      <c r="BB408" s="76"/>
      <c r="BC408" s="78"/>
    </row>
    <row r="409" spans="1:55" x14ac:dyDescent="0.25">
      <c r="A409" s="68"/>
      <c r="B409" s="68"/>
      <c r="C409" s="68"/>
      <c r="D409" s="70"/>
      <c r="E409" s="70"/>
      <c r="F409" s="70"/>
      <c r="G409" s="72"/>
      <c r="H409" s="74"/>
      <c r="I409" s="74"/>
      <c r="J409" s="75"/>
      <c r="K409" s="81"/>
      <c r="L409" s="76"/>
      <c r="M409" s="76"/>
      <c r="N409" s="76"/>
      <c r="O409" s="71"/>
      <c r="P409" s="70"/>
      <c r="Q409" s="71"/>
      <c r="R409" s="71"/>
      <c r="S409" s="70"/>
      <c r="T409" s="71"/>
      <c r="U409" s="71"/>
      <c r="V409" s="75"/>
      <c r="W409" s="69"/>
      <c r="X409" s="69"/>
      <c r="Y409" s="69"/>
      <c r="Z409" s="69"/>
      <c r="AA409" s="69"/>
      <c r="AB409" s="69"/>
      <c r="AC409" s="69"/>
      <c r="AD409" s="69"/>
      <c r="AE409" s="76"/>
      <c r="AF409" s="71"/>
      <c r="AG409" s="71"/>
      <c r="AH409" s="71"/>
      <c r="AI409" s="71"/>
      <c r="AJ409" s="71"/>
      <c r="AK409" s="71"/>
      <c r="AL409" s="71"/>
      <c r="AM409" s="71"/>
      <c r="AN409" s="68"/>
      <c r="AO409" s="68"/>
      <c r="AP409" s="70"/>
      <c r="AQ409" s="71"/>
      <c r="AR409" s="77"/>
      <c r="AS409" s="70"/>
      <c r="AT409" s="68"/>
      <c r="AU409" s="70"/>
      <c r="AV409" s="70"/>
      <c r="AW409" s="71"/>
      <c r="AX409" s="71"/>
      <c r="AY409" s="70"/>
      <c r="AZ409" s="76"/>
      <c r="BA409" s="76"/>
      <c r="BB409" s="76"/>
      <c r="BC409" s="78"/>
    </row>
    <row r="410" spans="1:55" x14ac:dyDescent="0.25">
      <c r="A410" s="68"/>
      <c r="B410" s="68"/>
      <c r="C410" s="68"/>
      <c r="D410" s="70"/>
      <c r="E410" s="70"/>
      <c r="F410" s="70"/>
      <c r="G410" s="72"/>
      <c r="H410" s="74"/>
      <c r="I410" s="74"/>
      <c r="J410" s="75"/>
      <c r="K410" s="81"/>
      <c r="L410" s="76"/>
      <c r="M410" s="76"/>
      <c r="N410" s="76"/>
      <c r="O410" s="71"/>
      <c r="P410" s="70"/>
      <c r="Q410" s="71"/>
      <c r="R410" s="71"/>
      <c r="S410" s="70"/>
      <c r="T410" s="71"/>
      <c r="U410" s="71"/>
      <c r="V410" s="75"/>
      <c r="W410" s="69"/>
      <c r="X410" s="69"/>
      <c r="Y410" s="69"/>
      <c r="Z410" s="69"/>
      <c r="AA410" s="69"/>
      <c r="AB410" s="69"/>
      <c r="AC410" s="69"/>
      <c r="AD410" s="69"/>
      <c r="AE410" s="76"/>
      <c r="AF410" s="71"/>
      <c r="AG410" s="71"/>
      <c r="AH410" s="71"/>
      <c r="AI410" s="71"/>
      <c r="AJ410" s="71"/>
      <c r="AK410" s="71"/>
      <c r="AL410" s="71"/>
      <c r="AM410" s="71"/>
      <c r="AN410" s="68"/>
      <c r="AO410" s="68"/>
      <c r="AP410" s="70"/>
      <c r="AQ410" s="71"/>
      <c r="AR410" s="77"/>
      <c r="AS410" s="70"/>
      <c r="AT410" s="68"/>
      <c r="AU410" s="70"/>
      <c r="AV410" s="70"/>
      <c r="AW410" s="71"/>
      <c r="AX410" s="71"/>
      <c r="AY410" s="70"/>
      <c r="AZ410" s="76"/>
      <c r="BA410" s="76"/>
      <c r="BB410" s="76"/>
      <c r="BC410" s="78"/>
    </row>
    <row r="411" spans="1:55" x14ac:dyDescent="0.25">
      <c r="A411" s="68"/>
      <c r="B411" s="68"/>
      <c r="C411" s="68"/>
      <c r="D411" s="70"/>
      <c r="E411" s="70"/>
      <c r="F411" s="70"/>
      <c r="G411" s="72"/>
      <c r="H411" s="74"/>
      <c r="I411" s="74"/>
      <c r="J411" s="75"/>
      <c r="K411" s="81"/>
      <c r="L411" s="76"/>
      <c r="M411" s="76"/>
      <c r="N411" s="76"/>
      <c r="O411" s="71"/>
      <c r="P411" s="70"/>
      <c r="Q411" s="71"/>
      <c r="R411" s="71"/>
      <c r="S411" s="70"/>
      <c r="T411" s="71"/>
      <c r="U411" s="71"/>
      <c r="V411" s="75"/>
      <c r="W411" s="69"/>
      <c r="X411" s="69"/>
      <c r="Y411" s="69"/>
      <c r="Z411" s="69"/>
      <c r="AA411" s="69"/>
      <c r="AB411" s="69"/>
      <c r="AC411" s="69"/>
      <c r="AD411" s="69"/>
      <c r="AE411" s="76"/>
      <c r="AF411" s="71"/>
      <c r="AG411" s="71"/>
      <c r="AH411" s="71"/>
      <c r="AI411" s="71"/>
      <c r="AJ411" s="71"/>
      <c r="AK411" s="71"/>
      <c r="AL411" s="71"/>
      <c r="AM411" s="71"/>
      <c r="AN411" s="68"/>
      <c r="AO411" s="68"/>
      <c r="AP411" s="70"/>
      <c r="AQ411" s="71"/>
      <c r="AR411" s="77"/>
      <c r="AS411" s="70"/>
      <c r="AT411" s="68"/>
      <c r="AU411" s="70"/>
      <c r="AV411" s="70"/>
      <c r="AW411" s="71"/>
      <c r="AX411" s="71"/>
      <c r="AY411" s="70"/>
      <c r="AZ411" s="76"/>
      <c r="BA411" s="76"/>
      <c r="BB411" s="76"/>
      <c r="BC411" s="78"/>
    </row>
    <row r="412" spans="1:55" x14ac:dyDescent="0.25">
      <c r="A412" s="68"/>
      <c r="B412" s="68"/>
      <c r="C412" s="68"/>
      <c r="D412" s="70"/>
      <c r="E412" s="70"/>
      <c r="F412" s="70"/>
      <c r="G412" s="72"/>
      <c r="H412" s="74"/>
      <c r="I412" s="74"/>
      <c r="J412" s="75"/>
      <c r="K412" s="81"/>
      <c r="L412" s="76"/>
      <c r="M412" s="76"/>
      <c r="N412" s="76"/>
      <c r="O412" s="71"/>
      <c r="P412" s="70"/>
      <c r="Q412" s="71"/>
      <c r="R412" s="71"/>
      <c r="S412" s="70"/>
      <c r="T412" s="71"/>
      <c r="U412" s="71"/>
      <c r="V412" s="75"/>
      <c r="W412" s="69"/>
      <c r="X412" s="69"/>
      <c r="Y412" s="69"/>
      <c r="Z412" s="69"/>
      <c r="AA412" s="69"/>
      <c r="AB412" s="69"/>
      <c r="AC412" s="69"/>
      <c r="AD412" s="69"/>
      <c r="AE412" s="76"/>
      <c r="AF412" s="71"/>
      <c r="AG412" s="71"/>
      <c r="AH412" s="71"/>
      <c r="AI412" s="71"/>
      <c r="AJ412" s="71"/>
      <c r="AK412" s="71"/>
      <c r="AL412" s="71"/>
      <c r="AM412" s="71"/>
      <c r="AN412" s="68"/>
      <c r="AO412" s="68"/>
      <c r="AP412" s="70"/>
      <c r="AQ412" s="71"/>
      <c r="AR412" s="77"/>
      <c r="AS412" s="70"/>
      <c r="AT412" s="68"/>
      <c r="AU412" s="70"/>
      <c r="AV412" s="70"/>
      <c r="AW412" s="71"/>
      <c r="AX412" s="71"/>
      <c r="AY412" s="70"/>
      <c r="AZ412" s="76"/>
      <c r="BA412" s="76"/>
      <c r="BB412" s="76"/>
      <c r="BC412" s="78"/>
    </row>
    <row r="413" spans="1:55" x14ac:dyDescent="0.25">
      <c r="A413" s="68"/>
      <c r="B413" s="68"/>
      <c r="C413" s="68"/>
      <c r="D413" s="70"/>
      <c r="E413" s="70"/>
      <c r="F413" s="70"/>
      <c r="G413" s="72"/>
      <c r="H413" s="74"/>
      <c r="I413" s="74"/>
      <c r="J413" s="75"/>
      <c r="K413" s="81"/>
      <c r="L413" s="76"/>
      <c r="M413" s="76"/>
      <c r="N413" s="76"/>
      <c r="O413" s="71"/>
      <c r="P413" s="70"/>
      <c r="Q413" s="71"/>
      <c r="R413" s="71"/>
      <c r="S413" s="70"/>
      <c r="T413" s="71"/>
      <c r="U413" s="71"/>
      <c r="V413" s="75"/>
      <c r="W413" s="69"/>
      <c r="X413" s="69"/>
      <c r="Y413" s="69"/>
      <c r="Z413" s="69"/>
      <c r="AA413" s="69"/>
      <c r="AB413" s="69"/>
      <c r="AC413" s="69"/>
      <c r="AD413" s="69"/>
      <c r="AE413" s="76"/>
      <c r="AF413" s="71"/>
      <c r="AG413" s="71"/>
      <c r="AH413" s="71"/>
      <c r="AI413" s="71"/>
      <c r="AJ413" s="71"/>
      <c r="AK413" s="71"/>
      <c r="AL413" s="71"/>
      <c r="AM413" s="71"/>
      <c r="AN413" s="68"/>
      <c r="AO413" s="68"/>
      <c r="AP413" s="70"/>
      <c r="AQ413" s="71"/>
      <c r="AR413" s="77"/>
      <c r="AS413" s="70"/>
      <c r="AT413" s="68"/>
      <c r="AU413" s="70"/>
      <c r="AV413" s="70"/>
      <c r="AW413" s="71"/>
      <c r="AX413" s="71"/>
      <c r="AY413" s="70"/>
      <c r="AZ413" s="76"/>
      <c r="BA413" s="76"/>
      <c r="BB413" s="76"/>
      <c r="BC413" s="78"/>
    </row>
    <row r="414" spans="1:55" x14ac:dyDescent="0.25">
      <c r="A414" s="68"/>
      <c r="B414" s="68"/>
      <c r="C414" s="68"/>
      <c r="D414" s="70"/>
      <c r="E414" s="70"/>
      <c r="F414" s="70"/>
      <c r="G414" s="72"/>
      <c r="H414" s="74"/>
      <c r="I414" s="74"/>
      <c r="J414" s="75"/>
      <c r="K414" s="81"/>
      <c r="L414" s="76"/>
      <c r="M414" s="76"/>
      <c r="N414" s="76"/>
      <c r="O414" s="71"/>
      <c r="P414" s="70"/>
      <c r="Q414" s="71"/>
      <c r="R414" s="71"/>
      <c r="S414" s="70"/>
      <c r="T414" s="71"/>
      <c r="U414" s="71"/>
      <c r="V414" s="75"/>
      <c r="W414" s="69"/>
      <c r="X414" s="69"/>
      <c r="Y414" s="69"/>
      <c r="Z414" s="69"/>
      <c r="AA414" s="69"/>
      <c r="AB414" s="69"/>
      <c r="AC414" s="69"/>
      <c r="AD414" s="69"/>
      <c r="AE414" s="76"/>
      <c r="AF414" s="71"/>
      <c r="AG414" s="71"/>
      <c r="AH414" s="71"/>
      <c r="AI414" s="71"/>
      <c r="AJ414" s="71"/>
      <c r="AK414" s="71"/>
      <c r="AL414" s="71"/>
      <c r="AM414" s="71"/>
      <c r="AN414" s="68"/>
      <c r="AO414" s="68"/>
      <c r="AP414" s="70"/>
      <c r="AQ414" s="71"/>
      <c r="AR414" s="77"/>
      <c r="AS414" s="70"/>
      <c r="AT414" s="68"/>
      <c r="AU414" s="70"/>
      <c r="AV414" s="70"/>
      <c r="AW414" s="71"/>
      <c r="AX414" s="71"/>
      <c r="AY414" s="70"/>
      <c r="AZ414" s="76"/>
      <c r="BA414" s="76"/>
      <c r="BB414" s="76"/>
      <c r="BC414" s="78"/>
    </row>
    <row r="415" spans="1:55" x14ac:dyDescent="0.25">
      <c r="A415" s="68"/>
      <c r="B415" s="68"/>
      <c r="C415" s="68"/>
      <c r="D415" s="70"/>
      <c r="E415" s="70"/>
      <c r="F415" s="70"/>
      <c r="G415" s="72"/>
      <c r="H415" s="74"/>
      <c r="I415" s="74"/>
      <c r="J415" s="75"/>
      <c r="K415" s="81"/>
      <c r="L415" s="76"/>
      <c r="M415" s="76"/>
      <c r="N415" s="76"/>
      <c r="O415" s="71"/>
      <c r="P415" s="70"/>
      <c r="Q415" s="71"/>
      <c r="R415" s="71"/>
      <c r="S415" s="70"/>
      <c r="T415" s="71"/>
      <c r="U415" s="71"/>
      <c r="V415" s="75"/>
      <c r="W415" s="69"/>
      <c r="X415" s="69"/>
      <c r="Y415" s="69"/>
      <c r="Z415" s="69"/>
      <c r="AA415" s="69"/>
      <c r="AB415" s="69"/>
      <c r="AC415" s="69"/>
      <c r="AD415" s="69"/>
      <c r="AE415" s="76"/>
      <c r="AF415" s="71"/>
      <c r="AG415" s="71"/>
      <c r="AH415" s="71"/>
      <c r="AI415" s="71"/>
      <c r="AJ415" s="71"/>
      <c r="AK415" s="71"/>
      <c r="AL415" s="71"/>
      <c r="AM415" s="71"/>
      <c r="AN415" s="68"/>
      <c r="AO415" s="68"/>
      <c r="AP415" s="70"/>
      <c r="AQ415" s="71"/>
      <c r="AR415" s="77"/>
      <c r="AS415" s="70"/>
      <c r="AT415" s="68"/>
      <c r="AU415" s="70"/>
      <c r="AV415" s="70"/>
      <c r="AW415" s="71"/>
      <c r="AX415" s="71"/>
      <c r="AY415" s="70"/>
      <c r="AZ415" s="76"/>
      <c r="BA415" s="76"/>
      <c r="BB415" s="76"/>
      <c r="BC415" s="78"/>
    </row>
    <row r="416" spans="1:55" x14ac:dyDescent="0.25">
      <c r="A416" s="68"/>
      <c r="B416" s="68"/>
      <c r="C416" s="68"/>
      <c r="D416" s="70"/>
      <c r="E416" s="70"/>
      <c r="F416" s="70"/>
      <c r="G416" s="72"/>
      <c r="H416" s="74"/>
      <c r="I416" s="74"/>
      <c r="J416" s="75"/>
      <c r="K416" s="81"/>
      <c r="L416" s="76"/>
      <c r="M416" s="76"/>
      <c r="N416" s="76"/>
      <c r="O416" s="71"/>
      <c r="P416" s="70"/>
      <c r="Q416" s="71"/>
      <c r="R416" s="71"/>
      <c r="S416" s="70"/>
      <c r="T416" s="71"/>
      <c r="U416" s="71"/>
      <c r="V416" s="75"/>
      <c r="W416" s="69"/>
      <c r="X416" s="69"/>
      <c r="Y416" s="69"/>
      <c r="Z416" s="69"/>
      <c r="AA416" s="69"/>
      <c r="AB416" s="69"/>
      <c r="AC416" s="69"/>
      <c r="AD416" s="69"/>
      <c r="AE416" s="76"/>
      <c r="AF416" s="71"/>
      <c r="AG416" s="71"/>
      <c r="AH416" s="71"/>
      <c r="AI416" s="71"/>
      <c r="AJ416" s="71"/>
      <c r="AK416" s="71"/>
      <c r="AL416" s="71"/>
      <c r="AM416" s="71"/>
      <c r="AN416" s="68"/>
      <c r="AO416" s="68"/>
      <c r="AP416" s="70"/>
      <c r="AQ416" s="71"/>
      <c r="AR416" s="77"/>
      <c r="AS416" s="70"/>
      <c r="AT416" s="68"/>
      <c r="AU416" s="70"/>
      <c r="AV416" s="70"/>
      <c r="AW416" s="71"/>
      <c r="AX416" s="71"/>
      <c r="AY416" s="70"/>
      <c r="AZ416" s="76"/>
      <c r="BA416" s="76"/>
      <c r="BB416" s="76"/>
      <c r="BC416" s="78"/>
    </row>
    <row r="417" spans="1:55" x14ac:dyDescent="0.25">
      <c r="A417" s="68"/>
      <c r="B417" s="68"/>
      <c r="C417" s="68"/>
      <c r="D417" s="70"/>
      <c r="E417" s="70"/>
      <c r="F417" s="70"/>
      <c r="G417" s="72"/>
      <c r="H417" s="74"/>
      <c r="I417" s="74"/>
      <c r="J417" s="75"/>
      <c r="K417" s="81"/>
      <c r="L417" s="76"/>
      <c r="M417" s="76"/>
      <c r="N417" s="76"/>
      <c r="O417" s="71"/>
      <c r="P417" s="70"/>
      <c r="Q417" s="71"/>
      <c r="R417" s="71"/>
      <c r="S417" s="70"/>
      <c r="T417" s="71"/>
      <c r="U417" s="71"/>
      <c r="V417" s="75"/>
      <c r="W417" s="69"/>
      <c r="X417" s="69"/>
      <c r="Y417" s="69"/>
      <c r="Z417" s="69"/>
      <c r="AA417" s="69"/>
      <c r="AB417" s="69"/>
      <c r="AC417" s="69"/>
      <c r="AD417" s="69"/>
      <c r="AE417" s="76"/>
      <c r="AF417" s="71"/>
      <c r="AG417" s="71"/>
      <c r="AH417" s="71"/>
      <c r="AI417" s="71"/>
      <c r="AJ417" s="71"/>
      <c r="AK417" s="71"/>
      <c r="AL417" s="71"/>
      <c r="AM417" s="71"/>
      <c r="AN417" s="68"/>
      <c r="AO417" s="68"/>
      <c r="AP417" s="70"/>
      <c r="AQ417" s="71"/>
      <c r="AR417" s="77"/>
      <c r="AS417" s="70"/>
      <c r="AT417" s="68"/>
      <c r="AU417" s="70"/>
      <c r="AV417" s="70"/>
      <c r="AW417" s="71"/>
      <c r="AX417" s="71"/>
      <c r="AY417" s="70"/>
      <c r="AZ417" s="76"/>
      <c r="BA417" s="76"/>
      <c r="BB417" s="76"/>
      <c r="BC417" s="78"/>
    </row>
    <row r="418" spans="1:55" x14ac:dyDescent="0.25">
      <c r="A418" s="68"/>
      <c r="B418" s="68"/>
      <c r="C418" s="68"/>
      <c r="D418" s="70"/>
      <c r="E418" s="70"/>
      <c r="F418" s="70"/>
      <c r="G418" s="72"/>
      <c r="H418" s="74"/>
      <c r="I418" s="74"/>
      <c r="J418" s="75"/>
      <c r="K418" s="81"/>
      <c r="L418" s="76"/>
      <c r="M418" s="76"/>
      <c r="N418" s="76"/>
      <c r="O418" s="71"/>
      <c r="P418" s="70"/>
      <c r="Q418" s="71"/>
      <c r="R418" s="71"/>
      <c r="S418" s="70"/>
      <c r="T418" s="71"/>
      <c r="U418" s="71"/>
      <c r="V418" s="75"/>
      <c r="W418" s="69"/>
      <c r="X418" s="69"/>
      <c r="Y418" s="69"/>
      <c r="Z418" s="69"/>
      <c r="AA418" s="69"/>
      <c r="AB418" s="69"/>
      <c r="AC418" s="69"/>
      <c r="AD418" s="69"/>
      <c r="AE418" s="76"/>
      <c r="AF418" s="71"/>
      <c r="AG418" s="71"/>
      <c r="AH418" s="71"/>
      <c r="AI418" s="71"/>
      <c r="AJ418" s="71"/>
      <c r="AK418" s="71"/>
      <c r="AL418" s="71"/>
      <c r="AM418" s="71"/>
      <c r="AN418" s="68"/>
      <c r="AO418" s="68"/>
      <c r="AP418" s="70"/>
      <c r="AQ418" s="71"/>
      <c r="AR418" s="77"/>
      <c r="AS418" s="70"/>
      <c r="AT418" s="68"/>
      <c r="AU418" s="70"/>
      <c r="AV418" s="70"/>
      <c r="AW418" s="71"/>
      <c r="AX418" s="71"/>
      <c r="AY418" s="70"/>
      <c r="AZ418" s="76"/>
      <c r="BA418" s="76"/>
      <c r="BB418" s="76"/>
      <c r="BC418" s="78"/>
    </row>
    <row r="419" spans="1:55" x14ac:dyDescent="0.25">
      <c r="A419" s="68"/>
      <c r="B419" s="68"/>
      <c r="C419" s="68"/>
      <c r="D419" s="70"/>
      <c r="E419" s="70"/>
      <c r="F419" s="70"/>
      <c r="G419" s="72"/>
      <c r="H419" s="74"/>
      <c r="I419" s="74"/>
      <c r="J419" s="75"/>
      <c r="K419" s="81"/>
      <c r="L419" s="76"/>
      <c r="M419" s="76"/>
      <c r="N419" s="76"/>
      <c r="O419" s="71"/>
      <c r="P419" s="70"/>
      <c r="Q419" s="71"/>
      <c r="R419" s="71"/>
      <c r="S419" s="70"/>
      <c r="T419" s="71"/>
      <c r="U419" s="71"/>
      <c r="V419" s="75"/>
      <c r="W419" s="69"/>
      <c r="X419" s="69"/>
      <c r="Y419" s="69"/>
      <c r="Z419" s="69"/>
      <c r="AA419" s="69"/>
      <c r="AB419" s="69"/>
      <c r="AC419" s="69"/>
      <c r="AD419" s="69"/>
      <c r="AE419" s="76"/>
      <c r="AF419" s="71"/>
      <c r="AG419" s="71"/>
      <c r="AH419" s="71"/>
      <c r="AI419" s="71"/>
      <c r="AJ419" s="71"/>
      <c r="AK419" s="71"/>
      <c r="AL419" s="71"/>
      <c r="AM419" s="71"/>
      <c r="AN419" s="68"/>
      <c r="AO419" s="68"/>
      <c r="AP419" s="70"/>
      <c r="AQ419" s="71"/>
      <c r="AR419" s="77"/>
      <c r="AS419" s="70"/>
      <c r="AT419" s="68"/>
      <c r="AU419" s="70"/>
      <c r="AV419" s="70"/>
      <c r="AW419" s="71"/>
      <c r="AX419" s="71"/>
      <c r="AY419" s="70"/>
      <c r="AZ419" s="76"/>
      <c r="BA419" s="76"/>
      <c r="BB419" s="76"/>
      <c r="BC419" s="78"/>
    </row>
    <row r="420" spans="1:55" x14ac:dyDescent="0.25">
      <c r="A420" s="68"/>
      <c r="B420" s="68"/>
      <c r="C420" s="68"/>
      <c r="D420" s="70"/>
      <c r="E420" s="70"/>
      <c r="F420" s="70"/>
      <c r="G420" s="72"/>
      <c r="H420" s="74"/>
      <c r="I420" s="74"/>
      <c r="J420" s="75"/>
      <c r="K420" s="81"/>
      <c r="L420" s="76"/>
      <c r="M420" s="76"/>
      <c r="N420" s="76"/>
      <c r="O420" s="71"/>
      <c r="P420" s="70"/>
      <c r="Q420" s="71"/>
      <c r="R420" s="71"/>
      <c r="S420" s="70"/>
      <c r="T420" s="71"/>
      <c r="U420" s="71"/>
      <c r="V420" s="75"/>
      <c r="W420" s="69"/>
      <c r="X420" s="69"/>
      <c r="Y420" s="69"/>
      <c r="Z420" s="69"/>
      <c r="AA420" s="69"/>
      <c r="AB420" s="69"/>
      <c r="AC420" s="69"/>
      <c r="AD420" s="69"/>
      <c r="AE420" s="76"/>
      <c r="AF420" s="71"/>
      <c r="AG420" s="71"/>
      <c r="AH420" s="71"/>
      <c r="AI420" s="71"/>
      <c r="AJ420" s="71"/>
      <c r="AK420" s="71"/>
      <c r="AL420" s="71"/>
      <c r="AM420" s="71"/>
      <c r="AN420" s="68"/>
      <c r="AO420" s="68"/>
      <c r="AP420" s="70"/>
      <c r="AQ420" s="71"/>
      <c r="AR420" s="77"/>
      <c r="AS420" s="70"/>
      <c r="AT420" s="68"/>
      <c r="AU420" s="70"/>
      <c r="AV420" s="70"/>
      <c r="AW420" s="71"/>
      <c r="AX420" s="71"/>
      <c r="AY420" s="70"/>
      <c r="AZ420" s="76"/>
      <c r="BA420" s="76"/>
      <c r="BB420" s="76"/>
      <c r="BC420" s="78"/>
    </row>
    <row r="421" spans="1:55" x14ac:dyDescent="0.25">
      <c r="A421" s="68"/>
      <c r="B421" s="68"/>
      <c r="C421" s="68"/>
      <c r="D421" s="70"/>
      <c r="E421" s="70"/>
      <c r="F421" s="70"/>
      <c r="G421" s="72"/>
      <c r="H421" s="74"/>
      <c r="I421" s="74"/>
      <c r="J421" s="75"/>
      <c r="K421" s="81"/>
      <c r="L421" s="76"/>
      <c r="M421" s="76"/>
      <c r="N421" s="76"/>
      <c r="O421" s="71"/>
      <c r="P421" s="70"/>
      <c r="Q421" s="71"/>
      <c r="R421" s="71"/>
      <c r="S421" s="70"/>
      <c r="T421" s="71"/>
      <c r="U421" s="71"/>
      <c r="V421" s="75"/>
      <c r="W421" s="69"/>
      <c r="X421" s="69"/>
      <c r="Y421" s="69"/>
      <c r="Z421" s="69"/>
      <c r="AA421" s="69"/>
      <c r="AB421" s="69"/>
      <c r="AC421" s="69"/>
      <c r="AD421" s="69"/>
      <c r="AE421" s="76"/>
      <c r="AF421" s="71"/>
      <c r="AG421" s="71"/>
      <c r="AH421" s="71"/>
      <c r="AI421" s="71"/>
      <c r="AJ421" s="71"/>
      <c r="AK421" s="71"/>
      <c r="AL421" s="71"/>
      <c r="AM421" s="71"/>
      <c r="AN421" s="68"/>
      <c r="AO421" s="68"/>
      <c r="AP421" s="70"/>
      <c r="AQ421" s="71"/>
      <c r="AR421" s="77"/>
      <c r="AS421" s="70"/>
      <c r="AT421" s="68"/>
      <c r="AU421" s="70"/>
      <c r="AV421" s="70"/>
      <c r="AW421" s="71"/>
      <c r="AX421" s="71"/>
      <c r="AY421" s="70"/>
      <c r="AZ421" s="76"/>
      <c r="BA421" s="76"/>
      <c r="BB421" s="76"/>
      <c r="BC421" s="78"/>
    </row>
    <row r="422" spans="1:55" x14ac:dyDescent="0.25">
      <c r="A422" s="68"/>
      <c r="B422" s="68"/>
      <c r="C422" s="68"/>
      <c r="D422" s="70"/>
      <c r="E422" s="70"/>
      <c r="F422" s="70"/>
      <c r="G422" s="72"/>
      <c r="H422" s="74"/>
      <c r="I422" s="74"/>
      <c r="J422" s="75"/>
      <c r="K422" s="81"/>
      <c r="L422" s="76"/>
      <c r="M422" s="76"/>
      <c r="N422" s="76"/>
      <c r="O422" s="71"/>
      <c r="P422" s="70"/>
      <c r="Q422" s="71"/>
      <c r="R422" s="71"/>
      <c r="S422" s="70"/>
      <c r="T422" s="71"/>
      <c r="U422" s="71"/>
      <c r="V422" s="75"/>
      <c r="W422" s="69"/>
      <c r="X422" s="69"/>
      <c r="Y422" s="69"/>
      <c r="Z422" s="69"/>
      <c r="AA422" s="69"/>
      <c r="AB422" s="69"/>
      <c r="AC422" s="69"/>
      <c r="AD422" s="69"/>
      <c r="AE422" s="76"/>
      <c r="AF422" s="71"/>
      <c r="AG422" s="71"/>
      <c r="AH422" s="71"/>
      <c r="AI422" s="71"/>
      <c r="AJ422" s="71"/>
      <c r="AK422" s="71"/>
      <c r="AL422" s="71"/>
      <c r="AM422" s="71"/>
      <c r="AN422" s="68"/>
      <c r="AO422" s="68"/>
      <c r="AP422" s="70"/>
      <c r="AQ422" s="71"/>
      <c r="AR422" s="77"/>
      <c r="AS422" s="70"/>
      <c r="AT422" s="68"/>
      <c r="AU422" s="70"/>
      <c r="AV422" s="70"/>
      <c r="AW422" s="71"/>
      <c r="AX422" s="71"/>
      <c r="AY422" s="70"/>
      <c r="AZ422" s="76"/>
      <c r="BA422" s="76"/>
      <c r="BB422" s="76"/>
      <c r="BC422" s="78"/>
    </row>
    <row r="423" spans="1:55" x14ac:dyDescent="0.25">
      <c r="A423" s="68"/>
      <c r="B423" s="68"/>
      <c r="C423" s="68"/>
      <c r="D423" s="70"/>
      <c r="E423" s="70"/>
      <c r="F423" s="70"/>
      <c r="G423" s="72"/>
      <c r="H423" s="74"/>
      <c r="I423" s="74"/>
      <c r="J423" s="75"/>
      <c r="K423" s="81"/>
      <c r="L423" s="76"/>
      <c r="M423" s="76"/>
      <c r="N423" s="76"/>
      <c r="O423" s="71"/>
      <c r="P423" s="70"/>
      <c r="Q423" s="71"/>
      <c r="R423" s="71"/>
      <c r="S423" s="70"/>
      <c r="T423" s="71"/>
      <c r="U423" s="71"/>
      <c r="V423" s="75"/>
      <c r="W423" s="69"/>
      <c r="X423" s="69"/>
      <c r="Y423" s="69"/>
      <c r="Z423" s="69"/>
      <c r="AA423" s="69"/>
      <c r="AB423" s="69"/>
      <c r="AC423" s="69"/>
      <c r="AD423" s="69"/>
      <c r="AE423" s="76"/>
      <c r="AF423" s="71"/>
      <c r="AG423" s="71"/>
      <c r="AH423" s="71"/>
      <c r="AI423" s="71"/>
      <c r="AJ423" s="71"/>
      <c r="AK423" s="71"/>
      <c r="AL423" s="71"/>
      <c r="AM423" s="71"/>
      <c r="AN423" s="68"/>
      <c r="AO423" s="68"/>
      <c r="AP423" s="70"/>
      <c r="AQ423" s="71"/>
      <c r="AR423" s="77"/>
      <c r="AS423" s="70"/>
      <c r="AT423" s="68"/>
      <c r="AU423" s="70"/>
      <c r="AV423" s="70"/>
      <c r="AW423" s="71"/>
      <c r="AX423" s="71"/>
      <c r="AY423" s="70"/>
      <c r="AZ423" s="76"/>
      <c r="BA423" s="76"/>
      <c r="BB423" s="76"/>
      <c r="BC423" s="78"/>
    </row>
    <row r="424" spans="1:55" x14ac:dyDescent="0.25">
      <c r="A424" s="68"/>
      <c r="B424" s="68"/>
      <c r="C424" s="68"/>
      <c r="D424" s="70"/>
      <c r="E424" s="70"/>
      <c r="F424" s="70"/>
      <c r="G424" s="72"/>
      <c r="H424" s="74"/>
      <c r="I424" s="74"/>
      <c r="J424" s="75"/>
      <c r="K424" s="81"/>
      <c r="L424" s="76"/>
      <c r="M424" s="76"/>
      <c r="N424" s="76"/>
      <c r="O424" s="71"/>
      <c r="P424" s="70"/>
      <c r="Q424" s="71"/>
      <c r="R424" s="71"/>
      <c r="S424" s="70"/>
      <c r="T424" s="71"/>
      <c r="U424" s="71"/>
      <c r="V424" s="75"/>
      <c r="W424" s="69"/>
      <c r="X424" s="69"/>
      <c r="Y424" s="69"/>
      <c r="Z424" s="69"/>
      <c r="AA424" s="69"/>
      <c r="AB424" s="69"/>
      <c r="AC424" s="69"/>
      <c r="AD424" s="69"/>
      <c r="AE424" s="76"/>
      <c r="AF424" s="71"/>
      <c r="AG424" s="71"/>
      <c r="AH424" s="71"/>
      <c r="AI424" s="71"/>
      <c r="AJ424" s="71"/>
      <c r="AK424" s="71"/>
      <c r="AL424" s="71"/>
      <c r="AM424" s="71"/>
      <c r="AN424" s="68"/>
      <c r="AO424" s="68"/>
      <c r="AP424" s="70"/>
      <c r="AQ424" s="71"/>
      <c r="AR424" s="77"/>
      <c r="AS424" s="70"/>
      <c r="AT424" s="68"/>
      <c r="AU424" s="70"/>
      <c r="AV424" s="70"/>
      <c r="AW424" s="71"/>
      <c r="AX424" s="71"/>
      <c r="AY424" s="70"/>
      <c r="AZ424" s="76"/>
      <c r="BA424" s="76"/>
      <c r="BB424" s="76"/>
      <c r="BC424" s="78"/>
    </row>
    <row r="425" spans="1:55" x14ac:dyDescent="0.25">
      <c r="A425" s="68"/>
      <c r="B425" s="68"/>
      <c r="C425" s="68"/>
      <c r="D425" s="70"/>
      <c r="E425" s="70"/>
      <c r="F425" s="70"/>
      <c r="G425" s="72"/>
      <c r="H425" s="74"/>
      <c r="I425" s="74"/>
      <c r="J425" s="75"/>
      <c r="K425" s="81"/>
      <c r="L425" s="76"/>
      <c r="M425" s="76"/>
      <c r="N425" s="76"/>
      <c r="O425" s="71"/>
      <c r="P425" s="70"/>
      <c r="Q425" s="71"/>
      <c r="R425" s="71"/>
      <c r="S425" s="70"/>
      <c r="T425" s="71"/>
      <c r="U425" s="71"/>
      <c r="V425" s="75"/>
      <c r="W425" s="69"/>
      <c r="X425" s="69"/>
      <c r="Y425" s="69"/>
      <c r="Z425" s="69"/>
      <c r="AA425" s="69"/>
      <c r="AB425" s="69"/>
      <c r="AC425" s="69"/>
      <c r="AD425" s="69"/>
      <c r="AE425" s="76"/>
      <c r="AF425" s="71"/>
      <c r="AG425" s="71"/>
      <c r="AH425" s="71"/>
      <c r="AI425" s="71"/>
      <c r="AJ425" s="71"/>
      <c r="AK425" s="71"/>
      <c r="AL425" s="71"/>
      <c r="AM425" s="71"/>
      <c r="AN425" s="68"/>
      <c r="AO425" s="68"/>
      <c r="AP425" s="70"/>
      <c r="AQ425" s="71"/>
      <c r="AR425" s="77"/>
      <c r="AS425" s="70"/>
      <c r="AT425" s="68"/>
      <c r="AU425" s="70"/>
      <c r="AV425" s="70"/>
      <c r="AW425" s="71"/>
      <c r="AX425" s="71"/>
      <c r="AY425" s="70"/>
      <c r="AZ425" s="76"/>
      <c r="BA425" s="76"/>
      <c r="BB425" s="76"/>
      <c r="BC425" s="78"/>
    </row>
    <row r="426" spans="1:55" x14ac:dyDescent="0.25">
      <c r="A426" s="68"/>
      <c r="B426" s="68"/>
      <c r="C426" s="68"/>
      <c r="D426" s="70"/>
      <c r="E426" s="70"/>
      <c r="F426" s="70"/>
      <c r="G426" s="72"/>
      <c r="H426" s="74"/>
      <c r="I426" s="74"/>
      <c r="J426" s="75"/>
      <c r="K426" s="81"/>
      <c r="L426" s="76"/>
      <c r="M426" s="76"/>
      <c r="N426" s="76"/>
      <c r="O426" s="71"/>
      <c r="P426" s="70"/>
      <c r="Q426" s="71"/>
      <c r="R426" s="71"/>
      <c r="S426" s="70"/>
      <c r="T426" s="71"/>
      <c r="U426" s="71"/>
      <c r="V426" s="75"/>
      <c r="W426" s="69"/>
      <c r="X426" s="69"/>
      <c r="Y426" s="69"/>
      <c r="Z426" s="69"/>
      <c r="AA426" s="69"/>
      <c r="AB426" s="69"/>
      <c r="AC426" s="69"/>
      <c r="AD426" s="69"/>
      <c r="AE426" s="76"/>
      <c r="AF426" s="71"/>
      <c r="AG426" s="71"/>
      <c r="AH426" s="71"/>
      <c r="AI426" s="71"/>
      <c r="AJ426" s="71"/>
      <c r="AK426" s="71"/>
      <c r="AL426" s="71"/>
      <c r="AM426" s="71"/>
      <c r="AN426" s="68"/>
      <c r="AO426" s="68"/>
      <c r="AP426" s="70"/>
      <c r="AQ426" s="71"/>
      <c r="AR426" s="77"/>
      <c r="AS426" s="70"/>
      <c r="AT426" s="68"/>
      <c r="AU426" s="70"/>
      <c r="AV426" s="70"/>
      <c r="AW426" s="71"/>
      <c r="AX426" s="71"/>
      <c r="AY426" s="70"/>
      <c r="AZ426" s="76"/>
      <c r="BA426" s="76"/>
      <c r="BB426" s="76"/>
      <c r="BC426" s="78"/>
    </row>
    <row r="427" spans="1:55" x14ac:dyDescent="0.25">
      <c r="A427" s="68"/>
      <c r="B427" s="68"/>
      <c r="C427" s="68"/>
      <c r="D427" s="70"/>
      <c r="E427" s="70"/>
      <c r="F427" s="70"/>
      <c r="G427" s="72"/>
      <c r="H427" s="74"/>
      <c r="I427" s="74"/>
      <c r="J427" s="75"/>
      <c r="K427" s="81"/>
      <c r="L427" s="76"/>
      <c r="M427" s="76"/>
      <c r="N427" s="76"/>
      <c r="O427" s="71"/>
      <c r="P427" s="70"/>
      <c r="Q427" s="71"/>
      <c r="R427" s="71"/>
      <c r="S427" s="70"/>
      <c r="T427" s="71"/>
      <c r="U427" s="71"/>
      <c r="V427" s="75"/>
      <c r="W427" s="69"/>
      <c r="X427" s="69"/>
      <c r="Y427" s="69"/>
      <c r="Z427" s="69"/>
      <c r="AA427" s="69"/>
      <c r="AB427" s="69"/>
      <c r="AC427" s="69"/>
      <c r="AD427" s="69"/>
      <c r="AE427" s="76"/>
      <c r="AF427" s="71"/>
      <c r="AG427" s="71"/>
      <c r="AH427" s="71"/>
      <c r="AI427" s="71"/>
      <c r="AJ427" s="71"/>
      <c r="AK427" s="71"/>
      <c r="AL427" s="71"/>
      <c r="AM427" s="71"/>
      <c r="AN427" s="68"/>
      <c r="AO427" s="68"/>
      <c r="AP427" s="70"/>
      <c r="AQ427" s="71"/>
      <c r="AR427" s="77"/>
      <c r="AS427" s="70"/>
      <c r="AT427" s="68"/>
      <c r="AU427" s="70"/>
      <c r="AV427" s="70"/>
      <c r="AW427" s="71"/>
      <c r="AX427" s="71"/>
      <c r="AY427" s="70"/>
      <c r="AZ427" s="76"/>
      <c r="BA427" s="76"/>
      <c r="BB427" s="76"/>
      <c r="BC427" s="78"/>
    </row>
    <row r="428" spans="1:55" x14ac:dyDescent="0.25">
      <c r="A428" s="68"/>
      <c r="B428" s="68"/>
      <c r="C428" s="68"/>
      <c r="D428" s="70"/>
      <c r="E428" s="70"/>
      <c r="F428" s="70"/>
      <c r="G428" s="72"/>
      <c r="H428" s="74"/>
      <c r="I428" s="74"/>
      <c r="J428" s="75"/>
      <c r="K428" s="81"/>
      <c r="L428" s="76"/>
      <c r="M428" s="76"/>
      <c r="N428" s="76"/>
      <c r="O428" s="71"/>
      <c r="P428" s="70"/>
      <c r="Q428" s="71"/>
      <c r="R428" s="71"/>
      <c r="S428" s="70"/>
      <c r="T428" s="71"/>
      <c r="U428" s="71"/>
      <c r="V428" s="75"/>
      <c r="W428" s="69"/>
      <c r="X428" s="69"/>
      <c r="Y428" s="69"/>
      <c r="Z428" s="69"/>
      <c r="AA428" s="69"/>
      <c r="AB428" s="69"/>
      <c r="AC428" s="69"/>
      <c r="AD428" s="69"/>
      <c r="AE428" s="76"/>
      <c r="AF428" s="71"/>
      <c r="AG428" s="71"/>
      <c r="AH428" s="71"/>
      <c r="AI428" s="71"/>
      <c r="AJ428" s="71"/>
      <c r="AK428" s="71"/>
      <c r="AL428" s="71"/>
      <c r="AM428" s="71"/>
      <c r="AN428" s="68"/>
      <c r="AO428" s="68"/>
      <c r="AP428" s="70"/>
      <c r="AQ428" s="71"/>
      <c r="AR428" s="77"/>
      <c r="AS428" s="70"/>
      <c r="AT428" s="68"/>
      <c r="AU428" s="70"/>
      <c r="AV428" s="70"/>
      <c r="AW428" s="71"/>
      <c r="AX428" s="71"/>
      <c r="AY428" s="70"/>
      <c r="AZ428" s="76"/>
      <c r="BA428" s="76"/>
      <c r="BB428" s="76"/>
      <c r="BC428" s="78"/>
    </row>
    <row r="429" spans="1:55" x14ac:dyDescent="0.25">
      <c r="A429" s="68"/>
      <c r="B429" s="68"/>
      <c r="C429" s="68"/>
      <c r="D429" s="70"/>
      <c r="E429" s="70"/>
      <c r="F429" s="70"/>
      <c r="G429" s="72"/>
      <c r="H429" s="74"/>
      <c r="I429" s="74"/>
      <c r="J429" s="75"/>
      <c r="K429" s="81"/>
      <c r="L429" s="76"/>
      <c r="M429" s="76"/>
      <c r="N429" s="76"/>
      <c r="O429" s="71"/>
      <c r="P429" s="70"/>
      <c r="Q429" s="71"/>
      <c r="R429" s="71"/>
      <c r="S429" s="70"/>
      <c r="T429" s="71"/>
      <c r="U429" s="71"/>
      <c r="V429" s="75"/>
      <c r="W429" s="69"/>
      <c r="X429" s="69"/>
      <c r="Y429" s="69"/>
      <c r="Z429" s="69"/>
      <c r="AA429" s="69"/>
      <c r="AB429" s="69"/>
      <c r="AC429" s="69"/>
      <c r="AD429" s="69"/>
      <c r="AE429" s="76"/>
      <c r="AF429" s="71"/>
      <c r="AG429" s="71"/>
      <c r="AH429" s="71"/>
      <c r="AI429" s="71"/>
      <c r="AJ429" s="71"/>
      <c r="AK429" s="71"/>
      <c r="AL429" s="71"/>
      <c r="AM429" s="71"/>
      <c r="AN429" s="68"/>
      <c r="AO429" s="68"/>
      <c r="AP429" s="70"/>
      <c r="AQ429" s="71"/>
      <c r="AR429" s="77"/>
      <c r="AS429" s="70"/>
      <c r="AT429" s="68"/>
      <c r="AU429" s="70"/>
      <c r="AV429" s="70"/>
      <c r="AW429" s="71"/>
      <c r="AX429" s="71"/>
      <c r="AY429" s="70"/>
      <c r="AZ429" s="76"/>
      <c r="BA429" s="76"/>
      <c r="BB429" s="76"/>
      <c r="BC429" s="78"/>
    </row>
    <row r="430" spans="1:55" x14ac:dyDescent="0.25">
      <c r="A430" s="68"/>
      <c r="B430" s="68"/>
      <c r="C430" s="68"/>
      <c r="D430" s="70"/>
      <c r="E430" s="70"/>
      <c r="F430" s="70"/>
      <c r="G430" s="72"/>
      <c r="H430" s="74"/>
      <c r="I430" s="74"/>
      <c r="J430" s="75"/>
      <c r="K430" s="81"/>
      <c r="L430" s="76"/>
      <c r="M430" s="76"/>
      <c r="N430" s="76"/>
      <c r="O430" s="71"/>
      <c r="P430" s="70"/>
      <c r="Q430" s="71"/>
      <c r="R430" s="71"/>
      <c r="S430" s="70"/>
      <c r="T430" s="71"/>
      <c r="U430" s="71"/>
      <c r="V430" s="75"/>
      <c r="W430" s="69"/>
      <c r="X430" s="69"/>
      <c r="Y430" s="69"/>
      <c r="Z430" s="69"/>
      <c r="AA430" s="69"/>
      <c r="AB430" s="69"/>
      <c r="AC430" s="69"/>
      <c r="AD430" s="69"/>
      <c r="AE430" s="76"/>
      <c r="AF430" s="71"/>
      <c r="AG430" s="71"/>
      <c r="AH430" s="71"/>
      <c r="AI430" s="71"/>
      <c r="AJ430" s="71"/>
      <c r="AK430" s="71"/>
      <c r="AL430" s="71"/>
      <c r="AM430" s="71"/>
      <c r="AN430" s="68"/>
      <c r="AO430" s="68"/>
      <c r="AP430" s="70"/>
      <c r="AQ430" s="71"/>
      <c r="AR430" s="77"/>
      <c r="AS430" s="70"/>
      <c r="AT430" s="68"/>
      <c r="AU430" s="70"/>
      <c r="AV430" s="70"/>
      <c r="AW430" s="71"/>
      <c r="AX430" s="71"/>
      <c r="AY430" s="70"/>
      <c r="AZ430" s="76"/>
      <c r="BA430" s="76"/>
      <c r="BB430" s="76"/>
      <c r="BC430" s="78"/>
    </row>
    <row r="431" spans="1:55" x14ac:dyDescent="0.25">
      <c r="A431" s="68"/>
      <c r="B431" s="68"/>
      <c r="C431" s="68"/>
      <c r="D431" s="70"/>
      <c r="E431" s="70"/>
      <c r="F431" s="70"/>
      <c r="G431" s="72"/>
      <c r="H431" s="74"/>
      <c r="I431" s="74"/>
      <c r="J431" s="75"/>
      <c r="K431" s="81"/>
      <c r="L431" s="76"/>
      <c r="M431" s="76"/>
      <c r="N431" s="76"/>
      <c r="O431" s="71"/>
      <c r="P431" s="70"/>
      <c r="Q431" s="71"/>
      <c r="R431" s="71"/>
      <c r="S431" s="70"/>
      <c r="T431" s="71"/>
      <c r="U431" s="71"/>
      <c r="V431" s="75"/>
      <c r="W431" s="69"/>
      <c r="X431" s="69"/>
      <c r="Y431" s="69"/>
      <c r="Z431" s="69"/>
      <c r="AA431" s="69"/>
      <c r="AB431" s="69"/>
      <c r="AC431" s="69"/>
      <c r="AD431" s="69"/>
      <c r="AE431" s="76"/>
      <c r="AF431" s="71"/>
      <c r="AG431" s="71"/>
      <c r="AH431" s="71"/>
      <c r="AI431" s="71"/>
      <c r="AJ431" s="71"/>
      <c r="AK431" s="71"/>
      <c r="AL431" s="71"/>
      <c r="AM431" s="71"/>
      <c r="AN431" s="68"/>
      <c r="AO431" s="68"/>
      <c r="AP431" s="70"/>
      <c r="AQ431" s="71"/>
      <c r="AR431" s="77"/>
      <c r="AS431" s="70"/>
      <c r="AT431" s="68"/>
      <c r="AU431" s="70"/>
      <c r="AV431" s="70"/>
      <c r="AW431" s="71"/>
      <c r="AX431" s="71"/>
      <c r="AY431" s="70"/>
      <c r="AZ431" s="76"/>
      <c r="BA431" s="76"/>
      <c r="BB431" s="76"/>
      <c r="BC431" s="78"/>
    </row>
    <row r="432" spans="1:55" x14ac:dyDescent="0.25">
      <c r="A432" s="68"/>
      <c r="B432" s="68"/>
      <c r="C432" s="68"/>
      <c r="D432" s="70"/>
      <c r="E432" s="70"/>
      <c r="F432" s="70"/>
      <c r="G432" s="72"/>
      <c r="H432" s="74"/>
      <c r="I432" s="74"/>
      <c r="J432" s="75"/>
      <c r="K432" s="81"/>
      <c r="L432" s="76"/>
      <c r="M432" s="76"/>
      <c r="N432" s="76"/>
      <c r="O432" s="71"/>
      <c r="P432" s="70"/>
      <c r="Q432" s="71"/>
      <c r="R432" s="71"/>
      <c r="S432" s="70"/>
      <c r="T432" s="71"/>
      <c r="U432" s="71"/>
      <c r="V432" s="75"/>
      <c r="W432" s="69"/>
      <c r="X432" s="69"/>
      <c r="Y432" s="69"/>
      <c r="Z432" s="69"/>
      <c r="AA432" s="69"/>
      <c r="AB432" s="69"/>
      <c r="AC432" s="69"/>
      <c r="AD432" s="69"/>
      <c r="AE432" s="76"/>
      <c r="AF432" s="71"/>
      <c r="AG432" s="71"/>
      <c r="AH432" s="71"/>
      <c r="AI432" s="71"/>
      <c r="AJ432" s="71"/>
      <c r="AK432" s="71"/>
      <c r="AL432" s="71"/>
      <c r="AM432" s="71"/>
      <c r="AN432" s="68"/>
      <c r="AO432" s="68"/>
      <c r="AP432" s="70"/>
      <c r="AQ432" s="71"/>
      <c r="AR432" s="77"/>
      <c r="AS432" s="70"/>
      <c r="AT432" s="68"/>
      <c r="AU432" s="70"/>
      <c r="AV432" s="70"/>
      <c r="AW432" s="71"/>
      <c r="AX432" s="71"/>
      <c r="AY432" s="70"/>
      <c r="AZ432" s="76"/>
      <c r="BA432" s="76"/>
      <c r="BB432" s="76"/>
      <c r="BC432" s="78"/>
    </row>
    <row r="433" spans="1:55" x14ac:dyDescent="0.25">
      <c r="A433" s="68"/>
      <c r="B433" s="68"/>
      <c r="C433" s="68"/>
      <c r="D433" s="70"/>
      <c r="E433" s="70"/>
      <c r="F433" s="70"/>
      <c r="G433" s="72"/>
      <c r="H433" s="74"/>
      <c r="I433" s="74"/>
      <c r="J433" s="75"/>
      <c r="K433" s="81"/>
      <c r="L433" s="76"/>
      <c r="M433" s="76"/>
      <c r="N433" s="76"/>
      <c r="O433" s="71"/>
      <c r="P433" s="70"/>
      <c r="Q433" s="71"/>
      <c r="R433" s="71"/>
      <c r="S433" s="70"/>
      <c r="T433" s="71"/>
      <c r="U433" s="71"/>
      <c r="V433" s="75"/>
      <c r="W433" s="69"/>
      <c r="X433" s="69"/>
      <c r="Y433" s="69"/>
      <c r="Z433" s="69"/>
      <c r="AA433" s="69"/>
      <c r="AB433" s="69"/>
      <c r="AC433" s="69"/>
      <c r="AD433" s="69"/>
      <c r="AE433" s="76"/>
      <c r="AF433" s="71"/>
      <c r="AG433" s="71"/>
      <c r="AH433" s="71"/>
      <c r="AI433" s="71"/>
      <c r="AJ433" s="71"/>
      <c r="AK433" s="71"/>
      <c r="AL433" s="71"/>
      <c r="AM433" s="71"/>
      <c r="AN433" s="68"/>
      <c r="AO433" s="68"/>
      <c r="AP433" s="70"/>
      <c r="AQ433" s="71"/>
      <c r="AR433" s="77"/>
      <c r="AS433" s="70"/>
      <c r="AT433" s="68"/>
      <c r="AU433" s="70"/>
      <c r="AV433" s="70"/>
      <c r="AW433" s="71"/>
      <c r="AX433" s="71"/>
      <c r="AY433" s="70"/>
      <c r="AZ433" s="76"/>
      <c r="BA433" s="76"/>
      <c r="BB433" s="76"/>
      <c r="BC433" s="78"/>
    </row>
    <row r="434" spans="1:55" x14ac:dyDescent="0.25">
      <c r="A434" s="68"/>
      <c r="B434" s="68"/>
      <c r="C434" s="68"/>
      <c r="D434" s="70"/>
      <c r="E434" s="70"/>
      <c r="F434" s="70"/>
      <c r="G434" s="72"/>
      <c r="H434" s="74"/>
      <c r="I434" s="74"/>
      <c r="J434" s="75"/>
      <c r="K434" s="81"/>
      <c r="L434" s="76"/>
      <c r="M434" s="76"/>
      <c r="N434" s="76"/>
      <c r="O434" s="71"/>
      <c r="P434" s="70"/>
      <c r="Q434" s="71"/>
      <c r="R434" s="71"/>
      <c r="S434" s="70"/>
      <c r="T434" s="71"/>
      <c r="U434" s="71"/>
      <c r="V434" s="75"/>
      <c r="W434" s="69"/>
      <c r="X434" s="69"/>
      <c r="Y434" s="69"/>
      <c r="Z434" s="69"/>
      <c r="AA434" s="69"/>
      <c r="AB434" s="69"/>
      <c r="AC434" s="69"/>
      <c r="AD434" s="69"/>
      <c r="AE434" s="76"/>
      <c r="AF434" s="71"/>
      <c r="AG434" s="71"/>
      <c r="AH434" s="71"/>
      <c r="AI434" s="71"/>
      <c r="AJ434" s="71"/>
      <c r="AK434" s="71"/>
      <c r="AL434" s="71"/>
      <c r="AM434" s="71"/>
      <c r="AN434" s="68"/>
      <c r="AO434" s="68"/>
      <c r="AP434" s="70"/>
      <c r="AQ434" s="71"/>
      <c r="AR434" s="77"/>
      <c r="AS434" s="70"/>
      <c r="AT434" s="68"/>
      <c r="AU434" s="70"/>
      <c r="AV434" s="70"/>
      <c r="AW434" s="71"/>
      <c r="AX434" s="71"/>
      <c r="AY434" s="70"/>
      <c r="AZ434" s="76"/>
      <c r="BA434" s="76"/>
      <c r="BB434" s="76"/>
      <c r="BC434" s="78"/>
    </row>
    <row r="435" spans="1:55" x14ac:dyDescent="0.25">
      <c r="A435" s="68"/>
      <c r="B435" s="68"/>
      <c r="C435" s="68"/>
      <c r="D435" s="70"/>
      <c r="E435" s="70"/>
      <c r="F435" s="70"/>
      <c r="G435" s="72"/>
      <c r="H435" s="74"/>
      <c r="I435" s="74"/>
      <c r="J435" s="75"/>
      <c r="K435" s="81"/>
      <c r="L435" s="76"/>
      <c r="M435" s="76"/>
      <c r="N435" s="76"/>
      <c r="O435" s="71"/>
      <c r="P435" s="70"/>
      <c r="Q435" s="71"/>
      <c r="R435" s="71"/>
      <c r="S435" s="70"/>
      <c r="T435" s="71"/>
      <c r="U435" s="71"/>
      <c r="V435" s="75"/>
      <c r="W435" s="69"/>
      <c r="X435" s="69"/>
      <c r="Y435" s="69"/>
      <c r="Z435" s="69"/>
      <c r="AA435" s="69"/>
      <c r="AB435" s="69"/>
      <c r="AC435" s="69"/>
      <c r="AD435" s="69"/>
      <c r="AE435" s="76"/>
      <c r="AF435" s="71"/>
      <c r="AG435" s="71"/>
      <c r="AH435" s="71"/>
      <c r="AI435" s="71"/>
      <c r="AJ435" s="71"/>
      <c r="AK435" s="71"/>
      <c r="AL435" s="71"/>
      <c r="AM435" s="71"/>
      <c r="AN435" s="68"/>
      <c r="AO435" s="68"/>
      <c r="AP435" s="70"/>
      <c r="AQ435" s="71"/>
      <c r="AR435" s="77"/>
      <c r="AS435" s="70"/>
      <c r="AT435" s="68"/>
      <c r="AU435" s="70"/>
      <c r="AV435" s="70"/>
      <c r="AW435" s="71"/>
      <c r="AX435" s="71"/>
      <c r="AY435" s="70"/>
      <c r="AZ435" s="76"/>
      <c r="BA435" s="76"/>
      <c r="BB435" s="76"/>
      <c r="BC435" s="78"/>
    </row>
    <row r="436" spans="1:55" x14ac:dyDescent="0.25">
      <c r="A436" s="68"/>
      <c r="B436" s="68"/>
      <c r="C436" s="68"/>
      <c r="D436" s="70"/>
      <c r="E436" s="70"/>
      <c r="F436" s="70"/>
      <c r="G436" s="72"/>
      <c r="H436" s="74"/>
      <c r="I436" s="74"/>
      <c r="J436" s="75"/>
      <c r="K436" s="81"/>
      <c r="L436" s="76"/>
      <c r="M436" s="76"/>
      <c r="N436" s="76"/>
      <c r="O436" s="71"/>
      <c r="P436" s="70"/>
      <c r="Q436" s="71"/>
      <c r="R436" s="71"/>
      <c r="S436" s="70"/>
      <c r="T436" s="71"/>
      <c r="U436" s="71"/>
      <c r="V436" s="75"/>
      <c r="W436" s="69"/>
      <c r="X436" s="69"/>
      <c r="Y436" s="69"/>
      <c r="Z436" s="69"/>
      <c r="AA436" s="69"/>
      <c r="AB436" s="69"/>
      <c r="AC436" s="69"/>
      <c r="AD436" s="69"/>
      <c r="AE436" s="76"/>
      <c r="AF436" s="71"/>
      <c r="AG436" s="71"/>
      <c r="AH436" s="71"/>
      <c r="AI436" s="71"/>
      <c r="AJ436" s="71"/>
      <c r="AK436" s="71"/>
      <c r="AL436" s="71"/>
      <c r="AM436" s="71"/>
      <c r="AN436" s="68"/>
      <c r="AO436" s="68"/>
      <c r="AP436" s="70"/>
      <c r="AQ436" s="71"/>
      <c r="AR436" s="77"/>
      <c r="AS436" s="70"/>
      <c r="AT436" s="68"/>
      <c r="AU436" s="70"/>
      <c r="AV436" s="70"/>
      <c r="AW436" s="71"/>
      <c r="AX436" s="71"/>
      <c r="AY436" s="70"/>
      <c r="AZ436" s="76"/>
      <c r="BA436" s="76"/>
      <c r="BB436" s="76"/>
      <c r="BC436" s="78"/>
    </row>
    <row r="437" spans="1:55" x14ac:dyDescent="0.25">
      <c r="A437" s="68"/>
      <c r="B437" s="68"/>
      <c r="C437" s="68"/>
      <c r="D437" s="70"/>
      <c r="E437" s="70"/>
      <c r="F437" s="70"/>
      <c r="G437" s="72"/>
      <c r="H437" s="74"/>
      <c r="I437" s="74"/>
      <c r="J437" s="75"/>
      <c r="K437" s="81"/>
      <c r="L437" s="76"/>
      <c r="M437" s="76"/>
      <c r="N437" s="76"/>
      <c r="O437" s="71"/>
      <c r="P437" s="70"/>
      <c r="Q437" s="71"/>
      <c r="R437" s="71"/>
      <c r="S437" s="70"/>
      <c r="T437" s="71"/>
      <c r="U437" s="71"/>
      <c r="V437" s="75"/>
      <c r="W437" s="69"/>
      <c r="X437" s="69"/>
      <c r="Y437" s="69"/>
      <c r="Z437" s="69"/>
      <c r="AA437" s="69"/>
      <c r="AB437" s="69"/>
      <c r="AC437" s="69"/>
      <c r="AD437" s="69"/>
      <c r="AE437" s="76"/>
      <c r="AF437" s="71"/>
      <c r="AG437" s="71"/>
      <c r="AH437" s="71"/>
      <c r="AI437" s="71"/>
      <c r="AJ437" s="71"/>
      <c r="AK437" s="71"/>
      <c r="AL437" s="71"/>
      <c r="AM437" s="71"/>
      <c r="AN437" s="68"/>
      <c r="AO437" s="68"/>
      <c r="AP437" s="70"/>
      <c r="AQ437" s="71"/>
      <c r="AR437" s="77"/>
      <c r="AS437" s="70"/>
      <c r="AT437" s="68"/>
      <c r="AU437" s="70"/>
      <c r="AV437" s="70"/>
      <c r="AW437" s="71"/>
      <c r="AX437" s="71"/>
      <c r="AY437" s="70"/>
      <c r="AZ437" s="76"/>
      <c r="BA437" s="76"/>
      <c r="BB437" s="76"/>
      <c r="BC437" s="78"/>
    </row>
    <row r="438" spans="1:55" x14ac:dyDescent="0.25">
      <c r="A438" s="68"/>
      <c r="B438" s="68"/>
      <c r="C438" s="68"/>
      <c r="D438" s="70"/>
      <c r="E438" s="70"/>
      <c r="F438" s="70"/>
      <c r="G438" s="72"/>
      <c r="H438" s="74"/>
      <c r="I438" s="74"/>
      <c r="J438" s="75"/>
      <c r="K438" s="81"/>
      <c r="L438" s="76"/>
      <c r="M438" s="76"/>
      <c r="N438" s="76"/>
      <c r="O438" s="71"/>
      <c r="P438" s="70"/>
      <c r="Q438" s="71"/>
      <c r="R438" s="71"/>
      <c r="S438" s="70"/>
      <c r="T438" s="71"/>
      <c r="U438" s="71"/>
      <c r="V438" s="75"/>
      <c r="W438" s="69"/>
      <c r="X438" s="69"/>
      <c r="Y438" s="69"/>
      <c r="Z438" s="69"/>
      <c r="AA438" s="69"/>
      <c r="AB438" s="69"/>
      <c r="AC438" s="69"/>
      <c r="AD438" s="69"/>
      <c r="AE438" s="76"/>
      <c r="AF438" s="71"/>
      <c r="AG438" s="71"/>
      <c r="AH438" s="71"/>
      <c r="AI438" s="71"/>
      <c r="AJ438" s="71"/>
      <c r="AK438" s="71"/>
      <c r="AL438" s="71"/>
      <c r="AM438" s="71"/>
      <c r="AN438" s="68"/>
      <c r="AO438" s="68"/>
      <c r="AP438" s="70"/>
      <c r="AQ438" s="71"/>
      <c r="AR438" s="77"/>
      <c r="AS438" s="70"/>
      <c r="AT438" s="68"/>
      <c r="AU438" s="70"/>
      <c r="AV438" s="70"/>
      <c r="AW438" s="71"/>
      <c r="AX438" s="71"/>
      <c r="AY438" s="70"/>
      <c r="AZ438" s="76"/>
      <c r="BA438" s="76"/>
      <c r="BB438" s="76"/>
      <c r="BC438" s="78"/>
    </row>
    <row r="439" spans="1:55" x14ac:dyDescent="0.25">
      <c r="A439" s="68"/>
      <c r="B439" s="68"/>
      <c r="C439" s="68"/>
      <c r="D439" s="70"/>
      <c r="E439" s="70"/>
      <c r="F439" s="70"/>
      <c r="G439" s="72"/>
      <c r="H439" s="74"/>
      <c r="I439" s="74"/>
      <c r="J439" s="75"/>
      <c r="K439" s="81"/>
      <c r="L439" s="76"/>
      <c r="M439" s="76"/>
      <c r="N439" s="76"/>
      <c r="O439" s="71"/>
      <c r="P439" s="70"/>
      <c r="Q439" s="71"/>
      <c r="R439" s="71"/>
      <c r="S439" s="70"/>
      <c r="T439" s="71"/>
      <c r="U439" s="71"/>
      <c r="V439" s="75"/>
      <c r="W439" s="69"/>
      <c r="X439" s="69"/>
      <c r="Y439" s="69"/>
      <c r="Z439" s="69"/>
      <c r="AA439" s="69"/>
      <c r="AB439" s="69"/>
      <c r="AC439" s="69"/>
      <c r="AD439" s="69"/>
      <c r="AE439" s="76"/>
      <c r="AF439" s="71"/>
      <c r="AG439" s="71"/>
      <c r="AH439" s="71"/>
      <c r="AI439" s="71"/>
      <c r="AJ439" s="71"/>
      <c r="AK439" s="71"/>
      <c r="AL439" s="71"/>
      <c r="AM439" s="71"/>
      <c r="AN439" s="68"/>
      <c r="AO439" s="68"/>
      <c r="AP439" s="70"/>
      <c r="AQ439" s="71"/>
      <c r="AR439" s="77"/>
      <c r="AS439" s="70"/>
      <c r="AT439" s="68"/>
      <c r="AU439" s="70"/>
      <c r="AV439" s="70"/>
      <c r="AW439" s="71"/>
      <c r="AX439" s="71"/>
      <c r="AY439" s="70"/>
      <c r="AZ439" s="76"/>
      <c r="BA439" s="76"/>
      <c r="BB439" s="76"/>
      <c r="BC439" s="78"/>
    </row>
    <row r="440" spans="1:55" x14ac:dyDescent="0.25">
      <c r="A440" s="68"/>
      <c r="B440" s="68"/>
      <c r="C440" s="68"/>
      <c r="D440" s="70"/>
      <c r="E440" s="70"/>
      <c r="F440" s="70"/>
      <c r="G440" s="72"/>
      <c r="H440" s="74"/>
      <c r="I440" s="74"/>
      <c r="J440" s="75"/>
      <c r="K440" s="81"/>
      <c r="L440" s="76"/>
      <c r="M440" s="76"/>
      <c r="N440" s="76"/>
      <c r="O440" s="71"/>
      <c r="P440" s="70"/>
      <c r="Q440" s="71"/>
      <c r="R440" s="71"/>
      <c r="S440" s="70"/>
      <c r="T440" s="71"/>
      <c r="U440" s="71"/>
      <c r="V440" s="75"/>
      <c r="W440" s="69"/>
      <c r="X440" s="69"/>
      <c r="Y440" s="69"/>
      <c r="Z440" s="69"/>
      <c r="AA440" s="69"/>
      <c r="AB440" s="69"/>
      <c r="AC440" s="69"/>
      <c r="AD440" s="69"/>
      <c r="AE440" s="76"/>
      <c r="AF440" s="71"/>
      <c r="AG440" s="71"/>
      <c r="AH440" s="71"/>
      <c r="AI440" s="71"/>
      <c r="AJ440" s="71"/>
      <c r="AK440" s="71"/>
      <c r="AL440" s="71"/>
      <c r="AM440" s="71"/>
      <c r="AN440" s="68"/>
      <c r="AO440" s="68"/>
      <c r="AP440" s="70"/>
      <c r="AQ440" s="71"/>
      <c r="AR440" s="77"/>
      <c r="AS440" s="70"/>
      <c r="AT440" s="68"/>
      <c r="AU440" s="70"/>
      <c r="AV440" s="70"/>
      <c r="AW440" s="71"/>
      <c r="AX440" s="71"/>
      <c r="AY440" s="70"/>
      <c r="AZ440" s="76"/>
      <c r="BA440" s="76"/>
      <c r="BB440" s="76"/>
      <c r="BC440" s="78"/>
    </row>
    <row r="441" spans="1:55" x14ac:dyDescent="0.25">
      <c r="A441" s="68"/>
      <c r="B441" s="68"/>
      <c r="C441" s="68"/>
      <c r="D441" s="70"/>
      <c r="E441" s="70"/>
      <c r="F441" s="70"/>
      <c r="G441" s="72"/>
      <c r="H441" s="74"/>
      <c r="I441" s="74"/>
      <c r="J441" s="75"/>
      <c r="K441" s="81"/>
      <c r="L441" s="76"/>
      <c r="M441" s="76"/>
      <c r="N441" s="76"/>
      <c r="O441" s="71"/>
      <c r="P441" s="70"/>
      <c r="Q441" s="71"/>
      <c r="R441" s="71"/>
      <c r="S441" s="70"/>
      <c r="T441" s="71"/>
      <c r="U441" s="71"/>
      <c r="V441" s="75"/>
      <c r="W441" s="69"/>
      <c r="X441" s="69"/>
      <c r="Y441" s="69"/>
      <c r="Z441" s="69"/>
      <c r="AA441" s="69"/>
      <c r="AB441" s="69"/>
      <c r="AC441" s="69"/>
      <c r="AD441" s="69"/>
      <c r="AE441" s="76"/>
      <c r="AF441" s="71"/>
      <c r="AG441" s="71"/>
      <c r="AH441" s="71"/>
      <c r="AI441" s="71"/>
      <c r="AJ441" s="71"/>
      <c r="AK441" s="71"/>
      <c r="AL441" s="71"/>
      <c r="AM441" s="71"/>
      <c r="AN441" s="68"/>
      <c r="AO441" s="68"/>
      <c r="AP441" s="70"/>
      <c r="AQ441" s="71"/>
      <c r="AR441" s="77"/>
      <c r="AS441" s="70"/>
      <c r="AT441" s="68"/>
      <c r="AU441" s="70"/>
      <c r="AV441" s="70"/>
      <c r="AW441" s="71"/>
      <c r="AX441" s="71"/>
      <c r="AY441" s="70"/>
      <c r="AZ441" s="76"/>
      <c r="BA441" s="76"/>
      <c r="BB441" s="76"/>
      <c r="BC441" s="78"/>
    </row>
    <row r="442" spans="1:55" x14ac:dyDescent="0.25">
      <c r="A442" s="68"/>
      <c r="B442" s="68"/>
      <c r="C442" s="68"/>
      <c r="D442" s="70"/>
      <c r="E442" s="70"/>
      <c r="F442" s="70"/>
      <c r="G442" s="72"/>
      <c r="H442" s="74"/>
      <c r="I442" s="74"/>
      <c r="J442" s="75"/>
      <c r="K442" s="81"/>
      <c r="L442" s="76"/>
      <c r="M442" s="76"/>
      <c r="N442" s="76"/>
      <c r="O442" s="71"/>
      <c r="P442" s="70"/>
      <c r="Q442" s="71"/>
      <c r="R442" s="71"/>
      <c r="S442" s="70"/>
      <c r="T442" s="71"/>
      <c r="U442" s="71"/>
      <c r="V442" s="75"/>
      <c r="W442" s="69"/>
      <c r="X442" s="69"/>
      <c r="Y442" s="69"/>
      <c r="Z442" s="69"/>
      <c r="AA442" s="69"/>
      <c r="AB442" s="69"/>
      <c r="AC442" s="69"/>
      <c r="AD442" s="69"/>
      <c r="AE442" s="76"/>
      <c r="AF442" s="71"/>
      <c r="AG442" s="71"/>
      <c r="AH442" s="71"/>
      <c r="AI442" s="71"/>
      <c r="AJ442" s="71"/>
      <c r="AK442" s="71"/>
      <c r="AL442" s="71"/>
      <c r="AM442" s="71"/>
      <c r="AN442" s="68"/>
      <c r="AO442" s="68"/>
      <c r="AP442" s="70"/>
      <c r="AQ442" s="71"/>
      <c r="AR442" s="77"/>
      <c r="AS442" s="70"/>
      <c r="AT442" s="68"/>
      <c r="AU442" s="70"/>
      <c r="AV442" s="70"/>
      <c r="AW442" s="71"/>
      <c r="AX442" s="71"/>
      <c r="AY442" s="70"/>
      <c r="AZ442" s="76"/>
      <c r="BA442" s="76"/>
      <c r="BB442" s="76"/>
      <c r="BC442" s="78"/>
    </row>
    <row r="443" spans="1:55" x14ac:dyDescent="0.25">
      <c r="A443" s="68"/>
      <c r="B443" s="68"/>
      <c r="C443" s="68"/>
      <c r="D443" s="70"/>
      <c r="E443" s="70"/>
      <c r="F443" s="70"/>
      <c r="G443" s="72"/>
      <c r="H443" s="74"/>
      <c r="I443" s="74"/>
      <c r="J443" s="75"/>
      <c r="K443" s="81"/>
      <c r="L443" s="76"/>
      <c r="M443" s="76"/>
      <c r="N443" s="76"/>
      <c r="O443" s="71"/>
      <c r="P443" s="70"/>
      <c r="Q443" s="71"/>
      <c r="R443" s="71"/>
      <c r="S443" s="70"/>
      <c r="T443" s="71"/>
      <c r="U443" s="71"/>
      <c r="V443" s="75"/>
      <c r="W443" s="69"/>
      <c r="X443" s="69"/>
      <c r="Y443" s="69"/>
      <c r="Z443" s="69"/>
      <c r="AA443" s="69"/>
      <c r="AB443" s="69"/>
      <c r="AC443" s="69"/>
      <c r="AD443" s="69"/>
      <c r="AE443" s="76"/>
      <c r="AF443" s="71"/>
      <c r="AG443" s="71"/>
      <c r="AH443" s="71"/>
      <c r="AI443" s="71"/>
      <c r="AJ443" s="71"/>
      <c r="AK443" s="71"/>
      <c r="AL443" s="71"/>
      <c r="AM443" s="71"/>
      <c r="AN443" s="68"/>
      <c r="AO443" s="68"/>
      <c r="AP443" s="70"/>
      <c r="AQ443" s="71"/>
      <c r="AR443" s="77"/>
      <c r="AS443" s="70"/>
      <c r="AT443" s="68"/>
      <c r="AU443" s="70"/>
      <c r="AV443" s="70"/>
      <c r="AW443" s="71"/>
      <c r="AX443" s="71"/>
      <c r="AY443" s="70"/>
      <c r="AZ443" s="76"/>
      <c r="BA443" s="76"/>
      <c r="BB443" s="76"/>
      <c r="BC443" s="78"/>
    </row>
    <row r="444" spans="1:55" x14ac:dyDescent="0.25">
      <c r="A444" s="68"/>
      <c r="B444" s="68"/>
      <c r="C444" s="68"/>
      <c r="D444" s="70"/>
      <c r="E444" s="70"/>
      <c r="F444" s="70"/>
      <c r="G444" s="72"/>
      <c r="H444" s="74"/>
      <c r="I444" s="74"/>
      <c r="J444" s="75"/>
      <c r="K444" s="81"/>
      <c r="L444" s="76"/>
      <c r="M444" s="76"/>
      <c r="N444" s="76"/>
      <c r="O444" s="71"/>
      <c r="P444" s="70"/>
      <c r="Q444" s="71"/>
      <c r="R444" s="71"/>
      <c r="S444" s="70"/>
      <c r="T444" s="71"/>
      <c r="U444" s="71"/>
      <c r="V444" s="75"/>
      <c r="W444" s="69"/>
      <c r="X444" s="69"/>
      <c r="Y444" s="69"/>
      <c r="Z444" s="69"/>
      <c r="AA444" s="69"/>
      <c r="AB444" s="69"/>
      <c r="AC444" s="69"/>
      <c r="AD444" s="69"/>
      <c r="AE444" s="76"/>
      <c r="AF444" s="71"/>
      <c r="AG444" s="71"/>
      <c r="AH444" s="71"/>
      <c r="AI444" s="71"/>
      <c r="AJ444" s="71"/>
      <c r="AK444" s="71"/>
      <c r="AL444" s="71"/>
      <c r="AM444" s="71"/>
      <c r="AN444" s="68"/>
      <c r="AO444" s="68"/>
      <c r="AP444" s="70"/>
      <c r="AQ444" s="71"/>
      <c r="AR444" s="77"/>
      <c r="AS444" s="70"/>
      <c r="AT444" s="68"/>
      <c r="AU444" s="70"/>
      <c r="AV444" s="70"/>
      <c r="AW444" s="71"/>
      <c r="AX444" s="71"/>
      <c r="AY444" s="70"/>
      <c r="AZ444" s="76"/>
      <c r="BA444" s="76"/>
      <c r="BB444" s="76"/>
      <c r="BC444" s="78"/>
    </row>
    <row r="445" spans="1:55" x14ac:dyDescent="0.25">
      <c r="A445" s="68"/>
      <c r="B445" s="68"/>
      <c r="C445" s="68"/>
      <c r="D445" s="70"/>
      <c r="E445" s="70"/>
      <c r="F445" s="70"/>
      <c r="G445" s="72"/>
      <c r="H445" s="74"/>
      <c r="I445" s="74"/>
      <c r="J445" s="75"/>
      <c r="K445" s="81"/>
      <c r="L445" s="76"/>
      <c r="M445" s="76"/>
      <c r="N445" s="76"/>
      <c r="O445" s="71"/>
      <c r="P445" s="70"/>
      <c r="Q445" s="71"/>
      <c r="R445" s="71"/>
      <c r="S445" s="70"/>
      <c r="T445" s="71"/>
      <c r="U445" s="71"/>
      <c r="V445" s="75"/>
      <c r="W445" s="69"/>
      <c r="X445" s="69"/>
      <c r="Y445" s="69"/>
      <c r="Z445" s="69"/>
      <c r="AA445" s="69"/>
      <c r="AB445" s="69"/>
      <c r="AC445" s="69"/>
      <c r="AD445" s="69"/>
      <c r="AE445" s="76"/>
      <c r="AF445" s="71"/>
      <c r="AG445" s="71"/>
      <c r="AH445" s="71"/>
      <c r="AI445" s="71"/>
      <c r="AJ445" s="71"/>
      <c r="AK445" s="71"/>
      <c r="AL445" s="71"/>
      <c r="AM445" s="71"/>
      <c r="AN445" s="68"/>
      <c r="AO445" s="68"/>
      <c r="AP445" s="70"/>
      <c r="AQ445" s="71"/>
      <c r="AR445" s="77"/>
      <c r="AS445" s="70"/>
      <c r="AT445" s="68"/>
      <c r="AU445" s="70"/>
      <c r="AV445" s="70"/>
      <c r="AW445" s="71"/>
      <c r="AX445" s="71"/>
      <c r="AY445" s="70"/>
      <c r="AZ445" s="76"/>
      <c r="BA445" s="76"/>
      <c r="BB445" s="76"/>
      <c r="BC445" s="78"/>
    </row>
    <row r="446" spans="1:55" x14ac:dyDescent="0.25">
      <c r="A446" s="68"/>
      <c r="B446" s="68"/>
      <c r="C446" s="68"/>
      <c r="D446" s="70"/>
      <c r="E446" s="70"/>
      <c r="F446" s="70"/>
      <c r="G446" s="72"/>
      <c r="H446" s="74"/>
      <c r="I446" s="74"/>
      <c r="J446" s="75"/>
      <c r="K446" s="81"/>
      <c r="L446" s="76"/>
      <c r="M446" s="76"/>
      <c r="N446" s="76"/>
      <c r="O446" s="71"/>
      <c r="P446" s="70"/>
      <c r="Q446" s="71"/>
      <c r="R446" s="71"/>
      <c r="S446" s="70"/>
      <c r="T446" s="71"/>
      <c r="U446" s="71"/>
      <c r="V446" s="75"/>
      <c r="W446" s="69"/>
      <c r="X446" s="69"/>
      <c r="Y446" s="69"/>
      <c r="Z446" s="69"/>
      <c r="AA446" s="69"/>
      <c r="AB446" s="69"/>
      <c r="AC446" s="69"/>
      <c r="AD446" s="69"/>
      <c r="AE446" s="76"/>
      <c r="AF446" s="71"/>
      <c r="AG446" s="71"/>
      <c r="AH446" s="71"/>
      <c r="AI446" s="71"/>
      <c r="AJ446" s="71"/>
      <c r="AK446" s="71"/>
      <c r="AL446" s="71"/>
      <c r="AM446" s="71"/>
      <c r="AN446" s="68"/>
      <c r="AO446" s="68"/>
      <c r="AP446" s="70"/>
      <c r="AQ446" s="71"/>
      <c r="AR446" s="77"/>
      <c r="AS446" s="70"/>
      <c r="AT446" s="68"/>
      <c r="AU446" s="70"/>
      <c r="AV446" s="70"/>
      <c r="AW446" s="71"/>
      <c r="AX446" s="71"/>
      <c r="AY446" s="70"/>
      <c r="AZ446" s="76"/>
      <c r="BA446" s="76"/>
      <c r="BB446" s="76"/>
      <c r="BC446" s="78"/>
    </row>
    <row r="447" spans="1:55" x14ac:dyDescent="0.25">
      <c r="A447" s="68"/>
      <c r="B447" s="68"/>
      <c r="C447" s="68"/>
      <c r="D447" s="70"/>
      <c r="E447" s="70"/>
      <c r="F447" s="70"/>
      <c r="G447" s="72"/>
      <c r="H447" s="74"/>
      <c r="I447" s="74"/>
      <c r="J447" s="75"/>
      <c r="K447" s="81"/>
      <c r="L447" s="76"/>
      <c r="M447" s="76"/>
      <c r="N447" s="76"/>
      <c r="O447" s="71"/>
      <c r="P447" s="70"/>
      <c r="Q447" s="71"/>
      <c r="R447" s="71"/>
      <c r="S447" s="70"/>
      <c r="T447" s="71"/>
      <c r="U447" s="71"/>
      <c r="V447" s="75"/>
      <c r="W447" s="69"/>
      <c r="X447" s="69"/>
      <c r="Y447" s="69"/>
      <c r="Z447" s="69"/>
      <c r="AA447" s="69"/>
      <c r="AB447" s="69"/>
      <c r="AC447" s="69"/>
      <c r="AD447" s="69"/>
      <c r="AE447" s="76"/>
      <c r="AF447" s="71"/>
      <c r="AG447" s="71"/>
      <c r="AH447" s="71"/>
      <c r="AI447" s="71"/>
      <c r="AJ447" s="71"/>
      <c r="AK447" s="71"/>
      <c r="AL447" s="71"/>
      <c r="AM447" s="71"/>
      <c r="AN447" s="68"/>
      <c r="AO447" s="68"/>
      <c r="AP447" s="70"/>
      <c r="AQ447" s="71"/>
      <c r="AR447" s="77"/>
      <c r="AS447" s="70"/>
      <c r="AT447" s="68"/>
      <c r="AU447" s="70"/>
      <c r="AV447" s="70"/>
      <c r="AW447" s="71"/>
      <c r="AX447" s="71"/>
      <c r="AY447" s="70"/>
      <c r="AZ447" s="76"/>
      <c r="BA447" s="76"/>
      <c r="BB447" s="76"/>
      <c r="BC447" s="78"/>
    </row>
    <row r="448" spans="1:55" x14ac:dyDescent="0.25">
      <c r="A448" s="68"/>
      <c r="B448" s="68"/>
      <c r="C448" s="68"/>
      <c r="D448" s="70"/>
      <c r="E448" s="70"/>
      <c r="F448" s="70"/>
      <c r="G448" s="72"/>
      <c r="H448" s="74"/>
      <c r="I448" s="74"/>
      <c r="J448" s="75"/>
      <c r="K448" s="81"/>
      <c r="L448" s="76"/>
      <c r="M448" s="76"/>
      <c r="N448" s="76"/>
      <c r="O448" s="71"/>
      <c r="P448" s="70"/>
      <c r="Q448" s="71"/>
      <c r="R448" s="71"/>
      <c r="S448" s="70"/>
      <c r="T448" s="71"/>
      <c r="U448" s="71"/>
      <c r="V448" s="75"/>
      <c r="W448" s="69"/>
      <c r="X448" s="69"/>
      <c r="Y448" s="69"/>
      <c r="Z448" s="69"/>
      <c r="AA448" s="69"/>
      <c r="AB448" s="69"/>
      <c r="AC448" s="69"/>
      <c r="AD448" s="69"/>
      <c r="AE448" s="76"/>
      <c r="AF448" s="71"/>
      <c r="AG448" s="71"/>
      <c r="AH448" s="71"/>
      <c r="AI448" s="71"/>
      <c r="AJ448" s="71"/>
      <c r="AK448" s="71"/>
      <c r="AL448" s="71"/>
      <c r="AM448" s="71"/>
      <c r="AN448" s="68"/>
      <c r="AO448" s="68"/>
      <c r="AP448" s="70"/>
      <c r="AQ448" s="71"/>
      <c r="AR448" s="77"/>
      <c r="AS448" s="70"/>
      <c r="AT448" s="68"/>
      <c r="AU448" s="70"/>
      <c r="AV448" s="70"/>
      <c r="AW448" s="71"/>
      <c r="AX448" s="71"/>
      <c r="AY448" s="70"/>
      <c r="AZ448" s="76"/>
      <c r="BA448" s="76"/>
      <c r="BB448" s="76"/>
      <c r="BC448" s="78"/>
    </row>
    <row r="449" spans="1:55" x14ac:dyDescent="0.25">
      <c r="A449" s="68"/>
      <c r="B449" s="68"/>
      <c r="C449" s="68"/>
      <c r="D449" s="70"/>
      <c r="E449" s="70"/>
      <c r="F449" s="70"/>
      <c r="G449" s="72"/>
      <c r="H449" s="74"/>
      <c r="I449" s="74"/>
      <c r="J449" s="75"/>
      <c r="K449" s="81"/>
      <c r="L449" s="76"/>
      <c r="M449" s="76"/>
      <c r="N449" s="76"/>
      <c r="O449" s="71"/>
      <c r="P449" s="70"/>
      <c r="Q449" s="71"/>
      <c r="R449" s="71"/>
      <c r="S449" s="70"/>
      <c r="T449" s="71"/>
      <c r="U449" s="71"/>
      <c r="V449" s="75"/>
      <c r="W449" s="69"/>
      <c r="X449" s="69"/>
      <c r="Y449" s="69"/>
      <c r="Z449" s="69"/>
      <c r="AA449" s="69"/>
      <c r="AB449" s="69"/>
      <c r="AC449" s="69"/>
      <c r="AD449" s="69"/>
      <c r="AE449" s="76"/>
      <c r="AF449" s="71"/>
      <c r="AG449" s="71"/>
      <c r="AH449" s="71"/>
      <c r="AI449" s="71"/>
      <c r="AJ449" s="71"/>
      <c r="AK449" s="71"/>
      <c r="AL449" s="71"/>
      <c r="AM449" s="71"/>
      <c r="AN449" s="68"/>
      <c r="AO449" s="68"/>
      <c r="AP449" s="70"/>
      <c r="AQ449" s="71"/>
      <c r="AR449" s="77"/>
      <c r="AS449" s="70"/>
      <c r="AT449" s="68"/>
      <c r="AU449" s="70"/>
      <c r="AV449" s="70"/>
      <c r="AW449" s="71"/>
      <c r="AX449" s="71"/>
      <c r="AY449" s="70"/>
      <c r="AZ449" s="76"/>
      <c r="BA449" s="76"/>
      <c r="BB449" s="76"/>
      <c r="BC449" s="78"/>
    </row>
    <row r="450" spans="1:55" x14ac:dyDescent="0.25">
      <c r="A450" s="68"/>
      <c r="B450" s="68"/>
      <c r="C450" s="68"/>
      <c r="D450" s="70"/>
      <c r="E450" s="70"/>
      <c r="F450" s="70"/>
      <c r="G450" s="72"/>
      <c r="H450" s="74"/>
      <c r="I450" s="74"/>
      <c r="J450" s="75"/>
      <c r="K450" s="81"/>
      <c r="L450" s="76"/>
      <c r="M450" s="76"/>
      <c r="N450" s="76"/>
      <c r="O450" s="71"/>
      <c r="P450" s="70"/>
      <c r="Q450" s="71"/>
      <c r="R450" s="71"/>
      <c r="S450" s="70"/>
      <c r="T450" s="71"/>
      <c r="U450" s="71"/>
      <c r="V450" s="75"/>
      <c r="W450" s="69"/>
      <c r="X450" s="69"/>
      <c r="Y450" s="69"/>
      <c r="Z450" s="69"/>
      <c r="AA450" s="69"/>
      <c r="AB450" s="69"/>
      <c r="AC450" s="69"/>
      <c r="AD450" s="69"/>
      <c r="AE450" s="76"/>
      <c r="AF450" s="71"/>
      <c r="AG450" s="71"/>
      <c r="AH450" s="71"/>
      <c r="AI450" s="71"/>
      <c r="AJ450" s="71"/>
      <c r="AK450" s="71"/>
      <c r="AL450" s="71"/>
      <c r="AM450" s="71"/>
      <c r="AN450" s="68"/>
      <c r="AO450" s="68"/>
      <c r="AP450" s="70"/>
      <c r="AQ450" s="71"/>
      <c r="AR450" s="77"/>
      <c r="AS450" s="70"/>
      <c r="AT450" s="68"/>
      <c r="AU450" s="70"/>
      <c r="AV450" s="70"/>
      <c r="AW450" s="71"/>
      <c r="AX450" s="71"/>
      <c r="AY450" s="70"/>
      <c r="AZ450" s="76"/>
      <c r="BA450" s="76"/>
      <c r="BB450" s="76"/>
      <c r="BC450" s="78"/>
    </row>
    <row r="451" spans="1:55" x14ac:dyDescent="0.25">
      <c r="A451" s="68"/>
      <c r="B451" s="68"/>
      <c r="C451" s="68"/>
      <c r="D451" s="70"/>
      <c r="E451" s="70"/>
      <c r="F451" s="70"/>
      <c r="G451" s="72"/>
      <c r="H451" s="74"/>
      <c r="I451" s="74"/>
      <c r="J451" s="75"/>
      <c r="K451" s="81"/>
      <c r="L451" s="76"/>
      <c r="M451" s="76"/>
      <c r="N451" s="76"/>
      <c r="O451" s="71"/>
      <c r="P451" s="70"/>
      <c r="Q451" s="71"/>
      <c r="R451" s="71"/>
      <c r="S451" s="70"/>
      <c r="T451" s="71"/>
      <c r="U451" s="71"/>
      <c r="V451" s="75"/>
      <c r="W451" s="69"/>
      <c r="X451" s="69"/>
      <c r="Y451" s="69"/>
      <c r="Z451" s="69"/>
      <c r="AA451" s="69"/>
      <c r="AB451" s="69"/>
      <c r="AC451" s="69"/>
      <c r="AD451" s="69"/>
      <c r="AE451" s="76"/>
      <c r="AF451" s="71"/>
      <c r="AG451" s="71"/>
      <c r="AH451" s="71"/>
      <c r="AI451" s="71"/>
      <c r="AJ451" s="71"/>
      <c r="AK451" s="71"/>
      <c r="AL451" s="71"/>
      <c r="AM451" s="71"/>
      <c r="AN451" s="68"/>
      <c r="AO451" s="68"/>
      <c r="AP451" s="70"/>
      <c r="AQ451" s="71"/>
      <c r="AR451" s="77"/>
      <c r="AS451" s="70"/>
      <c r="AT451" s="68"/>
      <c r="AU451" s="70"/>
      <c r="AV451" s="70"/>
      <c r="AW451" s="71"/>
      <c r="AX451" s="71"/>
      <c r="AY451" s="70"/>
      <c r="AZ451" s="76"/>
      <c r="BA451" s="76"/>
      <c r="BB451" s="76"/>
      <c r="BC451" s="78"/>
    </row>
    <row r="452" spans="1:55" x14ac:dyDescent="0.25">
      <c r="A452" s="68"/>
      <c r="B452" s="68"/>
      <c r="C452" s="68"/>
      <c r="D452" s="70"/>
      <c r="E452" s="70"/>
      <c r="F452" s="70"/>
      <c r="G452" s="72"/>
      <c r="H452" s="74"/>
      <c r="I452" s="74"/>
      <c r="J452" s="75"/>
      <c r="K452" s="81"/>
      <c r="L452" s="76"/>
      <c r="M452" s="76"/>
      <c r="N452" s="76"/>
      <c r="O452" s="71"/>
      <c r="P452" s="70"/>
      <c r="Q452" s="71"/>
      <c r="R452" s="71"/>
      <c r="S452" s="70"/>
      <c r="T452" s="71"/>
      <c r="U452" s="71"/>
      <c r="V452" s="75"/>
      <c r="W452" s="69"/>
      <c r="X452" s="69"/>
      <c r="Y452" s="69"/>
      <c r="Z452" s="69"/>
      <c r="AA452" s="69"/>
      <c r="AB452" s="69"/>
      <c r="AC452" s="69"/>
      <c r="AD452" s="69"/>
      <c r="AE452" s="76"/>
      <c r="AF452" s="71"/>
      <c r="AG452" s="71"/>
      <c r="AH452" s="71"/>
      <c r="AI452" s="71"/>
      <c r="AJ452" s="71"/>
      <c r="AK452" s="71"/>
      <c r="AL452" s="71"/>
      <c r="AM452" s="71"/>
      <c r="AN452" s="68"/>
      <c r="AO452" s="68"/>
      <c r="AP452" s="70"/>
      <c r="AQ452" s="71"/>
      <c r="AR452" s="77"/>
      <c r="AS452" s="70"/>
      <c r="AT452" s="68"/>
      <c r="AU452" s="70"/>
      <c r="AV452" s="70"/>
      <c r="AW452" s="71"/>
      <c r="AX452" s="71"/>
      <c r="AY452" s="70"/>
      <c r="AZ452" s="76"/>
      <c r="BA452" s="76"/>
      <c r="BB452" s="76"/>
      <c r="BC452" s="78"/>
    </row>
    <row r="453" spans="1:55" x14ac:dyDescent="0.25">
      <c r="A453" s="68"/>
      <c r="B453" s="68"/>
      <c r="C453" s="68"/>
      <c r="D453" s="70"/>
      <c r="E453" s="70"/>
      <c r="F453" s="70"/>
      <c r="G453" s="72"/>
      <c r="H453" s="74"/>
      <c r="I453" s="74"/>
      <c r="J453" s="75"/>
      <c r="K453" s="81"/>
      <c r="L453" s="76"/>
      <c r="M453" s="76"/>
      <c r="N453" s="76"/>
      <c r="O453" s="71"/>
      <c r="P453" s="70"/>
      <c r="Q453" s="71"/>
      <c r="R453" s="71"/>
      <c r="S453" s="70"/>
      <c r="T453" s="71"/>
      <c r="U453" s="71"/>
      <c r="V453" s="75"/>
      <c r="W453" s="69"/>
      <c r="X453" s="69"/>
      <c r="Y453" s="69"/>
      <c r="Z453" s="69"/>
      <c r="AA453" s="69"/>
      <c r="AB453" s="69"/>
      <c r="AC453" s="69"/>
      <c r="AD453" s="69"/>
      <c r="AE453" s="76"/>
      <c r="AF453" s="71"/>
      <c r="AG453" s="71"/>
      <c r="AH453" s="71"/>
      <c r="AI453" s="71"/>
      <c r="AJ453" s="71"/>
      <c r="AK453" s="71"/>
      <c r="AL453" s="71"/>
      <c r="AM453" s="71"/>
      <c r="AN453" s="68"/>
      <c r="AO453" s="68"/>
      <c r="AP453" s="70"/>
      <c r="AQ453" s="71"/>
      <c r="AR453" s="77"/>
      <c r="AS453" s="70"/>
      <c r="AT453" s="68"/>
      <c r="AU453" s="70"/>
      <c r="AV453" s="70"/>
      <c r="AW453" s="71"/>
      <c r="AX453" s="71"/>
      <c r="AY453" s="70"/>
      <c r="AZ453" s="76"/>
      <c r="BA453" s="76"/>
      <c r="BB453" s="76"/>
      <c r="BC453" s="78"/>
    </row>
    <row r="454" spans="1:55" x14ac:dyDescent="0.25">
      <c r="A454" s="68"/>
      <c r="B454" s="68"/>
      <c r="C454" s="68"/>
      <c r="D454" s="70"/>
      <c r="E454" s="70"/>
      <c r="F454" s="70"/>
      <c r="G454" s="72"/>
      <c r="H454" s="74"/>
      <c r="I454" s="74"/>
      <c r="J454" s="75"/>
      <c r="K454" s="81"/>
      <c r="L454" s="76"/>
      <c r="M454" s="76"/>
      <c r="N454" s="76"/>
      <c r="O454" s="71"/>
      <c r="P454" s="70"/>
      <c r="Q454" s="71"/>
      <c r="R454" s="71"/>
      <c r="S454" s="70"/>
      <c r="T454" s="71"/>
      <c r="U454" s="71"/>
      <c r="V454" s="75"/>
      <c r="W454" s="69"/>
      <c r="X454" s="69"/>
      <c r="Y454" s="69"/>
      <c r="Z454" s="69"/>
      <c r="AA454" s="69"/>
      <c r="AB454" s="69"/>
      <c r="AC454" s="69"/>
      <c r="AD454" s="69"/>
      <c r="AE454" s="76"/>
      <c r="AF454" s="71"/>
      <c r="AG454" s="71"/>
      <c r="AH454" s="71"/>
      <c r="AI454" s="71"/>
      <c r="AJ454" s="71"/>
      <c r="AK454" s="71"/>
      <c r="AL454" s="71"/>
      <c r="AM454" s="71"/>
      <c r="AN454" s="68"/>
      <c r="AO454" s="68"/>
      <c r="AP454" s="70"/>
      <c r="AQ454" s="71"/>
      <c r="AR454" s="77"/>
      <c r="AS454" s="70"/>
      <c r="AT454" s="68"/>
      <c r="AU454" s="70"/>
      <c r="AV454" s="70"/>
      <c r="AW454" s="71"/>
      <c r="AX454" s="71"/>
      <c r="AY454" s="70"/>
      <c r="AZ454" s="76"/>
      <c r="BA454" s="76"/>
      <c r="BB454" s="76"/>
      <c r="BC454" s="78"/>
    </row>
    <row r="455" spans="1:55" x14ac:dyDescent="0.25">
      <c r="A455" s="68"/>
      <c r="B455" s="68"/>
      <c r="C455" s="68"/>
      <c r="D455" s="70"/>
      <c r="E455" s="70"/>
      <c r="F455" s="70"/>
      <c r="G455" s="72"/>
      <c r="H455" s="74"/>
      <c r="I455" s="74"/>
      <c r="J455" s="75"/>
      <c r="K455" s="81"/>
      <c r="L455" s="76"/>
      <c r="M455" s="76"/>
      <c r="N455" s="76"/>
      <c r="O455" s="71"/>
      <c r="P455" s="70"/>
      <c r="Q455" s="71"/>
      <c r="R455" s="71"/>
      <c r="S455" s="70"/>
      <c r="T455" s="71"/>
      <c r="U455" s="71"/>
      <c r="V455" s="75"/>
      <c r="W455" s="69"/>
      <c r="X455" s="69"/>
      <c r="Y455" s="69"/>
      <c r="Z455" s="69"/>
      <c r="AA455" s="69"/>
      <c r="AB455" s="69"/>
      <c r="AC455" s="69"/>
      <c r="AD455" s="69"/>
      <c r="AE455" s="76"/>
      <c r="AF455" s="71"/>
      <c r="AG455" s="71"/>
      <c r="AH455" s="71"/>
      <c r="AI455" s="71"/>
      <c r="AJ455" s="71"/>
      <c r="AK455" s="71"/>
      <c r="AL455" s="71"/>
      <c r="AM455" s="71"/>
      <c r="AN455" s="68"/>
      <c r="AO455" s="68"/>
      <c r="AP455" s="70"/>
      <c r="AQ455" s="71"/>
      <c r="AR455" s="77"/>
      <c r="AS455" s="70"/>
      <c r="AT455" s="68"/>
      <c r="AU455" s="70"/>
      <c r="AV455" s="70"/>
      <c r="AW455" s="71"/>
      <c r="AX455" s="71"/>
      <c r="AY455" s="70"/>
      <c r="AZ455" s="76"/>
      <c r="BA455" s="76"/>
      <c r="BB455" s="76"/>
      <c r="BC455" s="78"/>
    </row>
    <row r="456" spans="1:55" x14ac:dyDescent="0.25">
      <c r="A456" s="68"/>
      <c r="B456" s="68"/>
      <c r="C456" s="68"/>
      <c r="D456" s="70"/>
      <c r="E456" s="70"/>
      <c r="F456" s="70"/>
      <c r="G456" s="72"/>
      <c r="H456" s="74"/>
      <c r="I456" s="74"/>
      <c r="J456" s="75"/>
      <c r="K456" s="81"/>
      <c r="L456" s="76"/>
      <c r="M456" s="76"/>
      <c r="N456" s="76"/>
      <c r="O456" s="71"/>
      <c r="P456" s="70"/>
      <c r="Q456" s="71"/>
      <c r="R456" s="71"/>
      <c r="S456" s="70"/>
      <c r="T456" s="71"/>
      <c r="U456" s="71"/>
      <c r="V456" s="75"/>
      <c r="W456" s="69"/>
      <c r="X456" s="69"/>
      <c r="Y456" s="69"/>
      <c r="Z456" s="69"/>
      <c r="AA456" s="69"/>
      <c r="AB456" s="69"/>
      <c r="AC456" s="69"/>
      <c r="AD456" s="69"/>
      <c r="AE456" s="76"/>
      <c r="AF456" s="71"/>
      <c r="AG456" s="71"/>
      <c r="AH456" s="71"/>
      <c r="AI456" s="71"/>
      <c r="AJ456" s="71"/>
      <c r="AK456" s="71"/>
      <c r="AL456" s="71"/>
      <c r="AM456" s="71"/>
      <c r="AN456" s="68"/>
      <c r="AO456" s="68"/>
      <c r="AP456" s="70"/>
      <c r="AQ456" s="71"/>
      <c r="AR456" s="77"/>
      <c r="AS456" s="70"/>
      <c r="AT456" s="68"/>
      <c r="AU456" s="70"/>
      <c r="AV456" s="70"/>
      <c r="AW456" s="71"/>
      <c r="AX456" s="71"/>
      <c r="AY456" s="70"/>
      <c r="AZ456" s="76"/>
      <c r="BA456" s="76"/>
      <c r="BB456" s="76"/>
      <c r="BC456" s="78"/>
    </row>
    <row r="457" spans="1:55" x14ac:dyDescent="0.25">
      <c r="A457" s="68"/>
      <c r="B457" s="68"/>
      <c r="C457" s="68"/>
      <c r="D457" s="70"/>
      <c r="E457" s="70"/>
      <c r="F457" s="70"/>
      <c r="G457" s="72"/>
      <c r="H457" s="74"/>
      <c r="I457" s="74"/>
      <c r="J457" s="75"/>
      <c r="K457" s="81"/>
      <c r="L457" s="76"/>
      <c r="M457" s="76"/>
      <c r="N457" s="76"/>
      <c r="O457" s="71"/>
      <c r="P457" s="70"/>
      <c r="Q457" s="71"/>
      <c r="R457" s="71"/>
      <c r="S457" s="70"/>
      <c r="T457" s="71"/>
      <c r="U457" s="71"/>
      <c r="V457" s="75"/>
      <c r="W457" s="69"/>
      <c r="X457" s="69"/>
      <c r="Y457" s="69"/>
      <c r="Z457" s="69"/>
      <c r="AA457" s="69"/>
      <c r="AB457" s="69"/>
      <c r="AC457" s="69"/>
      <c r="AD457" s="69"/>
      <c r="AE457" s="76"/>
      <c r="AF457" s="71"/>
      <c r="AG457" s="71"/>
      <c r="AH457" s="71"/>
      <c r="AI457" s="71"/>
      <c r="AJ457" s="71"/>
      <c r="AK457" s="71"/>
      <c r="AL457" s="71"/>
      <c r="AM457" s="71"/>
      <c r="AN457" s="68"/>
      <c r="AO457" s="68"/>
      <c r="AP457" s="70"/>
      <c r="AQ457" s="71"/>
      <c r="AR457" s="77"/>
      <c r="AS457" s="70"/>
      <c r="AT457" s="68"/>
      <c r="AU457" s="70"/>
      <c r="AV457" s="70"/>
      <c r="AW457" s="71"/>
      <c r="AX457" s="71"/>
      <c r="AY457" s="70"/>
      <c r="AZ457" s="76"/>
      <c r="BA457" s="76"/>
      <c r="BB457" s="76"/>
      <c r="BC457" s="78"/>
    </row>
    <row r="458" spans="1:55" x14ac:dyDescent="0.25">
      <c r="A458" s="68"/>
      <c r="B458" s="68"/>
      <c r="C458" s="68"/>
      <c r="D458" s="70"/>
      <c r="E458" s="70"/>
      <c r="F458" s="70"/>
      <c r="G458" s="72"/>
      <c r="H458" s="74"/>
      <c r="I458" s="74"/>
      <c r="J458" s="75"/>
      <c r="K458" s="81"/>
      <c r="L458" s="76"/>
      <c r="M458" s="76"/>
      <c r="N458" s="76"/>
      <c r="O458" s="71"/>
      <c r="P458" s="70"/>
      <c r="Q458" s="71"/>
      <c r="R458" s="71"/>
      <c r="S458" s="70"/>
      <c r="T458" s="71"/>
      <c r="U458" s="71"/>
      <c r="V458" s="75"/>
      <c r="W458" s="69"/>
      <c r="X458" s="69"/>
      <c r="Y458" s="69"/>
      <c r="Z458" s="69"/>
      <c r="AA458" s="69"/>
      <c r="AB458" s="69"/>
      <c r="AC458" s="69"/>
      <c r="AD458" s="69"/>
      <c r="AE458" s="76"/>
      <c r="AF458" s="71"/>
      <c r="AG458" s="71"/>
      <c r="AH458" s="71"/>
      <c r="AI458" s="71"/>
      <c r="AJ458" s="71"/>
      <c r="AK458" s="71"/>
      <c r="AL458" s="71"/>
      <c r="AM458" s="71"/>
      <c r="AN458" s="68"/>
      <c r="AO458" s="68"/>
      <c r="AP458" s="70"/>
      <c r="AQ458" s="71"/>
      <c r="AR458" s="77"/>
      <c r="AS458" s="70"/>
      <c r="AT458" s="68"/>
      <c r="AU458" s="70"/>
      <c r="AV458" s="70"/>
      <c r="AW458" s="71"/>
      <c r="AX458" s="71"/>
      <c r="AY458" s="70"/>
      <c r="AZ458" s="76"/>
      <c r="BA458" s="76"/>
      <c r="BB458" s="76"/>
      <c r="BC458" s="78"/>
    </row>
    <row r="459" spans="1:55" x14ac:dyDescent="0.25">
      <c r="A459" s="68"/>
      <c r="B459" s="68"/>
      <c r="C459" s="68"/>
      <c r="D459" s="70"/>
      <c r="E459" s="70"/>
      <c r="F459" s="70"/>
      <c r="G459" s="72"/>
      <c r="H459" s="74"/>
      <c r="I459" s="74"/>
      <c r="J459" s="75"/>
      <c r="K459" s="81"/>
      <c r="L459" s="76"/>
      <c r="M459" s="76"/>
      <c r="N459" s="76"/>
      <c r="O459" s="71"/>
      <c r="P459" s="70"/>
      <c r="Q459" s="71"/>
      <c r="R459" s="71"/>
      <c r="S459" s="70"/>
      <c r="T459" s="71"/>
      <c r="U459" s="71"/>
      <c r="V459" s="75"/>
      <c r="W459" s="69"/>
      <c r="X459" s="69"/>
      <c r="Y459" s="69"/>
      <c r="Z459" s="69"/>
      <c r="AA459" s="69"/>
      <c r="AB459" s="69"/>
      <c r="AC459" s="69"/>
      <c r="AD459" s="69"/>
      <c r="AE459" s="76"/>
      <c r="AF459" s="71"/>
      <c r="AG459" s="71"/>
      <c r="AH459" s="71"/>
      <c r="AI459" s="71"/>
      <c r="AJ459" s="71"/>
      <c r="AK459" s="71"/>
      <c r="AL459" s="71"/>
      <c r="AM459" s="71"/>
      <c r="AN459" s="68"/>
      <c r="AO459" s="68"/>
      <c r="AP459" s="70"/>
      <c r="AQ459" s="71"/>
      <c r="AR459" s="77"/>
      <c r="AS459" s="70"/>
      <c r="AT459" s="68"/>
      <c r="AU459" s="70"/>
      <c r="AV459" s="70"/>
      <c r="AW459" s="71"/>
      <c r="AX459" s="71"/>
      <c r="AY459" s="70"/>
      <c r="AZ459" s="76"/>
      <c r="BA459" s="76"/>
      <c r="BB459" s="76"/>
      <c r="BC459" s="78"/>
    </row>
    <row r="460" spans="1:55" x14ac:dyDescent="0.25">
      <c r="A460" s="68"/>
      <c r="B460" s="68"/>
      <c r="C460" s="68"/>
      <c r="D460" s="70"/>
      <c r="E460" s="70"/>
      <c r="F460" s="70"/>
      <c r="G460" s="72"/>
      <c r="H460" s="74"/>
      <c r="I460" s="74"/>
      <c r="J460" s="75"/>
      <c r="K460" s="81"/>
      <c r="L460" s="76"/>
      <c r="M460" s="76"/>
      <c r="N460" s="76"/>
      <c r="O460" s="71"/>
      <c r="P460" s="70"/>
      <c r="Q460" s="71"/>
      <c r="R460" s="71"/>
      <c r="S460" s="70"/>
      <c r="T460" s="71"/>
      <c r="U460" s="71"/>
      <c r="V460" s="75"/>
      <c r="W460" s="69"/>
      <c r="X460" s="69"/>
      <c r="Y460" s="69"/>
      <c r="Z460" s="69"/>
      <c r="AA460" s="69"/>
      <c r="AB460" s="69"/>
      <c r="AC460" s="69"/>
      <c r="AD460" s="69"/>
      <c r="AE460" s="76"/>
      <c r="AF460" s="71"/>
      <c r="AG460" s="71"/>
      <c r="AH460" s="71"/>
      <c r="AI460" s="71"/>
      <c r="AJ460" s="71"/>
      <c r="AK460" s="71"/>
      <c r="AL460" s="71"/>
      <c r="AM460" s="71"/>
      <c r="AN460" s="68"/>
      <c r="AO460" s="68"/>
      <c r="AP460" s="70"/>
      <c r="AQ460" s="71"/>
      <c r="AR460" s="77"/>
      <c r="AS460" s="70"/>
      <c r="AT460" s="68"/>
      <c r="AU460" s="70"/>
      <c r="AV460" s="70"/>
      <c r="AW460" s="71"/>
      <c r="AX460" s="71"/>
      <c r="AY460" s="70"/>
      <c r="AZ460" s="76"/>
      <c r="BA460" s="76"/>
      <c r="BB460" s="76"/>
      <c r="BC460" s="78"/>
    </row>
    <row r="461" spans="1:55" x14ac:dyDescent="0.25">
      <c r="A461" s="68"/>
      <c r="B461" s="68"/>
      <c r="C461" s="68"/>
      <c r="D461" s="70"/>
      <c r="E461" s="70"/>
      <c r="F461" s="70"/>
      <c r="G461" s="72"/>
      <c r="H461" s="74"/>
      <c r="I461" s="74"/>
      <c r="J461" s="75"/>
      <c r="K461" s="81"/>
      <c r="L461" s="76"/>
      <c r="M461" s="76"/>
      <c r="N461" s="76"/>
      <c r="O461" s="71"/>
      <c r="P461" s="70"/>
      <c r="Q461" s="71"/>
      <c r="R461" s="71"/>
      <c r="S461" s="70"/>
      <c r="T461" s="71"/>
      <c r="U461" s="71"/>
      <c r="V461" s="75"/>
      <c r="W461" s="69"/>
      <c r="X461" s="69"/>
      <c r="Y461" s="69"/>
      <c r="Z461" s="69"/>
      <c r="AA461" s="69"/>
      <c r="AB461" s="69"/>
      <c r="AC461" s="69"/>
      <c r="AD461" s="69"/>
      <c r="AE461" s="76"/>
      <c r="AF461" s="71"/>
      <c r="AG461" s="71"/>
      <c r="AH461" s="71"/>
      <c r="AI461" s="71"/>
      <c r="AJ461" s="71"/>
      <c r="AK461" s="71"/>
      <c r="AL461" s="71"/>
      <c r="AM461" s="71"/>
      <c r="AN461" s="68"/>
      <c r="AO461" s="68"/>
      <c r="AP461" s="70"/>
      <c r="AQ461" s="71"/>
      <c r="AR461" s="77"/>
      <c r="AS461" s="70"/>
      <c r="AT461" s="68"/>
      <c r="AU461" s="70"/>
      <c r="AV461" s="70"/>
      <c r="AW461" s="71"/>
      <c r="AX461" s="71"/>
      <c r="AY461" s="70"/>
      <c r="AZ461" s="76"/>
      <c r="BA461" s="76"/>
      <c r="BB461" s="76"/>
      <c r="BC461" s="78"/>
    </row>
    <row r="462" spans="1:55" x14ac:dyDescent="0.25">
      <c r="A462" s="68"/>
      <c r="B462" s="68"/>
      <c r="C462" s="68"/>
      <c r="D462" s="70"/>
      <c r="E462" s="70"/>
      <c r="F462" s="70"/>
      <c r="G462" s="72"/>
      <c r="H462" s="74"/>
      <c r="I462" s="74"/>
      <c r="J462" s="75"/>
      <c r="K462" s="81"/>
      <c r="L462" s="76"/>
      <c r="M462" s="76"/>
      <c r="N462" s="76"/>
      <c r="O462" s="71"/>
      <c r="P462" s="70"/>
      <c r="Q462" s="71"/>
      <c r="R462" s="71"/>
      <c r="S462" s="70"/>
      <c r="T462" s="71"/>
      <c r="U462" s="71"/>
      <c r="V462" s="75"/>
      <c r="W462" s="69"/>
      <c r="X462" s="69"/>
      <c r="Y462" s="69"/>
      <c r="Z462" s="69"/>
      <c r="AA462" s="69"/>
      <c r="AB462" s="69"/>
      <c r="AC462" s="69"/>
      <c r="AD462" s="69"/>
      <c r="AE462" s="76"/>
      <c r="AF462" s="71"/>
      <c r="AG462" s="71"/>
      <c r="AH462" s="71"/>
      <c r="AI462" s="71"/>
      <c r="AJ462" s="71"/>
      <c r="AK462" s="71"/>
      <c r="AL462" s="71"/>
      <c r="AM462" s="71"/>
      <c r="AN462" s="68"/>
      <c r="AO462" s="68"/>
      <c r="AP462" s="70"/>
      <c r="AQ462" s="71"/>
      <c r="AR462" s="77"/>
      <c r="AS462" s="70"/>
      <c r="AT462" s="68"/>
      <c r="AU462" s="70"/>
      <c r="AV462" s="70"/>
      <c r="AW462" s="71"/>
      <c r="AX462" s="71"/>
      <c r="AY462" s="70"/>
      <c r="AZ462" s="76"/>
      <c r="BA462" s="76"/>
      <c r="BB462" s="76"/>
      <c r="BC462" s="78"/>
    </row>
    <row r="463" spans="1:55" x14ac:dyDescent="0.25">
      <c r="A463" s="68"/>
      <c r="B463" s="68"/>
      <c r="C463" s="68"/>
      <c r="D463" s="70"/>
      <c r="E463" s="70"/>
      <c r="F463" s="70"/>
      <c r="G463" s="72"/>
      <c r="H463" s="74"/>
      <c r="I463" s="74"/>
      <c r="J463" s="75"/>
      <c r="K463" s="81"/>
      <c r="L463" s="76"/>
      <c r="M463" s="76"/>
      <c r="N463" s="76"/>
      <c r="O463" s="71"/>
      <c r="P463" s="70"/>
      <c r="Q463" s="71"/>
      <c r="R463" s="71"/>
      <c r="S463" s="70"/>
      <c r="T463" s="71"/>
      <c r="U463" s="71"/>
      <c r="V463" s="75"/>
      <c r="W463" s="69"/>
      <c r="X463" s="69"/>
      <c r="Y463" s="69"/>
      <c r="Z463" s="69"/>
      <c r="AA463" s="69"/>
      <c r="AB463" s="69"/>
      <c r="AC463" s="69"/>
      <c r="AD463" s="69"/>
      <c r="AE463" s="76"/>
      <c r="AF463" s="71"/>
      <c r="AG463" s="71"/>
      <c r="AH463" s="71"/>
      <c r="AI463" s="71"/>
      <c r="AJ463" s="71"/>
      <c r="AK463" s="71"/>
      <c r="AL463" s="71"/>
      <c r="AM463" s="71"/>
      <c r="AN463" s="68"/>
      <c r="AO463" s="68"/>
      <c r="AP463" s="70"/>
      <c r="AQ463" s="71"/>
      <c r="AR463" s="77"/>
      <c r="AS463" s="70"/>
      <c r="AT463" s="68"/>
      <c r="AU463" s="70"/>
      <c r="AV463" s="70"/>
      <c r="AW463" s="71"/>
      <c r="AX463" s="71"/>
      <c r="AY463" s="70"/>
      <c r="AZ463" s="76"/>
      <c r="BA463" s="76"/>
      <c r="BB463" s="76"/>
      <c r="BC463" s="78"/>
    </row>
    <row r="464" spans="1:55" x14ac:dyDescent="0.25">
      <c r="A464" s="68"/>
      <c r="B464" s="68"/>
      <c r="C464" s="68"/>
      <c r="D464" s="70"/>
      <c r="E464" s="70"/>
      <c r="F464" s="70"/>
      <c r="G464" s="72"/>
      <c r="H464" s="74"/>
      <c r="I464" s="74"/>
      <c r="J464" s="75"/>
      <c r="K464" s="81"/>
      <c r="L464" s="76"/>
      <c r="M464" s="76"/>
      <c r="N464" s="76"/>
      <c r="O464" s="71"/>
      <c r="P464" s="70"/>
      <c r="Q464" s="71"/>
      <c r="R464" s="71"/>
      <c r="S464" s="70"/>
      <c r="T464" s="71"/>
      <c r="U464" s="71"/>
      <c r="V464" s="75"/>
      <c r="W464" s="69"/>
      <c r="X464" s="69"/>
      <c r="Y464" s="69"/>
      <c r="Z464" s="69"/>
      <c r="AA464" s="69"/>
      <c r="AB464" s="69"/>
      <c r="AC464" s="69"/>
      <c r="AD464" s="69"/>
      <c r="AE464" s="76"/>
      <c r="AF464" s="71"/>
      <c r="AG464" s="71"/>
      <c r="AH464" s="71"/>
      <c r="AI464" s="71"/>
      <c r="AJ464" s="71"/>
      <c r="AK464" s="71"/>
      <c r="AL464" s="71"/>
      <c r="AM464" s="71"/>
      <c r="AN464" s="68"/>
      <c r="AO464" s="68"/>
      <c r="AP464" s="70"/>
      <c r="AQ464" s="71"/>
      <c r="AR464" s="77"/>
      <c r="AS464" s="70"/>
      <c r="AT464" s="68"/>
      <c r="AU464" s="70"/>
      <c r="AV464" s="70"/>
      <c r="AW464" s="71"/>
      <c r="AX464" s="71"/>
      <c r="AY464" s="70"/>
      <c r="AZ464" s="76"/>
      <c r="BA464" s="76"/>
      <c r="BB464" s="76"/>
      <c r="BC464" s="78"/>
    </row>
    <row r="465" spans="1:55" x14ac:dyDescent="0.25">
      <c r="A465" s="68"/>
      <c r="B465" s="68"/>
      <c r="C465" s="68"/>
      <c r="D465" s="70"/>
      <c r="E465" s="70"/>
      <c r="F465" s="70"/>
      <c r="G465" s="72"/>
      <c r="H465" s="74"/>
      <c r="I465" s="74"/>
      <c r="J465" s="75"/>
      <c r="K465" s="81"/>
      <c r="L465" s="76"/>
      <c r="M465" s="76"/>
      <c r="N465" s="76"/>
      <c r="O465" s="71"/>
      <c r="P465" s="70"/>
      <c r="Q465" s="71"/>
      <c r="R465" s="71"/>
      <c r="S465" s="70"/>
      <c r="T465" s="71"/>
      <c r="U465" s="71"/>
      <c r="V465" s="75"/>
      <c r="W465" s="69"/>
      <c r="X465" s="69"/>
      <c r="Y465" s="69"/>
      <c r="Z465" s="69"/>
      <c r="AA465" s="69"/>
      <c r="AB465" s="69"/>
      <c r="AC465" s="69"/>
      <c r="AD465" s="69"/>
      <c r="AE465" s="76"/>
      <c r="AF465" s="71"/>
      <c r="AG465" s="71"/>
      <c r="AH465" s="71"/>
      <c r="AI465" s="71"/>
      <c r="AJ465" s="71"/>
      <c r="AK465" s="71"/>
      <c r="AL465" s="71"/>
      <c r="AM465" s="71"/>
      <c r="AN465" s="68"/>
      <c r="AO465" s="68"/>
      <c r="AP465" s="70"/>
      <c r="AQ465" s="71"/>
      <c r="AR465" s="77"/>
      <c r="AS465" s="70"/>
      <c r="AT465" s="68"/>
      <c r="AU465" s="70"/>
      <c r="AV465" s="70"/>
      <c r="AW465" s="71"/>
      <c r="AX465" s="71"/>
      <c r="AY465" s="70"/>
      <c r="AZ465" s="76"/>
      <c r="BA465" s="76"/>
      <c r="BB465" s="76"/>
      <c r="BC465" s="78"/>
    </row>
    <row r="466" spans="1:55" x14ac:dyDescent="0.25">
      <c r="A466" s="68"/>
      <c r="B466" s="68"/>
      <c r="C466" s="68"/>
      <c r="D466" s="70"/>
      <c r="E466" s="70"/>
      <c r="F466" s="70"/>
      <c r="G466" s="72"/>
      <c r="H466" s="74"/>
      <c r="I466" s="74"/>
      <c r="J466" s="75"/>
      <c r="K466" s="81"/>
      <c r="L466" s="76"/>
      <c r="M466" s="76"/>
      <c r="N466" s="76"/>
      <c r="O466" s="71"/>
      <c r="P466" s="70"/>
      <c r="Q466" s="71"/>
      <c r="R466" s="71"/>
      <c r="S466" s="70"/>
      <c r="T466" s="71"/>
      <c r="U466" s="71"/>
      <c r="V466" s="75"/>
      <c r="W466" s="69"/>
      <c r="X466" s="69"/>
      <c r="Y466" s="69"/>
      <c r="Z466" s="69"/>
      <c r="AA466" s="69"/>
      <c r="AB466" s="69"/>
      <c r="AC466" s="69"/>
      <c r="AD466" s="69"/>
      <c r="AE466" s="76"/>
      <c r="AF466" s="71"/>
      <c r="AG466" s="71"/>
      <c r="AH466" s="71"/>
      <c r="AI466" s="71"/>
      <c r="AJ466" s="71"/>
      <c r="AK466" s="71"/>
      <c r="AL466" s="71"/>
      <c r="AM466" s="71"/>
      <c r="AN466" s="68"/>
      <c r="AO466" s="68"/>
      <c r="AP466" s="70"/>
      <c r="AQ466" s="71"/>
      <c r="AR466" s="77"/>
      <c r="AS466" s="70"/>
      <c r="AT466" s="68"/>
      <c r="AU466" s="70"/>
      <c r="AV466" s="70"/>
      <c r="AW466" s="71"/>
      <c r="AX466" s="71"/>
      <c r="AY466" s="70"/>
      <c r="AZ466" s="76"/>
      <c r="BA466" s="76"/>
      <c r="BB466" s="76"/>
      <c r="BC466" s="78"/>
    </row>
    <row r="467" spans="1:55" x14ac:dyDescent="0.25">
      <c r="A467" s="68"/>
      <c r="B467" s="68"/>
      <c r="C467" s="68"/>
      <c r="D467" s="70"/>
      <c r="E467" s="70"/>
      <c r="F467" s="70"/>
      <c r="G467" s="72"/>
      <c r="H467" s="74"/>
      <c r="I467" s="74"/>
      <c r="J467" s="75"/>
      <c r="K467" s="81"/>
      <c r="L467" s="76"/>
      <c r="M467" s="76"/>
      <c r="N467" s="76"/>
      <c r="O467" s="71"/>
      <c r="P467" s="70"/>
      <c r="Q467" s="71"/>
      <c r="R467" s="71"/>
      <c r="S467" s="70"/>
      <c r="T467" s="71"/>
      <c r="U467" s="71"/>
      <c r="V467" s="75"/>
      <c r="W467" s="69"/>
      <c r="X467" s="69"/>
      <c r="Y467" s="69"/>
      <c r="Z467" s="69"/>
      <c r="AA467" s="69"/>
      <c r="AB467" s="69"/>
      <c r="AC467" s="69"/>
      <c r="AD467" s="69"/>
      <c r="AE467" s="76"/>
      <c r="AF467" s="71"/>
      <c r="AG467" s="71"/>
      <c r="AH467" s="71"/>
      <c r="AI467" s="71"/>
      <c r="AJ467" s="71"/>
      <c r="AK467" s="71"/>
      <c r="AL467" s="71"/>
      <c r="AM467" s="71"/>
      <c r="AN467" s="68"/>
      <c r="AO467" s="68"/>
      <c r="AP467" s="70"/>
      <c r="AQ467" s="71"/>
      <c r="AR467" s="77"/>
      <c r="AS467" s="70"/>
      <c r="AT467" s="68"/>
      <c r="AU467" s="70"/>
      <c r="AV467" s="70"/>
      <c r="AW467" s="71"/>
      <c r="AX467" s="71"/>
      <c r="AY467" s="70"/>
      <c r="AZ467" s="76"/>
      <c r="BA467" s="76"/>
      <c r="BB467" s="76"/>
      <c r="BC467" s="78"/>
    </row>
    <row r="468" spans="1:55" x14ac:dyDescent="0.25">
      <c r="A468" s="68"/>
      <c r="B468" s="68"/>
      <c r="C468" s="68"/>
      <c r="D468" s="70"/>
      <c r="E468" s="70"/>
      <c r="F468" s="70"/>
      <c r="G468" s="72"/>
      <c r="H468" s="74"/>
      <c r="I468" s="74"/>
      <c r="J468" s="75"/>
      <c r="K468" s="81"/>
      <c r="L468" s="76"/>
      <c r="M468" s="76"/>
      <c r="N468" s="76"/>
      <c r="O468" s="71"/>
      <c r="P468" s="70"/>
      <c r="Q468" s="71"/>
      <c r="R468" s="71"/>
      <c r="S468" s="70"/>
      <c r="T468" s="71"/>
      <c r="U468" s="71"/>
      <c r="V468" s="75"/>
      <c r="W468" s="69"/>
      <c r="X468" s="69"/>
      <c r="Y468" s="69"/>
      <c r="Z468" s="69"/>
      <c r="AA468" s="69"/>
      <c r="AB468" s="69"/>
      <c r="AC468" s="69"/>
      <c r="AD468" s="69"/>
      <c r="AE468" s="76"/>
      <c r="AF468" s="71"/>
      <c r="AG468" s="71"/>
      <c r="AH468" s="71"/>
      <c r="AI468" s="71"/>
      <c r="AJ468" s="71"/>
      <c r="AK468" s="71"/>
      <c r="AL468" s="71"/>
      <c r="AM468" s="71"/>
      <c r="AN468" s="68"/>
      <c r="AO468" s="68"/>
      <c r="AP468" s="70"/>
      <c r="AQ468" s="71"/>
      <c r="AR468" s="77"/>
      <c r="AS468" s="70"/>
      <c r="AT468" s="68"/>
      <c r="AU468" s="70"/>
      <c r="AV468" s="70"/>
      <c r="AW468" s="71"/>
      <c r="AX468" s="71"/>
      <c r="AY468" s="70"/>
      <c r="AZ468" s="76"/>
      <c r="BA468" s="76"/>
      <c r="BB468" s="76"/>
      <c r="BC468" s="78"/>
    </row>
    <row r="469" spans="1:55" x14ac:dyDescent="0.25">
      <c r="A469" s="68"/>
      <c r="B469" s="68"/>
      <c r="C469" s="68"/>
      <c r="D469" s="70"/>
      <c r="E469" s="70"/>
      <c r="F469" s="70"/>
      <c r="G469" s="72"/>
      <c r="H469" s="74"/>
      <c r="I469" s="74"/>
      <c r="J469" s="75"/>
      <c r="K469" s="81"/>
      <c r="L469" s="76"/>
      <c r="M469" s="76"/>
      <c r="N469" s="76"/>
      <c r="O469" s="71"/>
      <c r="P469" s="70"/>
      <c r="Q469" s="71"/>
      <c r="R469" s="71"/>
      <c r="S469" s="70"/>
      <c r="T469" s="71"/>
      <c r="U469" s="71"/>
      <c r="V469" s="75"/>
      <c r="W469" s="69"/>
      <c r="X469" s="69"/>
      <c r="Y469" s="69"/>
      <c r="Z469" s="69"/>
      <c r="AA469" s="69"/>
      <c r="AB469" s="69"/>
      <c r="AC469" s="69"/>
      <c r="AD469" s="69"/>
      <c r="AE469" s="76"/>
      <c r="AF469" s="71"/>
      <c r="AG469" s="71"/>
      <c r="AH469" s="71"/>
      <c r="AI469" s="71"/>
      <c r="AJ469" s="71"/>
      <c r="AK469" s="71"/>
      <c r="AL469" s="71"/>
      <c r="AM469" s="71"/>
      <c r="AN469" s="68"/>
      <c r="AO469" s="68"/>
      <c r="AP469" s="70"/>
      <c r="AQ469" s="71"/>
      <c r="AR469" s="77"/>
      <c r="AS469" s="70"/>
      <c r="AT469" s="68"/>
      <c r="AU469" s="70"/>
      <c r="AV469" s="70"/>
      <c r="AW469" s="71"/>
      <c r="AX469" s="71"/>
      <c r="AY469" s="70"/>
      <c r="AZ469" s="76"/>
      <c r="BA469" s="76"/>
      <c r="BB469" s="76"/>
      <c r="BC469" s="78"/>
    </row>
    <row r="470" spans="1:55" x14ac:dyDescent="0.25">
      <c r="A470" s="68"/>
      <c r="B470" s="68"/>
      <c r="C470" s="68"/>
      <c r="D470" s="70"/>
      <c r="E470" s="70"/>
      <c r="F470" s="70"/>
      <c r="G470" s="72"/>
      <c r="H470" s="74"/>
      <c r="I470" s="74"/>
      <c r="J470" s="75"/>
      <c r="K470" s="81"/>
      <c r="L470" s="76"/>
      <c r="M470" s="76"/>
      <c r="N470" s="76"/>
      <c r="O470" s="71"/>
      <c r="P470" s="70"/>
      <c r="Q470" s="71"/>
      <c r="R470" s="71"/>
      <c r="S470" s="70"/>
      <c r="T470" s="71"/>
      <c r="U470" s="71"/>
      <c r="V470" s="75"/>
      <c r="W470" s="69"/>
      <c r="X470" s="69"/>
      <c r="Y470" s="69"/>
      <c r="Z470" s="69"/>
      <c r="AA470" s="69"/>
      <c r="AB470" s="69"/>
      <c r="AC470" s="69"/>
      <c r="AD470" s="69"/>
      <c r="AE470" s="76"/>
      <c r="AF470" s="71"/>
      <c r="AG470" s="71"/>
      <c r="AH470" s="71"/>
      <c r="AI470" s="71"/>
      <c r="AJ470" s="71"/>
      <c r="AK470" s="71"/>
      <c r="AL470" s="71"/>
      <c r="AM470" s="71"/>
      <c r="AN470" s="68"/>
      <c r="AO470" s="68"/>
      <c r="AP470" s="70"/>
      <c r="AQ470" s="71"/>
      <c r="AR470" s="77"/>
      <c r="AS470" s="70"/>
      <c r="AT470" s="68"/>
      <c r="AU470" s="70"/>
      <c r="AV470" s="70"/>
      <c r="AW470" s="71"/>
      <c r="AX470" s="71"/>
      <c r="AY470" s="70"/>
      <c r="AZ470" s="76"/>
      <c r="BA470" s="76"/>
      <c r="BB470" s="76"/>
      <c r="BC470" s="78"/>
    </row>
    <row r="471" spans="1:55" x14ac:dyDescent="0.25">
      <c r="A471" s="68"/>
      <c r="B471" s="68"/>
      <c r="C471" s="68"/>
      <c r="D471" s="70"/>
      <c r="E471" s="70"/>
      <c r="F471" s="70"/>
      <c r="G471" s="72"/>
      <c r="H471" s="74"/>
      <c r="I471" s="74"/>
      <c r="J471" s="75"/>
      <c r="K471" s="81"/>
      <c r="L471" s="76"/>
      <c r="M471" s="76"/>
      <c r="N471" s="76"/>
      <c r="O471" s="71"/>
      <c r="P471" s="70"/>
      <c r="Q471" s="71"/>
      <c r="R471" s="71"/>
      <c r="S471" s="70"/>
      <c r="T471" s="71"/>
      <c r="U471" s="71"/>
      <c r="V471" s="75"/>
      <c r="W471" s="69"/>
      <c r="X471" s="69"/>
      <c r="Y471" s="69"/>
      <c r="Z471" s="69"/>
      <c r="AA471" s="69"/>
      <c r="AB471" s="69"/>
      <c r="AC471" s="69"/>
      <c r="AD471" s="69"/>
      <c r="AE471" s="76"/>
      <c r="AF471" s="71"/>
      <c r="AG471" s="71"/>
      <c r="AH471" s="71"/>
      <c r="AI471" s="71"/>
      <c r="AJ471" s="71"/>
      <c r="AK471" s="71"/>
      <c r="AL471" s="71"/>
      <c r="AM471" s="71"/>
      <c r="AN471" s="68"/>
      <c r="AO471" s="68"/>
      <c r="AP471" s="70"/>
      <c r="AQ471" s="71"/>
      <c r="AR471" s="77"/>
      <c r="AS471" s="70"/>
      <c r="AT471" s="68"/>
      <c r="AU471" s="70"/>
      <c r="AV471" s="70"/>
      <c r="AW471" s="71"/>
      <c r="AX471" s="71"/>
      <c r="AY471" s="70"/>
      <c r="AZ471" s="76"/>
      <c r="BA471" s="76"/>
      <c r="BB471" s="76"/>
      <c r="BC471" s="78"/>
    </row>
    <row r="472" spans="1:55" x14ac:dyDescent="0.25">
      <c r="A472" s="68"/>
      <c r="B472" s="68"/>
      <c r="C472" s="68"/>
      <c r="D472" s="70"/>
      <c r="E472" s="70"/>
      <c r="F472" s="70"/>
      <c r="G472" s="72"/>
      <c r="H472" s="74"/>
      <c r="I472" s="74"/>
      <c r="J472" s="75"/>
      <c r="K472" s="81"/>
      <c r="L472" s="76"/>
      <c r="M472" s="76"/>
      <c r="N472" s="76"/>
      <c r="O472" s="71"/>
      <c r="P472" s="70"/>
      <c r="Q472" s="71"/>
      <c r="R472" s="71"/>
      <c r="S472" s="70"/>
      <c r="T472" s="71"/>
      <c r="U472" s="71"/>
      <c r="V472" s="75"/>
      <c r="W472" s="69"/>
      <c r="X472" s="69"/>
      <c r="Y472" s="69"/>
      <c r="Z472" s="69"/>
      <c r="AA472" s="69"/>
      <c r="AB472" s="69"/>
      <c r="AC472" s="69"/>
      <c r="AD472" s="69"/>
      <c r="AE472" s="76"/>
      <c r="AF472" s="71"/>
      <c r="AG472" s="71"/>
      <c r="AH472" s="71"/>
      <c r="AI472" s="71"/>
      <c r="AJ472" s="71"/>
      <c r="AK472" s="71"/>
      <c r="AL472" s="71"/>
      <c r="AM472" s="71"/>
      <c r="AN472" s="68"/>
      <c r="AO472" s="68"/>
      <c r="AP472" s="70"/>
      <c r="AQ472" s="71"/>
      <c r="AR472" s="77"/>
      <c r="AS472" s="70"/>
      <c r="AT472" s="68"/>
      <c r="AU472" s="70"/>
      <c r="AV472" s="70"/>
      <c r="AW472" s="71"/>
      <c r="AX472" s="71"/>
      <c r="AY472" s="70"/>
      <c r="AZ472" s="76"/>
      <c r="BA472" s="76"/>
      <c r="BB472" s="76"/>
      <c r="BC472" s="78"/>
    </row>
    <row r="473" spans="1:55" x14ac:dyDescent="0.25">
      <c r="A473" s="68"/>
      <c r="B473" s="68"/>
      <c r="C473" s="68"/>
      <c r="D473" s="70"/>
      <c r="E473" s="70"/>
      <c r="F473" s="70"/>
      <c r="G473" s="72"/>
      <c r="H473" s="74"/>
      <c r="I473" s="74"/>
      <c r="J473" s="75"/>
      <c r="K473" s="81"/>
      <c r="L473" s="76"/>
      <c r="M473" s="76"/>
      <c r="N473" s="76"/>
      <c r="O473" s="71"/>
      <c r="P473" s="70"/>
      <c r="Q473" s="71"/>
      <c r="R473" s="71"/>
      <c r="S473" s="70"/>
      <c r="T473" s="71"/>
      <c r="U473" s="71"/>
      <c r="V473" s="75"/>
      <c r="W473" s="69"/>
      <c r="X473" s="69"/>
      <c r="Y473" s="69"/>
      <c r="Z473" s="69"/>
      <c r="AA473" s="69"/>
      <c r="AB473" s="69"/>
      <c r="AC473" s="69"/>
      <c r="AD473" s="69"/>
      <c r="AE473" s="76"/>
      <c r="AF473" s="71"/>
      <c r="AG473" s="71"/>
      <c r="AH473" s="71"/>
      <c r="AI473" s="71"/>
      <c r="AJ473" s="71"/>
      <c r="AK473" s="71"/>
      <c r="AL473" s="71"/>
      <c r="AM473" s="71"/>
      <c r="AN473" s="68"/>
      <c r="AO473" s="68"/>
      <c r="AP473" s="70"/>
      <c r="AQ473" s="71"/>
      <c r="AR473" s="77"/>
      <c r="AS473" s="70"/>
      <c r="AT473" s="68"/>
      <c r="AU473" s="70"/>
      <c r="AV473" s="70"/>
      <c r="AW473" s="71"/>
      <c r="AX473" s="71"/>
      <c r="AY473" s="70"/>
      <c r="AZ473" s="76"/>
      <c r="BA473" s="76"/>
      <c r="BB473" s="76"/>
      <c r="BC473" s="78"/>
    </row>
    <row r="474" spans="1:55" x14ac:dyDescent="0.25">
      <c r="A474" s="68"/>
      <c r="B474" s="68"/>
      <c r="C474" s="68"/>
      <c r="D474" s="70"/>
      <c r="E474" s="70"/>
      <c r="F474" s="70"/>
      <c r="G474" s="72"/>
      <c r="H474" s="74"/>
      <c r="I474" s="74"/>
      <c r="J474" s="75"/>
      <c r="K474" s="81"/>
      <c r="L474" s="76"/>
      <c r="M474" s="76"/>
      <c r="N474" s="76"/>
      <c r="O474" s="71"/>
      <c r="P474" s="70"/>
      <c r="Q474" s="71"/>
      <c r="R474" s="71"/>
      <c r="S474" s="70"/>
      <c r="T474" s="71"/>
      <c r="U474" s="71"/>
      <c r="V474" s="75"/>
      <c r="W474" s="69"/>
      <c r="X474" s="69"/>
      <c r="Y474" s="69"/>
      <c r="Z474" s="69"/>
      <c r="AA474" s="69"/>
      <c r="AB474" s="69"/>
      <c r="AC474" s="69"/>
      <c r="AD474" s="69"/>
      <c r="AE474" s="76"/>
      <c r="AF474" s="71"/>
      <c r="AG474" s="71"/>
      <c r="AH474" s="71"/>
      <c r="AI474" s="71"/>
      <c r="AJ474" s="71"/>
      <c r="AK474" s="71"/>
      <c r="AL474" s="71"/>
      <c r="AM474" s="71"/>
      <c r="AN474" s="68"/>
      <c r="AO474" s="68"/>
      <c r="AP474" s="70"/>
      <c r="AQ474" s="71"/>
      <c r="AR474" s="77"/>
      <c r="AS474" s="70"/>
      <c r="AT474" s="68"/>
      <c r="AU474" s="70"/>
      <c r="AV474" s="70"/>
      <c r="AW474" s="71"/>
      <c r="AX474" s="71"/>
      <c r="AY474" s="70"/>
      <c r="AZ474" s="76"/>
      <c r="BA474" s="76"/>
      <c r="BB474" s="76"/>
      <c r="BC474" s="78"/>
    </row>
    <row r="475" spans="1:55" x14ac:dyDescent="0.25">
      <c r="A475" s="68"/>
      <c r="B475" s="68"/>
      <c r="C475" s="68"/>
      <c r="D475" s="70"/>
      <c r="E475" s="70"/>
      <c r="F475" s="70"/>
      <c r="G475" s="72"/>
      <c r="H475" s="74"/>
      <c r="I475" s="74"/>
      <c r="J475" s="75"/>
      <c r="K475" s="81"/>
      <c r="L475" s="76"/>
      <c r="M475" s="76"/>
      <c r="N475" s="76"/>
      <c r="O475" s="71"/>
      <c r="P475" s="70"/>
      <c r="Q475" s="71"/>
      <c r="R475" s="71"/>
      <c r="S475" s="70"/>
      <c r="T475" s="71"/>
      <c r="U475" s="71"/>
      <c r="V475" s="75"/>
      <c r="W475" s="69"/>
      <c r="X475" s="69"/>
      <c r="Y475" s="69"/>
      <c r="Z475" s="69"/>
      <c r="AA475" s="69"/>
      <c r="AB475" s="69"/>
      <c r="AC475" s="69"/>
      <c r="AD475" s="69"/>
      <c r="AE475" s="76"/>
      <c r="AF475" s="71"/>
      <c r="AG475" s="71"/>
      <c r="AH475" s="71"/>
      <c r="AI475" s="71"/>
      <c r="AJ475" s="71"/>
      <c r="AK475" s="71"/>
      <c r="AL475" s="71"/>
      <c r="AM475" s="71"/>
      <c r="AN475" s="68"/>
      <c r="AO475" s="68"/>
      <c r="AP475" s="70"/>
      <c r="AQ475" s="71"/>
      <c r="AR475" s="77"/>
      <c r="AS475" s="70"/>
      <c r="AT475" s="68"/>
      <c r="AU475" s="70"/>
      <c r="AV475" s="70"/>
      <c r="AW475" s="71"/>
      <c r="AX475" s="71"/>
      <c r="AY475" s="70"/>
      <c r="AZ475" s="76"/>
      <c r="BA475" s="76"/>
      <c r="BB475" s="76"/>
      <c r="BC475" s="78"/>
    </row>
    <row r="476" spans="1:55" x14ac:dyDescent="0.25">
      <c r="A476" s="68"/>
      <c r="B476" s="68"/>
      <c r="C476" s="68"/>
      <c r="D476" s="70"/>
      <c r="E476" s="70"/>
      <c r="F476" s="70"/>
      <c r="G476" s="72"/>
      <c r="H476" s="74"/>
      <c r="I476" s="74"/>
      <c r="J476" s="75"/>
      <c r="K476" s="81"/>
      <c r="L476" s="76"/>
      <c r="M476" s="76"/>
      <c r="N476" s="76"/>
      <c r="O476" s="71"/>
      <c r="P476" s="70"/>
      <c r="Q476" s="71"/>
      <c r="R476" s="71"/>
      <c r="S476" s="70"/>
      <c r="T476" s="71"/>
      <c r="U476" s="71"/>
      <c r="V476" s="75"/>
      <c r="W476" s="69"/>
      <c r="X476" s="69"/>
      <c r="Y476" s="69"/>
      <c r="Z476" s="69"/>
      <c r="AA476" s="69"/>
      <c r="AB476" s="69"/>
      <c r="AC476" s="69"/>
      <c r="AD476" s="69"/>
      <c r="AE476" s="76"/>
      <c r="AF476" s="71"/>
      <c r="AG476" s="71"/>
      <c r="AH476" s="71"/>
      <c r="AI476" s="71"/>
      <c r="AJ476" s="71"/>
      <c r="AK476" s="71"/>
      <c r="AL476" s="71"/>
      <c r="AM476" s="71"/>
      <c r="AN476" s="68"/>
      <c r="AO476" s="68"/>
      <c r="AP476" s="70"/>
      <c r="AQ476" s="71"/>
      <c r="AR476" s="77"/>
      <c r="AS476" s="70"/>
      <c r="AT476" s="68"/>
      <c r="AU476" s="70"/>
      <c r="AV476" s="70"/>
      <c r="AW476" s="71"/>
      <c r="AX476" s="71"/>
      <c r="AY476" s="70"/>
      <c r="AZ476" s="76"/>
      <c r="BA476" s="76"/>
      <c r="BB476" s="76"/>
      <c r="BC476" s="78"/>
    </row>
    <row r="477" spans="1:55" x14ac:dyDescent="0.25">
      <c r="A477" s="68"/>
      <c r="B477" s="68"/>
      <c r="C477" s="68"/>
      <c r="D477" s="70"/>
      <c r="E477" s="70"/>
      <c r="F477" s="70"/>
      <c r="G477" s="72"/>
      <c r="H477" s="74"/>
      <c r="I477" s="74"/>
      <c r="J477" s="75"/>
      <c r="K477" s="81"/>
      <c r="L477" s="76"/>
      <c r="M477" s="76"/>
      <c r="N477" s="76"/>
      <c r="O477" s="71"/>
      <c r="P477" s="70"/>
      <c r="Q477" s="71"/>
      <c r="R477" s="71"/>
      <c r="S477" s="70"/>
      <c r="T477" s="71"/>
      <c r="U477" s="71"/>
      <c r="V477" s="75"/>
      <c r="W477" s="69"/>
      <c r="X477" s="69"/>
      <c r="Y477" s="69"/>
      <c r="Z477" s="69"/>
      <c r="AA477" s="69"/>
      <c r="AB477" s="69"/>
      <c r="AC477" s="69"/>
      <c r="AD477" s="69"/>
      <c r="AE477" s="76"/>
      <c r="AF477" s="71"/>
      <c r="AG477" s="71"/>
      <c r="AH477" s="71"/>
      <c r="AI477" s="71"/>
      <c r="AJ477" s="71"/>
      <c r="AK477" s="71"/>
      <c r="AL477" s="71"/>
      <c r="AM477" s="71"/>
      <c r="AN477" s="68"/>
      <c r="AO477" s="68"/>
      <c r="AP477" s="70"/>
      <c r="AQ477" s="71"/>
      <c r="AR477" s="77"/>
      <c r="AS477" s="70"/>
      <c r="AT477" s="68"/>
      <c r="AU477" s="70"/>
      <c r="AV477" s="70"/>
      <c r="AW477" s="71"/>
      <c r="AX477" s="71"/>
      <c r="AY477" s="70"/>
      <c r="AZ477" s="76"/>
      <c r="BA477" s="76"/>
      <c r="BB477" s="76"/>
      <c r="BC477" s="78"/>
    </row>
    <row r="478" spans="1:55" x14ac:dyDescent="0.25">
      <c r="A478" s="68"/>
      <c r="B478" s="68"/>
      <c r="C478" s="68"/>
      <c r="D478" s="70"/>
      <c r="E478" s="70"/>
      <c r="F478" s="70"/>
      <c r="G478" s="72"/>
      <c r="H478" s="74"/>
      <c r="I478" s="74"/>
      <c r="J478" s="75"/>
      <c r="K478" s="81"/>
      <c r="L478" s="76"/>
      <c r="M478" s="76"/>
      <c r="N478" s="76"/>
      <c r="O478" s="71"/>
      <c r="P478" s="70"/>
      <c r="Q478" s="71"/>
      <c r="R478" s="71"/>
      <c r="S478" s="70"/>
      <c r="T478" s="71"/>
      <c r="U478" s="71"/>
      <c r="V478" s="75"/>
      <c r="W478" s="69"/>
      <c r="X478" s="69"/>
      <c r="Y478" s="69"/>
      <c r="Z478" s="69"/>
      <c r="AA478" s="69"/>
      <c r="AB478" s="69"/>
      <c r="AC478" s="69"/>
      <c r="AD478" s="69"/>
      <c r="AE478" s="76"/>
      <c r="AF478" s="71"/>
      <c r="AG478" s="71"/>
      <c r="AH478" s="71"/>
      <c r="AI478" s="71"/>
      <c r="AJ478" s="71"/>
      <c r="AK478" s="71"/>
      <c r="AL478" s="71"/>
      <c r="AM478" s="71"/>
      <c r="AN478" s="68"/>
      <c r="AO478" s="68"/>
      <c r="AP478" s="70"/>
      <c r="AQ478" s="71"/>
      <c r="AR478" s="77"/>
      <c r="AS478" s="70"/>
      <c r="AT478" s="68"/>
      <c r="AU478" s="70"/>
      <c r="AV478" s="70"/>
      <c r="AW478" s="71"/>
      <c r="AX478" s="71"/>
      <c r="AY478" s="70"/>
      <c r="AZ478" s="76"/>
      <c r="BA478" s="76"/>
      <c r="BB478" s="76"/>
      <c r="BC478" s="78"/>
    </row>
    <row r="479" spans="1:55" x14ac:dyDescent="0.25">
      <c r="A479" s="68"/>
      <c r="B479" s="68"/>
      <c r="C479" s="68"/>
      <c r="D479" s="70"/>
      <c r="E479" s="70"/>
      <c r="F479" s="70"/>
      <c r="G479" s="72"/>
      <c r="H479" s="74"/>
      <c r="I479" s="74"/>
      <c r="J479" s="75"/>
      <c r="K479" s="81"/>
      <c r="L479" s="76"/>
      <c r="M479" s="76"/>
      <c r="N479" s="76"/>
      <c r="O479" s="71"/>
      <c r="P479" s="70"/>
      <c r="Q479" s="71"/>
      <c r="R479" s="71"/>
      <c r="S479" s="70"/>
      <c r="T479" s="71"/>
      <c r="U479" s="71"/>
      <c r="V479" s="75"/>
      <c r="W479" s="69"/>
      <c r="X479" s="69"/>
      <c r="Y479" s="69"/>
      <c r="Z479" s="69"/>
      <c r="AA479" s="69"/>
      <c r="AB479" s="69"/>
      <c r="AC479" s="69"/>
      <c r="AD479" s="69"/>
      <c r="AE479" s="76"/>
      <c r="AF479" s="71"/>
      <c r="AG479" s="71"/>
      <c r="AH479" s="71"/>
      <c r="AI479" s="71"/>
      <c r="AJ479" s="71"/>
      <c r="AK479" s="71"/>
      <c r="AL479" s="71"/>
      <c r="AM479" s="71"/>
      <c r="AN479" s="68"/>
      <c r="AO479" s="68"/>
      <c r="AP479" s="70"/>
      <c r="AQ479" s="71"/>
      <c r="AR479" s="77"/>
      <c r="AS479" s="70"/>
      <c r="AT479" s="68"/>
      <c r="AU479" s="70"/>
      <c r="AV479" s="70"/>
      <c r="AW479" s="71"/>
      <c r="AX479" s="71"/>
      <c r="AY479" s="70"/>
      <c r="AZ479" s="76"/>
      <c r="BA479" s="76"/>
      <c r="BB479" s="76"/>
      <c r="BC479" s="78"/>
    </row>
    <row r="480" spans="1:55" x14ac:dyDescent="0.25">
      <c r="A480" s="68"/>
      <c r="B480" s="68"/>
      <c r="C480" s="68"/>
      <c r="D480" s="70"/>
      <c r="E480" s="70"/>
      <c r="F480" s="70"/>
      <c r="G480" s="72"/>
      <c r="H480" s="74"/>
      <c r="I480" s="74"/>
      <c r="J480" s="75"/>
      <c r="K480" s="81"/>
      <c r="L480" s="76"/>
      <c r="M480" s="76"/>
      <c r="N480" s="76"/>
      <c r="O480" s="71"/>
      <c r="P480" s="70"/>
      <c r="Q480" s="71"/>
      <c r="R480" s="71"/>
      <c r="S480" s="70"/>
      <c r="T480" s="71"/>
      <c r="U480" s="71"/>
      <c r="V480" s="75"/>
      <c r="W480" s="69"/>
      <c r="X480" s="69"/>
      <c r="Y480" s="69"/>
      <c r="Z480" s="69"/>
      <c r="AA480" s="69"/>
      <c r="AB480" s="69"/>
      <c r="AC480" s="69"/>
      <c r="AD480" s="69"/>
      <c r="AE480" s="76"/>
      <c r="AF480" s="71"/>
      <c r="AG480" s="71"/>
      <c r="AH480" s="71"/>
      <c r="AI480" s="71"/>
      <c r="AJ480" s="71"/>
      <c r="AK480" s="71"/>
      <c r="AL480" s="71"/>
      <c r="AM480" s="71"/>
      <c r="AN480" s="68"/>
      <c r="AO480" s="68"/>
      <c r="AP480" s="70"/>
      <c r="AQ480" s="71"/>
      <c r="AR480" s="77"/>
      <c r="AS480" s="70"/>
      <c r="AT480" s="68"/>
      <c r="AU480" s="70"/>
      <c r="AV480" s="70"/>
      <c r="AW480" s="71"/>
      <c r="AX480" s="71"/>
      <c r="AY480" s="70"/>
      <c r="AZ480" s="76"/>
      <c r="BA480" s="76"/>
      <c r="BB480" s="76"/>
      <c r="BC480" s="78"/>
    </row>
    <row r="481" spans="1:55" x14ac:dyDescent="0.25">
      <c r="A481" s="68"/>
      <c r="B481" s="68"/>
      <c r="C481" s="68"/>
      <c r="D481" s="70"/>
      <c r="E481" s="70"/>
      <c r="F481" s="70"/>
      <c r="G481" s="72"/>
      <c r="H481" s="74"/>
      <c r="I481" s="74"/>
      <c r="J481" s="75"/>
      <c r="K481" s="81"/>
      <c r="L481" s="76"/>
      <c r="M481" s="76"/>
      <c r="N481" s="76"/>
      <c r="O481" s="71"/>
      <c r="P481" s="70"/>
      <c r="Q481" s="71"/>
      <c r="R481" s="71"/>
      <c r="S481" s="70"/>
      <c r="T481" s="71"/>
      <c r="U481" s="71"/>
      <c r="V481" s="75"/>
      <c r="W481" s="69"/>
      <c r="X481" s="69"/>
      <c r="Y481" s="69"/>
      <c r="Z481" s="69"/>
      <c r="AA481" s="69"/>
      <c r="AB481" s="69"/>
      <c r="AC481" s="69"/>
      <c r="AD481" s="69"/>
      <c r="AE481" s="76"/>
      <c r="AF481" s="71"/>
      <c r="AG481" s="71"/>
      <c r="AH481" s="71"/>
      <c r="AI481" s="71"/>
      <c r="AJ481" s="71"/>
      <c r="AK481" s="71"/>
      <c r="AL481" s="71"/>
      <c r="AM481" s="71"/>
      <c r="AN481" s="68"/>
      <c r="AO481" s="68"/>
      <c r="AP481" s="70"/>
      <c r="AQ481" s="71"/>
      <c r="AR481" s="77"/>
      <c r="AS481" s="70"/>
      <c r="AT481" s="68"/>
      <c r="AU481" s="70"/>
      <c r="AV481" s="70"/>
      <c r="AW481" s="71"/>
      <c r="AX481" s="71"/>
      <c r="AY481" s="70"/>
      <c r="AZ481" s="76"/>
      <c r="BA481" s="76"/>
      <c r="BB481" s="76"/>
      <c r="BC481" s="78"/>
    </row>
    <row r="482" spans="1:55" x14ac:dyDescent="0.25">
      <c r="A482" s="68"/>
      <c r="B482" s="68"/>
      <c r="C482" s="68"/>
      <c r="D482" s="70"/>
      <c r="E482" s="70"/>
      <c r="F482" s="70"/>
      <c r="G482" s="72"/>
      <c r="H482" s="74"/>
      <c r="I482" s="74"/>
      <c r="J482" s="75"/>
      <c r="K482" s="81"/>
      <c r="L482" s="76"/>
      <c r="M482" s="76"/>
      <c r="N482" s="76"/>
      <c r="O482" s="71"/>
      <c r="P482" s="70"/>
      <c r="Q482" s="71"/>
      <c r="R482" s="71"/>
      <c r="S482" s="70"/>
      <c r="T482" s="71"/>
      <c r="U482" s="71"/>
      <c r="V482" s="75"/>
      <c r="W482" s="69"/>
      <c r="X482" s="69"/>
      <c r="Y482" s="69"/>
      <c r="Z482" s="69"/>
      <c r="AA482" s="69"/>
      <c r="AB482" s="69"/>
      <c r="AC482" s="69"/>
      <c r="AD482" s="69"/>
      <c r="AE482" s="76"/>
      <c r="AF482" s="71"/>
      <c r="AG482" s="71"/>
      <c r="AH482" s="71"/>
      <c r="AI482" s="71"/>
      <c r="AJ482" s="71"/>
      <c r="AK482" s="71"/>
      <c r="AL482" s="71"/>
      <c r="AM482" s="71"/>
      <c r="AN482" s="68"/>
      <c r="AO482" s="68"/>
      <c r="AP482" s="70"/>
      <c r="AQ482" s="71"/>
      <c r="AR482" s="77"/>
      <c r="AS482" s="70"/>
      <c r="AT482" s="68"/>
      <c r="AU482" s="70"/>
      <c r="AV482" s="70"/>
      <c r="AW482" s="71"/>
      <c r="AX482" s="71"/>
      <c r="AY482" s="70"/>
      <c r="AZ482" s="76"/>
      <c r="BA482" s="76"/>
      <c r="BB482" s="76"/>
      <c r="BC482" s="78"/>
    </row>
    <row r="483" spans="1:55" x14ac:dyDescent="0.25">
      <c r="A483" s="68"/>
      <c r="B483" s="68"/>
      <c r="C483" s="68"/>
      <c r="D483" s="70"/>
      <c r="E483" s="70"/>
      <c r="F483" s="70"/>
      <c r="G483" s="72"/>
      <c r="H483" s="74"/>
      <c r="I483" s="74"/>
      <c r="J483" s="75"/>
      <c r="K483" s="81"/>
      <c r="L483" s="76"/>
      <c r="M483" s="76"/>
      <c r="N483" s="76"/>
      <c r="O483" s="71"/>
      <c r="P483" s="70"/>
      <c r="Q483" s="71"/>
      <c r="R483" s="71"/>
      <c r="S483" s="70"/>
      <c r="T483" s="71"/>
      <c r="U483" s="71"/>
      <c r="V483" s="75"/>
      <c r="W483" s="69"/>
      <c r="X483" s="69"/>
      <c r="Y483" s="69"/>
      <c r="Z483" s="69"/>
      <c r="AA483" s="69"/>
      <c r="AB483" s="69"/>
      <c r="AC483" s="69"/>
      <c r="AD483" s="69"/>
      <c r="AE483" s="76"/>
      <c r="AF483" s="71"/>
      <c r="AG483" s="71"/>
      <c r="AH483" s="71"/>
      <c r="AI483" s="71"/>
      <c r="AJ483" s="71"/>
      <c r="AK483" s="71"/>
      <c r="AL483" s="71"/>
      <c r="AM483" s="71"/>
      <c r="AN483" s="68"/>
      <c r="AO483" s="68"/>
      <c r="AP483" s="70"/>
      <c r="AQ483" s="71"/>
      <c r="AR483" s="77"/>
      <c r="AS483" s="70"/>
      <c r="AT483" s="68"/>
      <c r="AU483" s="70"/>
      <c r="AV483" s="70"/>
      <c r="AW483" s="71"/>
      <c r="AX483" s="71"/>
      <c r="AY483" s="70"/>
      <c r="AZ483" s="76"/>
      <c r="BA483" s="76"/>
      <c r="BB483" s="76"/>
      <c r="BC483" s="78"/>
    </row>
    <row r="484" spans="1:55" x14ac:dyDescent="0.25">
      <c r="A484" s="68"/>
      <c r="B484" s="68"/>
      <c r="C484" s="68"/>
      <c r="D484" s="70"/>
      <c r="E484" s="70"/>
      <c r="F484" s="70"/>
      <c r="G484" s="72"/>
      <c r="H484" s="74"/>
      <c r="I484" s="74"/>
      <c r="J484" s="75"/>
      <c r="K484" s="81"/>
      <c r="L484" s="76"/>
      <c r="M484" s="76"/>
      <c r="N484" s="76"/>
      <c r="O484" s="71"/>
      <c r="P484" s="70"/>
      <c r="Q484" s="71"/>
      <c r="R484" s="71"/>
      <c r="S484" s="70"/>
      <c r="T484" s="71"/>
      <c r="U484" s="71"/>
      <c r="V484" s="75"/>
      <c r="W484" s="69"/>
      <c r="X484" s="69"/>
      <c r="Y484" s="69"/>
      <c r="Z484" s="69"/>
      <c r="AA484" s="69"/>
      <c r="AB484" s="69"/>
      <c r="AC484" s="69"/>
      <c r="AD484" s="69"/>
      <c r="AE484" s="76"/>
      <c r="AF484" s="71"/>
      <c r="AG484" s="71"/>
      <c r="AH484" s="71"/>
      <c r="AI484" s="71"/>
      <c r="AJ484" s="71"/>
      <c r="AK484" s="71"/>
      <c r="AL484" s="71"/>
      <c r="AM484" s="71"/>
      <c r="AN484" s="68"/>
      <c r="AO484" s="68"/>
      <c r="AP484" s="70"/>
      <c r="AQ484" s="71"/>
      <c r="AR484" s="77"/>
      <c r="AS484" s="70"/>
      <c r="AT484" s="68"/>
      <c r="AU484" s="70"/>
      <c r="AV484" s="70"/>
      <c r="AW484" s="71"/>
      <c r="AX484" s="71"/>
      <c r="AY484" s="70"/>
      <c r="AZ484" s="76"/>
      <c r="BA484" s="76"/>
      <c r="BB484" s="76"/>
      <c r="BC484" s="78"/>
    </row>
    <row r="485" spans="1:55" x14ac:dyDescent="0.25">
      <c r="A485" s="68"/>
      <c r="B485" s="68"/>
      <c r="C485" s="68"/>
      <c r="D485" s="70"/>
      <c r="E485" s="70"/>
      <c r="F485" s="70"/>
      <c r="G485" s="72"/>
      <c r="H485" s="74"/>
      <c r="I485" s="74"/>
      <c r="J485" s="75"/>
      <c r="K485" s="81"/>
      <c r="L485" s="76"/>
      <c r="M485" s="76"/>
      <c r="N485" s="76"/>
      <c r="O485" s="71"/>
      <c r="P485" s="70"/>
      <c r="Q485" s="71"/>
      <c r="R485" s="71"/>
      <c r="S485" s="70"/>
      <c r="T485" s="71"/>
      <c r="U485" s="71"/>
      <c r="V485" s="75"/>
      <c r="W485" s="69"/>
      <c r="X485" s="69"/>
      <c r="Y485" s="69"/>
      <c r="Z485" s="69"/>
      <c r="AA485" s="69"/>
      <c r="AB485" s="69"/>
      <c r="AC485" s="69"/>
      <c r="AD485" s="69"/>
      <c r="AE485" s="76"/>
      <c r="AF485" s="71"/>
      <c r="AG485" s="71"/>
      <c r="AH485" s="71"/>
      <c r="AI485" s="71"/>
      <c r="AJ485" s="71"/>
      <c r="AK485" s="71"/>
      <c r="AL485" s="71"/>
      <c r="AM485" s="71"/>
      <c r="AN485" s="68"/>
      <c r="AO485" s="68"/>
      <c r="AP485" s="70"/>
      <c r="AQ485" s="71"/>
      <c r="AR485" s="77"/>
      <c r="AS485" s="70"/>
      <c r="AT485" s="68"/>
      <c r="AU485" s="70"/>
      <c r="AV485" s="70"/>
      <c r="AW485" s="71"/>
      <c r="AX485" s="71"/>
      <c r="AY485" s="70"/>
      <c r="AZ485" s="76"/>
      <c r="BA485" s="76"/>
      <c r="BB485" s="76"/>
      <c r="BC485" s="78"/>
    </row>
    <row r="486" spans="1:55" x14ac:dyDescent="0.25">
      <c r="A486" s="68"/>
      <c r="B486" s="68"/>
      <c r="C486" s="68"/>
      <c r="D486" s="70"/>
      <c r="E486" s="70"/>
      <c r="F486" s="70"/>
      <c r="G486" s="72"/>
      <c r="H486" s="74"/>
      <c r="I486" s="74"/>
      <c r="J486" s="75"/>
      <c r="K486" s="81"/>
      <c r="L486" s="76"/>
      <c r="M486" s="76"/>
      <c r="N486" s="76"/>
      <c r="O486" s="71"/>
      <c r="P486" s="70"/>
      <c r="Q486" s="71"/>
      <c r="R486" s="71"/>
      <c r="S486" s="70"/>
      <c r="T486" s="71"/>
      <c r="U486" s="71"/>
      <c r="V486" s="75"/>
      <c r="W486" s="69"/>
      <c r="X486" s="69"/>
      <c r="Y486" s="69"/>
      <c r="Z486" s="69"/>
      <c r="AA486" s="69"/>
      <c r="AB486" s="69"/>
      <c r="AC486" s="69"/>
      <c r="AD486" s="69"/>
      <c r="AE486" s="76"/>
      <c r="AF486" s="71"/>
      <c r="AG486" s="71"/>
      <c r="AH486" s="71"/>
      <c r="AI486" s="71"/>
      <c r="AJ486" s="71"/>
      <c r="AK486" s="71"/>
      <c r="AL486" s="71"/>
      <c r="AM486" s="71"/>
      <c r="AN486" s="68"/>
      <c r="AO486" s="68"/>
      <c r="AP486" s="70"/>
      <c r="AQ486" s="71"/>
      <c r="AR486" s="77"/>
      <c r="AS486" s="70"/>
      <c r="AT486" s="68"/>
      <c r="AU486" s="70"/>
      <c r="AV486" s="70"/>
      <c r="AW486" s="71"/>
      <c r="AX486" s="71"/>
      <c r="AY486" s="70"/>
      <c r="AZ486" s="76"/>
      <c r="BA486" s="76"/>
      <c r="BB486" s="76"/>
      <c r="BC486" s="78"/>
    </row>
    <row r="487" spans="1:55" x14ac:dyDescent="0.25">
      <c r="A487" s="68"/>
      <c r="B487" s="68"/>
      <c r="C487" s="68"/>
      <c r="D487" s="70"/>
      <c r="E487" s="70"/>
      <c r="F487" s="70"/>
      <c r="G487" s="72"/>
      <c r="H487" s="74"/>
      <c r="I487" s="74"/>
      <c r="J487" s="75"/>
      <c r="K487" s="81"/>
      <c r="L487" s="76"/>
      <c r="M487" s="76"/>
      <c r="N487" s="76"/>
      <c r="O487" s="71"/>
      <c r="P487" s="70"/>
      <c r="Q487" s="71"/>
      <c r="R487" s="71"/>
      <c r="S487" s="70"/>
      <c r="T487" s="71"/>
      <c r="U487" s="71"/>
      <c r="V487" s="75"/>
      <c r="W487" s="69"/>
      <c r="X487" s="69"/>
      <c r="Y487" s="69"/>
      <c r="Z487" s="69"/>
      <c r="AA487" s="69"/>
      <c r="AB487" s="69"/>
      <c r="AC487" s="69"/>
      <c r="AD487" s="69"/>
      <c r="AE487" s="76"/>
      <c r="AF487" s="71"/>
      <c r="AG487" s="71"/>
      <c r="AH487" s="71"/>
      <c r="AI487" s="71"/>
      <c r="AJ487" s="71"/>
      <c r="AK487" s="71"/>
      <c r="AL487" s="71"/>
      <c r="AM487" s="71"/>
      <c r="AN487" s="68"/>
      <c r="AO487" s="68"/>
      <c r="AP487" s="70"/>
      <c r="AQ487" s="71"/>
      <c r="AR487" s="77"/>
      <c r="AS487" s="70"/>
      <c r="AT487" s="68"/>
      <c r="AU487" s="70"/>
      <c r="AV487" s="70"/>
      <c r="AW487" s="71"/>
      <c r="AX487" s="71"/>
      <c r="AY487" s="70"/>
      <c r="AZ487" s="76"/>
      <c r="BA487" s="76"/>
      <c r="BB487" s="76"/>
      <c r="BC487" s="78"/>
    </row>
    <row r="488" spans="1:55" x14ac:dyDescent="0.25">
      <c r="A488" s="68"/>
      <c r="B488" s="68"/>
      <c r="C488" s="68"/>
      <c r="D488" s="70"/>
      <c r="E488" s="70"/>
      <c r="F488" s="70"/>
      <c r="G488" s="72"/>
      <c r="H488" s="74"/>
      <c r="I488" s="74"/>
      <c r="J488" s="75"/>
      <c r="K488" s="81"/>
      <c r="L488" s="76"/>
      <c r="M488" s="76"/>
      <c r="N488" s="76"/>
      <c r="O488" s="71"/>
      <c r="P488" s="70"/>
      <c r="Q488" s="71"/>
      <c r="R488" s="71"/>
      <c r="S488" s="70"/>
      <c r="T488" s="71"/>
      <c r="U488" s="71"/>
      <c r="V488" s="75"/>
      <c r="W488" s="69"/>
      <c r="X488" s="69"/>
      <c r="Y488" s="69"/>
      <c r="Z488" s="69"/>
      <c r="AA488" s="69"/>
      <c r="AB488" s="69"/>
      <c r="AC488" s="69"/>
      <c r="AD488" s="69"/>
      <c r="AE488" s="76"/>
      <c r="AF488" s="71"/>
      <c r="AG488" s="71"/>
      <c r="AH488" s="71"/>
      <c r="AI488" s="71"/>
      <c r="AJ488" s="71"/>
      <c r="AK488" s="71"/>
      <c r="AL488" s="71"/>
      <c r="AM488" s="71"/>
      <c r="AN488" s="68"/>
      <c r="AO488" s="68"/>
      <c r="AP488" s="70"/>
      <c r="AQ488" s="71"/>
      <c r="AR488" s="77"/>
      <c r="AS488" s="70"/>
      <c r="AT488" s="68"/>
      <c r="AU488" s="70"/>
      <c r="AV488" s="70"/>
      <c r="AW488" s="71"/>
      <c r="AX488" s="71"/>
      <c r="AY488" s="70"/>
      <c r="AZ488" s="76"/>
      <c r="BA488" s="76"/>
      <c r="BB488" s="76"/>
      <c r="BC488" s="78"/>
    </row>
    <row r="489" spans="1:55" x14ac:dyDescent="0.25">
      <c r="A489" s="68"/>
      <c r="B489" s="68"/>
      <c r="C489" s="68"/>
      <c r="D489" s="70"/>
      <c r="E489" s="70"/>
      <c r="F489" s="70"/>
      <c r="G489" s="72"/>
      <c r="H489" s="74"/>
      <c r="I489" s="74"/>
      <c r="J489" s="75"/>
      <c r="K489" s="81"/>
      <c r="L489" s="76"/>
      <c r="M489" s="76"/>
      <c r="N489" s="76"/>
      <c r="O489" s="71"/>
      <c r="P489" s="70"/>
      <c r="Q489" s="71"/>
      <c r="R489" s="71"/>
      <c r="S489" s="70"/>
      <c r="T489" s="71"/>
      <c r="U489" s="71"/>
      <c r="V489" s="75"/>
      <c r="W489" s="69"/>
      <c r="X489" s="69"/>
      <c r="Y489" s="69"/>
      <c r="Z489" s="69"/>
      <c r="AA489" s="69"/>
      <c r="AB489" s="69"/>
      <c r="AC489" s="69"/>
      <c r="AD489" s="69"/>
      <c r="AE489" s="76"/>
      <c r="AF489" s="71"/>
      <c r="AG489" s="71"/>
      <c r="AH489" s="71"/>
      <c r="AI489" s="71"/>
      <c r="AJ489" s="71"/>
      <c r="AK489" s="71"/>
      <c r="AL489" s="71"/>
      <c r="AM489" s="71"/>
      <c r="AN489" s="68"/>
      <c r="AO489" s="68"/>
      <c r="AP489" s="70"/>
      <c r="AQ489" s="71"/>
      <c r="AR489" s="77"/>
      <c r="AS489" s="70"/>
      <c r="AT489" s="68"/>
      <c r="AU489" s="70"/>
      <c r="AV489" s="70"/>
      <c r="AW489" s="71"/>
      <c r="AX489" s="71"/>
      <c r="AY489" s="70"/>
      <c r="AZ489" s="76"/>
      <c r="BA489" s="76"/>
      <c r="BB489" s="76"/>
      <c r="BC489" s="78"/>
    </row>
    <row r="490" spans="1:55" x14ac:dyDescent="0.25">
      <c r="A490" s="68"/>
      <c r="B490" s="68"/>
      <c r="C490" s="68"/>
      <c r="D490" s="70"/>
      <c r="E490" s="70"/>
      <c r="F490" s="70"/>
      <c r="G490" s="72"/>
      <c r="H490" s="74"/>
      <c r="I490" s="74"/>
      <c r="J490" s="75"/>
      <c r="K490" s="81"/>
      <c r="L490" s="76"/>
      <c r="M490" s="76"/>
      <c r="N490" s="76"/>
      <c r="O490" s="71"/>
      <c r="P490" s="70"/>
      <c r="Q490" s="71"/>
      <c r="R490" s="71"/>
      <c r="S490" s="70"/>
      <c r="T490" s="71"/>
      <c r="U490" s="71"/>
      <c r="V490" s="75"/>
      <c r="W490" s="69"/>
      <c r="X490" s="69"/>
      <c r="Y490" s="69"/>
      <c r="Z490" s="69"/>
      <c r="AA490" s="69"/>
      <c r="AB490" s="69"/>
      <c r="AC490" s="69"/>
      <c r="AD490" s="69"/>
      <c r="AE490" s="76"/>
      <c r="AF490" s="71"/>
      <c r="AG490" s="71"/>
      <c r="AH490" s="71"/>
      <c r="AI490" s="71"/>
      <c r="AJ490" s="71"/>
      <c r="AK490" s="71"/>
      <c r="AL490" s="71"/>
      <c r="AM490" s="71"/>
      <c r="AN490" s="68"/>
      <c r="AO490" s="68"/>
      <c r="AP490" s="70"/>
      <c r="AQ490" s="71"/>
      <c r="AR490" s="77"/>
      <c r="AS490" s="70"/>
      <c r="AT490" s="68"/>
      <c r="AU490" s="70"/>
      <c r="AV490" s="70"/>
      <c r="AW490" s="71"/>
      <c r="AX490" s="71"/>
      <c r="AY490" s="70"/>
      <c r="AZ490" s="76"/>
      <c r="BA490" s="76"/>
      <c r="BB490" s="76"/>
      <c r="BC490" s="78"/>
    </row>
    <row r="491" spans="1:55" x14ac:dyDescent="0.25">
      <c r="A491" s="68"/>
      <c r="B491" s="68"/>
      <c r="C491" s="68"/>
      <c r="D491" s="70"/>
      <c r="E491" s="70"/>
      <c r="F491" s="70"/>
      <c r="G491" s="72"/>
      <c r="H491" s="74"/>
      <c r="I491" s="74"/>
      <c r="J491" s="75"/>
      <c r="K491" s="81"/>
      <c r="L491" s="76"/>
      <c r="M491" s="76"/>
      <c r="N491" s="76"/>
      <c r="O491" s="71"/>
      <c r="P491" s="70"/>
      <c r="Q491" s="71"/>
      <c r="R491" s="71"/>
      <c r="S491" s="70"/>
      <c r="T491" s="71"/>
      <c r="U491" s="71"/>
      <c r="V491" s="75"/>
      <c r="W491" s="69"/>
      <c r="X491" s="69"/>
      <c r="Y491" s="69"/>
      <c r="Z491" s="69"/>
      <c r="AA491" s="69"/>
      <c r="AB491" s="69"/>
      <c r="AC491" s="69"/>
      <c r="AD491" s="69"/>
      <c r="AE491" s="76"/>
      <c r="AF491" s="71"/>
      <c r="AG491" s="71"/>
      <c r="AH491" s="71"/>
      <c r="AI491" s="71"/>
      <c r="AJ491" s="71"/>
      <c r="AK491" s="71"/>
      <c r="AL491" s="71"/>
      <c r="AM491" s="71"/>
      <c r="AN491" s="68"/>
      <c r="AO491" s="68"/>
      <c r="AP491" s="70"/>
      <c r="AQ491" s="71"/>
      <c r="AR491" s="77"/>
      <c r="AS491" s="70"/>
      <c r="AT491" s="68"/>
      <c r="AU491" s="70"/>
      <c r="AV491" s="70"/>
      <c r="AW491" s="71"/>
      <c r="AX491" s="71"/>
      <c r="AY491" s="70"/>
      <c r="AZ491" s="76"/>
      <c r="BA491" s="76"/>
      <c r="BB491" s="76"/>
      <c r="BC491" s="78"/>
    </row>
    <row r="492" spans="1:55" x14ac:dyDescent="0.25">
      <c r="A492" s="68"/>
      <c r="B492" s="68"/>
      <c r="C492" s="68"/>
      <c r="D492" s="70"/>
      <c r="E492" s="70"/>
      <c r="F492" s="70"/>
      <c r="G492" s="72"/>
      <c r="H492" s="74"/>
      <c r="I492" s="74"/>
      <c r="J492" s="75"/>
      <c r="K492" s="81"/>
      <c r="L492" s="76"/>
      <c r="M492" s="76"/>
      <c r="N492" s="76"/>
      <c r="O492" s="71"/>
      <c r="P492" s="70"/>
      <c r="Q492" s="71"/>
      <c r="R492" s="71"/>
      <c r="S492" s="70"/>
      <c r="T492" s="71"/>
      <c r="U492" s="71"/>
      <c r="V492" s="75"/>
      <c r="W492" s="69"/>
      <c r="X492" s="69"/>
      <c r="Y492" s="69"/>
      <c r="Z492" s="69"/>
      <c r="AA492" s="69"/>
      <c r="AB492" s="69"/>
      <c r="AC492" s="69"/>
      <c r="AD492" s="69"/>
      <c r="AE492" s="76"/>
      <c r="AF492" s="71"/>
      <c r="AG492" s="71"/>
      <c r="AH492" s="71"/>
      <c r="AI492" s="71"/>
      <c r="AJ492" s="71"/>
      <c r="AK492" s="71"/>
      <c r="AL492" s="71"/>
      <c r="AM492" s="71"/>
      <c r="AN492" s="68"/>
      <c r="AO492" s="68"/>
      <c r="AP492" s="70"/>
      <c r="AQ492" s="71"/>
      <c r="AR492" s="77"/>
      <c r="AS492" s="70"/>
      <c r="AT492" s="68"/>
      <c r="AU492" s="70"/>
      <c r="AV492" s="70"/>
      <c r="AW492" s="71"/>
      <c r="AX492" s="71"/>
      <c r="AY492" s="70"/>
      <c r="AZ492" s="76"/>
      <c r="BA492" s="76"/>
      <c r="BB492" s="76"/>
      <c r="BC492" s="78"/>
    </row>
    <row r="493" spans="1:55" x14ac:dyDescent="0.25">
      <c r="A493" s="68"/>
      <c r="B493" s="68"/>
      <c r="C493" s="68"/>
      <c r="D493" s="70"/>
      <c r="E493" s="70"/>
      <c r="F493" s="70"/>
      <c r="G493" s="72"/>
      <c r="H493" s="74"/>
      <c r="I493" s="74"/>
      <c r="J493" s="75"/>
      <c r="K493" s="81"/>
      <c r="L493" s="76"/>
      <c r="M493" s="76"/>
      <c r="N493" s="76"/>
      <c r="O493" s="71"/>
      <c r="P493" s="70"/>
      <c r="Q493" s="71"/>
      <c r="R493" s="71"/>
      <c r="S493" s="70"/>
      <c r="T493" s="71"/>
      <c r="U493" s="71"/>
      <c r="V493" s="75"/>
      <c r="W493" s="69"/>
      <c r="X493" s="69"/>
      <c r="Y493" s="69"/>
      <c r="Z493" s="69"/>
      <c r="AA493" s="69"/>
      <c r="AB493" s="69"/>
      <c r="AC493" s="69"/>
      <c r="AD493" s="69"/>
      <c r="AE493" s="76"/>
      <c r="AF493" s="71"/>
      <c r="AG493" s="71"/>
      <c r="AH493" s="71"/>
      <c r="AI493" s="71"/>
      <c r="AJ493" s="71"/>
      <c r="AK493" s="71"/>
      <c r="AL493" s="71"/>
      <c r="AM493" s="71"/>
      <c r="AN493" s="68"/>
      <c r="AO493" s="68"/>
      <c r="AP493" s="70"/>
      <c r="AQ493" s="71"/>
      <c r="AR493" s="77"/>
      <c r="AS493" s="70"/>
      <c r="AT493" s="68"/>
      <c r="AU493" s="70"/>
      <c r="AV493" s="70"/>
      <c r="AW493" s="71"/>
      <c r="AX493" s="71"/>
      <c r="AY493" s="70"/>
      <c r="AZ493" s="76"/>
      <c r="BA493" s="76"/>
      <c r="BB493" s="76"/>
      <c r="BC493" s="78"/>
    </row>
    <row r="494" spans="1:55" x14ac:dyDescent="0.25">
      <c r="A494" s="68"/>
      <c r="B494" s="68"/>
      <c r="C494" s="68"/>
      <c r="D494" s="70"/>
      <c r="E494" s="70"/>
      <c r="F494" s="70"/>
      <c r="G494" s="72"/>
      <c r="H494" s="74"/>
      <c r="I494" s="74"/>
      <c r="J494" s="75"/>
      <c r="K494" s="81"/>
      <c r="L494" s="76"/>
      <c r="M494" s="76"/>
      <c r="N494" s="76"/>
      <c r="O494" s="71"/>
      <c r="P494" s="70"/>
      <c r="Q494" s="71"/>
      <c r="R494" s="71"/>
      <c r="S494" s="70"/>
      <c r="T494" s="71"/>
      <c r="U494" s="71"/>
      <c r="V494" s="75"/>
      <c r="W494" s="69"/>
      <c r="X494" s="69"/>
      <c r="Y494" s="69"/>
      <c r="Z494" s="69"/>
      <c r="AA494" s="69"/>
      <c r="AB494" s="69"/>
      <c r="AC494" s="69"/>
      <c r="AD494" s="69"/>
      <c r="AE494" s="76"/>
      <c r="AF494" s="71"/>
      <c r="AG494" s="71"/>
      <c r="AH494" s="71"/>
      <c r="AI494" s="71"/>
      <c r="AJ494" s="71"/>
      <c r="AK494" s="71"/>
      <c r="AL494" s="71"/>
      <c r="AM494" s="71"/>
      <c r="AN494" s="68"/>
      <c r="AO494" s="68"/>
      <c r="AP494" s="70"/>
      <c r="AQ494" s="71"/>
      <c r="AR494" s="77"/>
      <c r="AS494" s="70"/>
      <c r="AT494" s="68"/>
      <c r="AU494" s="70"/>
      <c r="AV494" s="70"/>
      <c r="AW494" s="71"/>
      <c r="AX494" s="71"/>
      <c r="AY494" s="70"/>
      <c r="AZ494" s="76"/>
      <c r="BA494" s="76"/>
      <c r="BB494" s="76"/>
      <c r="BC494" s="78"/>
    </row>
    <row r="495" spans="1:55" x14ac:dyDescent="0.25">
      <c r="A495" s="68"/>
      <c r="B495" s="68"/>
      <c r="C495" s="68"/>
      <c r="D495" s="70"/>
      <c r="E495" s="70"/>
      <c r="F495" s="70"/>
      <c r="G495" s="72"/>
      <c r="H495" s="74"/>
      <c r="I495" s="74"/>
      <c r="J495" s="75"/>
      <c r="K495" s="81"/>
      <c r="L495" s="76"/>
      <c r="M495" s="76"/>
      <c r="N495" s="76"/>
      <c r="O495" s="71"/>
      <c r="P495" s="70"/>
      <c r="Q495" s="71"/>
      <c r="R495" s="71"/>
      <c r="S495" s="70"/>
      <c r="T495" s="71"/>
      <c r="U495" s="71"/>
      <c r="V495" s="75"/>
      <c r="W495" s="69"/>
      <c r="X495" s="69"/>
      <c r="Y495" s="69"/>
      <c r="Z495" s="69"/>
      <c r="AA495" s="69"/>
      <c r="AB495" s="69"/>
      <c r="AC495" s="69"/>
      <c r="AD495" s="69"/>
      <c r="AE495" s="76"/>
      <c r="AF495" s="71"/>
      <c r="AG495" s="71"/>
      <c r="AH495" s="71"/>
      <c r="AI495" s="71"/>
      <c r="AJ495" s="71"/>
      <c r="AK495" s="71"/>
      <c r="AL495" s="71"/>
      <c r="AM495" s="71"/>
      <c r="AN495" s="68"/>
      <c r="AO495" s="68"/>
      <c r="AP495" s="70"/>
      <c r="AQ495" s="71"/>
      <c r="AR495" s="77"/>
      <c r="AS495" s="70"/>
      <c r="AT495" s="68"/>
      <c r="AU495" s="70"/>
      <c r="AV495" s="70"/>
      <c r="AW495" s="71"/>
      <c r="AX495" s="71"/>
      <c r="AY495" s="70"/>
      <c r="AZ495" s="76"/>
      <c r="BA495" s="76"/>
      <c r="BB495" s="76"/>
      <c r="BC495" s="78"/>
    </row>
    <row r="496" spans="1:55" x14ac:dyDescent="0.25">
      <c r="A496" s="68"/>
      <c r="B496" s="68"/>
      <c r="C496" s="68"/>
      <c r="D496" s="70"/>
      <c r="E496" s="70"/>
      <c r="F496" s="70"/>
      <c r="G496" s="72"/>
      <c r="H496" s="74"/>
      <c r="I496" s="74"/>
      <c r="J496" s="75"/>
      <c r="K496" s="81"/>
      <c r="L496" s="76"/>
      <c r="M496" s="76"/>
      <c r="N496" s="76"/>
      <c r="O496" s="71"/>
      <c r="P496" s="70"/>
      <c r="Q496" s="71"/>
      <c r="R496" s="71"/>
      <c r="S496" s="70"/>
      <c r="T496" s="71"/>
      <c r="U496" s="71"/>
      <c r="V496" s="75"/>
      <c r="W496" s="69"/>
      <c r="X496" s="69"/>
      <c r="Y496" s="69"/>
      <c r="Z496" s="69"/>
      <c r="AA496" s="69"/>
      <c r="AB496" s="69"/>
      <c r="AC496" s="69"/>
      <c r="AD496" s="69"/>
      <c r="AE496" s="76"/>
      <c r="AF496" s="71"/>
      <c r="AG496" s="71"/>
      <c r="AH496" s="71"/>
      <c r="AI496" s="71"/>
      <c r="AJ496" s="71"/>
      <c r="AK496" s="71"/>
      <c r="AL496" s="71"/>
      <c r="AM496" s="71"/>
      <c r="AN496" s="68"/>
      <c r="AO496" s="68"/>
      <c r="AP496" s="70"/>
      <c r="AQ496" s="71"/>
      <c r="AR496" s="77"/>
      <c r="AS496" s="70"/>
      <c r="AT496" s="68"/>
      <c r="AU496" s="70"/>
      <c r="AV496" s="70"/>
      <c r="AW496" s="71"/>
      <c r="AX496" s="71"/>
      <c r="AY496" s="70"/>
      <c r="AZ496" s="76"/>
      <c r="BA496" s="76"/>
      <c r="BB496" s="76"/>
      <c r="BC496" s="78"/>
    </row>
    <row r="497" spans="1:55" x14ac:dyDescent="0.25">
      <c r="A497" s="68"/>
      <c r="B497" s="68"/>
      <c r="C497" s="68"/>
      <c r="D497" s="70"/>
      <c r="E497" s="70"/>
      <c r="F497" s="70"/>
      <c r="G497" s="72"/>
      <c r="H497" s="74"/>
      <c r="I497" s="74"/>
      <c r="J497" s="75"/>
      <c r="K497" s="81"/>
      <c r="L497" s="76"/>
      <c r="M497" s="76"/>
      <c r="N497" s="76"/>
      <c r="O497" s="71"/>
      <c r="P497" s="70"/>
      <c r="Q497" s="71"/>
      <c r="R497" s="71"/>
      <c r="S497" s="70"/>
      <c r="T497" s="71"/>
      <c r="U497" s="71"/>
      <c r="V497" s="75"/>
      <c r="W497" s="69"/>
      <c r="X497" s="69"/>
      <c r="Y497" s="69"/>
      <c r="Z497" s="69"/>
      <c r="AA497" s="69"/>
      <c r="AB497" s="69"/>
      <c r="AC497" s="69"/>
      <c r="AD497" s="69"/>
      <c r="AE497" s="76"/>
      <c r="AF497" s="71"/>
      <c r="AG497" s="71"/>
      <c r="AH497" s="71"/>
      <c r="AI497" s="71"/>
      <c r="AJ497" s="71"/>
      <c r="AK497" s="71"/>
      <c r="AL497" s="71"/>
      <c r="AM497" s="71"/>
      <c r="AN497" s="68"/>
      <c r="AO497" s="68"/>
      <c r="AP497" s="70"/>
      <c r="AQ497" s="71"/>
      <c r="AR497" s="77"/>
      <c r="AS497" s="70"/>
      <c r="AT497" s="68"/>
      <c r="AU497" s="70"/>
      <c r="AV497" s="70"/>
      <c r="AW497" s="71"/>
      <c r="AX497" s="71"/>
      <c r="AY497" s="70"/>
      <c r="AZ497" s="76"/>
      <c r="BA497" s="76"/>
      <c r="BB497" s="76"/>
      <c r="BC497" s="78"/>
    </row>
    <row r="498" spans="1:55" x14ac:dyDescent="0.25">
      <c r="A498" s="68"/>
      <c r="B498" s="68"/>
      <c r="C498" s="68"/>
      <c r="D498" s="70"/>
      <c r="E498" s="70"/>
      <c r="F498" s="70"/>
      <c r="G498" s="72"/>
      <c r="H498" s="74"/>
      <c r="I498" s="74"/>
      <c r="J498" s="75"/>
      <c r="K498" s="81"/>
      <c r="L498" s="76"/>
      <c r="M498" s="76"/>
      <c r="N498" s="76"/>
      <c r="O498" s="71"/>
      <c r="P498" s="70"/>
      <c r="Q498" s="71"/>
      <c r="R498" s="71"/>
      <c r="S498" s="70"/>
      <c r="T498" s="71"/>
      <c r="U498" s="71"/>
      <c r="V498" s="75"/>
      <c r="W498" s="69"/>
      <c r="X498" s="69"/>
      <c r="Y498" s="69"/>
      <c r="Z498" s="69"/>
      <c r="AA498" s="69"/>
      <c r="AB498" s="69"/>
      <c r="AC498" s="69"/>
      <c r="AD498" s="69"/>
      <c r="AE498" s="76"/>
      <c r="AF498" s="71"/>
      <c r="AG498" s="71"/>
      <c r="AH498" s="71"/>
      <c r="AI498" s="71"/>
      <c r="AJ498" s="71"/>
      <c r="AK498" s="71"/>
      <c r="AL498" s="71"/>
      <c r="AM498" s="71"/>
      <c r="AN498" s="68"/>
      <c r="AO498" s="68"/>
      <c r="AP498" s="70"/>
      <c r="AQ498" s="71"/>
      <c r="AR498" s="77"/>
      <c r="AS498" s="70"/>
      <c r="AT498" s="68"/>
      <c r="AU498" s="70"/>
      <c r="AV498" s="70"/>
      <c r="AW498" s="71"/>
      <c r="AX498" s="71"/>
      <c r="AY498" s="70"/>
      <c r="AZ498" s="76"/>
      <c r="BA498" s="76"/>
      <c r="BB498" s="76"/>
      <c r="BC498" s="78"/>
    </row>
    <row r="499" spans="1:55" x14ac:dyDescent="0.25">
      <c r="A499" s="68"/>
      <c r="B499" s="68"/>
      <c r="C499" s="68"/>
      <c r="D499" s="70"/>
      <c r="E499" s="70"/>
      <c r="F499" s="70"/>
      <c r="G499" s="72"/>
      <c r="H499" s="74"/>
      <c r="I499" s="74"/>
      <c r="J499" s="75"/>
      <c r="K499" s="81"/>
      <c r="L499" s="76"/>
      <c r="M499" s="76"/>
      <c r="N499" s="76"/>
      <c r="O499" s="71"/>
      <c r="P499" s="70"/>
      <c r="Q499" s="71"/>
      <c r="R499" s="71"/>
      <c r="S499" s="70"/>
      <c r="T499" s="71"/>
      <c r="U499" s="71"/>
      <c r="V499" s="75"/>
      <c r="W499" s="69"/>
      <c r="X499" s="69"/>
      <c r="Y499" s="69"/>
      <c r="Z499" s="69"/>
      <c r="AA499" s="69"/>
      <c r="AB499" s="69"/>
      <c r="AC499" s="69"/>
      <c r="AD499" s="69"/>
      <c r="AE499" s="76"/>
      <c r="AF499" s="71"/>
      <c r="AG499" s="71"/>
      <c r="AH499" s="71"/>
      <c r="AI499" s="71"/>
      <c r="AJ499" s="71"/>
      <c r="AK499" s="71"/>
      <c r="AL499" s="71"/>
      <c r="AM499" s="71"/>
      <c r="AN499" s="68"/>
      <c r="AO499" s="68"/>
      <c r="AP499" s="70"/>
      <c r="AQ499" s="71"/>
      <c r="AR499" s="77"/>
      <c r="AS499" s="70"/>
      <c r="AT499" s="68"/>
      <c r="AU499" s="70"/>
      <c r="AV499" s="70"/>
      <c r="AW499" s="71"/>
      <c r="AX499" s="71"/>
      <c r="AY499" s="70"/>
      <c r="AZ499" s="76"/>
      <c r="BA499" s="76"/>
      <c r="BB499" s="76"/>
      <c r="BC499" s="78"/>
    </row>
    <row r="500" spans="1:55" x14ac:dyDescent="0.25">
      <c r="A500" s="68"/>
      <c r="B500" s="68"/>
      <c r="C500" s="68"/>
      <c r="D500" s="70"/>
      <c r="E500" s="70"/>
      <c r="F500" s="70"/>
      <c r="G500" s="72"/>
      <c r="H500" s="74"/>
      <c r="I500" s="74"/>
      <c r="J500" s="75"/>
      <c r="K500" s="81"/>
      <c r="L500" s="76"/>
      <c r="M500" s="76"/>
      <c r="N500" s="76"/>
      <c r="O500" s="71"/>
      <c r="P500" s="70"/>
      <c r="Q500" s="71"/>
      <c r="R500" s="71"/>
      <c r="S500" s="70"/>
      <c r="T500" s="71"/>
      <c r="U500" s="71"/>
      <c r="V500" s="75"/>
      <c r="W500" s="69"/>
      <c r="X500" s="69"/>
      <c r="Y500" s="69"/>
      <c r="Z500" s="69"/>
      <c r="AA500" s="69"/>
      <c r="AB500" s="69"/>
      <c r="AC500" s="69"/>
      <c r="AD500" s="69"/>
      <c r="AE500" s="76"/>
      <c r="AF500" s="71"/>
      <c r="AG500" s="71"/>
      <c r="AH500" s="71"/>
      <c r="AI500" s="71"/>
      <c r="AJ500" s="71"/>
      <c r="AK500" s="71"/>
      <c r="AL500" s="71"/>
      <c r="AM500" s="71"/>
      <c r="AN500" s="68"/>
      <c r="AO500" s="68"/>
      <c r="AP500" s="70"/>
      <c r="AQ500" s="71"/>
      <c r="AR500" s="77"/>
      <c r="AS500" s="70"/>
      <c r="AT500" s="68"/>
      <c r="AU500" s="70"/>
      <c r="AV500" s="70"/>
      <c r="AW500" s="71"/>
      <c r="AX500" s="71"/>
      <c r="AY500" s="70"/>
      <c r="AZ500" s="76"/>
      <c r="BA500" s="76"/>
      <c r="BB500" s="76"/>
      <c r="BC500" s="78"/>
    </row>
    <row r="501" spans="1:55" x14ac:dyDescent="0.25">
      <c r="A501" s="68"/>
      <c r="B501" s="68"/>
      <c r="C501" s="68"/>
      <c r="D501" s="70"/>
      <c r="E501" s="70"/>
      <c r="F501" s="70"/>
      <c r="G501" s="72"/>
      <c r="H501" s="74"/>
      <c r="I501" s="74"/>
      <c r="J501" s="75"/>
      <c r="K501" s="81"/>
      <c r="L501" s="76"/>
      <c r="M501" s="76"/>
      <c r="N501" s="76"/>
      <c r="O501" s="71"/>
      <c r="P501" s="70"/>
      <c r="Q501" s="71"/>
      <c r="R501" s="71"/>
      <c r="S501" s="70"/>
      <c r="T501" s="71"/>
      <c r="U501" s="71"/>
      <c r="V501" s="75"/>
      <c r="W501" s="69"/>
      <c r="X501" s="69"/>
      <c r="Y501" s="69"/>
      <c r="Z501" s="69"/>
      <c r="AA501" s="69"/>
      <c r="AB501" s="69"/>
      <c r="AC501" s="69"/>
      <c r="AD501" s="69"/>
      <c r="AE501" s="76"/>
      <c r="AF501" s="71"/>
      <c r="AG501" s="71"/>
      <c r="AH501" s="71"/>
      <c r="AI501" s="71"/>
      <c r="AJ501" s="71"/>
      <c r="AK501" s="71"/>
      <c r="AL501" s="71"/>
      <c r="AM501" s="71"/>
      <c r="AN501" s="68"/>
      <c r="AO501" s="68"/>
      <c r="AP501" s="70"/>
      <c r="AQ501" s="71"/>
      <c r="AR501" s="77"/>
      <c r="AS501" s="70"/>
      <c r="AT501" s="68"/>
      <c r="AU501" s="70"/>
      <c r="AV501" s="70"/>
      <c r="AW501" s="71"/>
      <c r="AX501" s="71"/>
      <c r="AY501" s="70"/>
      <c r="AZ501" s="76"/>
      <c r="BA501" s="76"/>
      <c r="BB501" s="76"/>
      <c r="BC501" s="78"/>
    </row>
    <row r="502" spans="1:55" x14ac:dyDescent="0.25">
      <c r="A502" s="68"/>
      <c r="B502" s="68"/>
      <c r="C502" s="68"/>
      <c r="D502" s="70"/>
      <c r="E502" s="70"/>
      <c r="F502" s="70"/>
      <c r="G502" s="72"/>
      <c r="H502" s="74"/>
      <c r="I502" s="74"/>
      <c r="J502" s="75"/>
      <c r="K502" s="81"/>
      <c r="L502" s="76"/>
      <c r="M502" s="76"/>
      <c r="N502" s="76"/>
      <c r="O502" s="71"/>
      <c r="P502" s="70"/>
      <c r="Q502" s="71"/>
      <c r="R502" s="71"/>
      <c r="S502" s="70"/>
      <c r="T502" s="71"/>
      <c r="U502" s="71"/>
      <c r="V502" s="75"/>
      <c r="W502" s="69"/>
      <c r="X502" s="69"/>
      <c r="Y502" s="69"/>
      <c r="Z502" s="69"/>
      <c r="AA502" s="69"/>
      <c r="AB502" s="69"/>
      <c r="AC502" s="69"/>
      <c r="AD502" s="69"/>
      <c r="AE502" s="76"/>
      <c r="AF502" s="71"/>
      <c r="AG502" s="71"/>
      <c r="AH502" s="71"/>
      <c r="AI502" s="71"/>
      <c r="AJ502" s="71"/>
      <c r="AK502" s="71"/>
      <c r="AL502" s="71"/>
      <c r="AM502" s="71"/>
      <c r="AN502" s="68"/>
      <c r="AO502" s="68"/>
      <c r="AP502" s="70"/>
      <c r="AQ502" s="71"/>
      <c r="AR502" s="77"/>
      <c r="AS502" s="70"/>
      <c r="AT502" s="68"/>
      <c r="AU502" s="70"/>
      <c r="AV502" s="70"/>
      <c r="AW502" s="71"/>
      <c r="AX502" s="71"/>
      <c r="AY502" s="70"/>
      <c r="AZ502" s="76"/>
      <c r="BA502" s="76"/>
      <c r="BB502" s="76"/>
      <c r="BC502" s="78"/>
    </row>
    <row r="503" spans="1:55" x14ac:dyDescent="0.25">
      <c r="A503" s="68"/>
      <c r="B503" s="68"/>
      <c r="C503" s="68"/>
      <c r="D503" s="70"/>
      <c r="E503" s="70"/>
      <c r="F503" s="70"/>
      <c r="G503" s="72"/>
      <c r="H503" s="74"/>
      <c r="I503" s="74"/>
      <c r="J503" s="75"/>
      <c r="K503" s="81"/>
      <c r="L503" s="76"/>
      <c r="M503" s="76"/>
      <c r="N503" s="76"/>
      <c r="O503" s="71"/>
      <c r="P503" s="70"/>
      <c r="Q503" s="71"/>
      <c r="R503" s="71"/>
      <c r="S503" s="70"/>
      <c r="T503" s="71"/>
      <c r="U503" s="71"/>
      <c r="V503" s="75"/>
      <c r="W503" s="69"/>
      <c r="X503" s="69"/>
      <c r="Y503" s="69"/>
      <c r="Z503" s="69"/>
      <c r="AA503" s="69"/>
      <c r="AB503" s="69"/>
      <c r="AC503" s="69"/>
      <c r="AD503" s="69"/>
      <c r="AE503" s="76"/>
      <c r="AF503" s="71"/>
      <c r="AG503" s="71"/>
      <c r="AH503" s="71"/>
      <c r="AI503" s="71"/>
      <c r="AJ503" s="71"/>
      <c r="AK503" s="71"/>
      <c r="AL503" s="71"/>
      <c r="AM503" s="71"/>
      <c r="AN503" s="68"/>
      <c r="AO503" s="68"/>
      <c r="AP503" s="70"/>
      <c r="AQ503" s="71"/>
      <c r="AR503" s="77"/>
      <c r="AS503" s="70"/>
      <c r="AT503" s="68"/>
      <c r="AU503" s="70"/>
      <c r="AV503" s="70"/>
      <c r="AW503" s="71"/>
      <c r="AX503" s="71"/>
      <c r="AY503" s="70"/>
      <c r="AZ503" s="76"/>
      <c r="BA503" s="76"/>
      <c r="BB503" s="76"/>
      <c r="BC503" s="78"/>
    </row>
    <row r="504" spans="1:55" x14ac:dyDescent="0.25">
      <c r="A504" s="68"/>
      <c r="B504" s="68"/>
      <c r="C504" s="68"/>
      <c r="D504" s="70"/>
      <c r="E504" s="70"/>
      <c r="F504" s="70"/>
      <c r="G504" s="72"/>
      <c r="H504" s="74"/>
      <c r="I504" s="74"/>
      <c r="J504" s="75"/>
      <c r="K504" s="81"/>
      <c r="L504" s="76"/>
      <c r="M504" s="76"/>
      <c r="N504" s="76"/>
      <c r="O504" s="71"/>
      <c r="P504" s="70"/>
      <c r="Q504" s="71"/>
      <c r="R504" s="71"/>
      <c r="S504" s="70"/>
      <c r="T504" s="71"/>
      <c r="U504" s="71"/>
      <c r="V504" s="75"/>
      <c r="W504" s="69"/>
      <c r="X504" s="69"/>
      <c r="Y504" s="69"/>
      <c r="Z504" s="69"/>
      <c r="AA504" s="69"/>
      <c r="AB504" s="69"/>
      <c r="AC504" s="69"/>
      <c r="AD504" s="69"/>
      <c r="AE504" s="76"/>
      <c r="AF504" s="71"/>
      <c r="AG504" s="71"/>
      <c r="AH504" s="71"/>
      <c r="AI504" s="71"/>
      <c r="AJ504" s="71"/>
      <c r="AK504" s="71"/>
      <c r="AL504" s="71"/>
      <c r="AM504" s="71"/>
      <c r="AN504" s="68"/>
      <c r="AO504" s="68"/>
      <c r="AP504" s="70"/>
      <c r="AQ504" s="71"/>
      <c r="AR504" s="77"/>
      <c r="AS504" s="70"/>
      <c r="AT504" s="68"/>
      <c r="AU504" s="70"/>
      <c r="AV504" s="70"/>
      <c r="AW504" s="71"/>
      <c r="AX504" s="71"/>
      <c r="AY504" s="70"/>
      <c r="AZ504" s="76"/>
      <c r="BA504" s="76"/>
      <c r="BB504" s="76"/>
      <c r="BC504" s="78"/>
    </row>
    <row r="505" spans="1:55" x14ac:dyDescent="0.25">
      <c r="A505" s="68"/>
      <c r="B505" s="68"/>
      <c r="C505" s="68"/>
      <c r="D505" s="70"/>
      <c r="E505" s="70"/>
      <c r="F505" s="70"/>
      <c r="G505" s="72"/>
      <c r="H505" s="74"/>
      <c r="I505" s="74"/>
      <c r="J505" s="75"/>
      <c r="K505" s="81"/>
      <c r="L505" s="76"/>
      <c r="M505" s="76"/>
      <c r="N505" s="76"/>
      <c r="O505" s="71"/>
      <c r="P505" s="70"/>
      <c r="Q505" s="71"/>
      <c r="R505" s="71"/>
      <c r="S505" s="70"/>
      <c r="T505" s="71"/>
      <c r="U505" s="71"/>
      <c r="V505" s="75"/>
      <c r="W505" s="69"/>
      <c r="X505" s="69"/>
      <c r="Y505" s="69"/>
      <c r="Z505" s="69"/>
      <c r="AA505" s="69"/>
      <c r="AB505" s="69"/>
      <c r="AC505" s="69"/>
      <c r="AD505" s="69"/>
      <c r="AE505" s="76"/>
      <c r="AF505" s="71"/>
      <c r="AG505" s="71"/>
      <c r="AH505" s="71"/>
      <c r="AI505" s="71"/>
      <c r="AJ505" s="71"/>
      <c r="AK505" s="71"/>
      <c r="AL505" s="71"/>
      <c r="AM505" s="71"/>
      <c r="AN505" s="68"/>
      <c r="AO505" s="68"/>
      <c r="AP505" s="70"/>
      <c r="AQ505" s="71"/>
      <c r="AR505" s="77"/>
      <c r="AS505" s="70"/>
      <c r="AT505" s="68"/>
      <c r="AU505" s="70"/>
      <c r="AV505" s="70"/>
      <c r="AW505" s="71"/>
      <c r="AX505" s="71"/>
      <c r="AY505" s="70"/>
      <c r="AZ505" s="76"/>
      <c r="BA505" s="76"/>
      <c r="BB505" s="76"/>
      <c r="BC505" s="78"/>
    </row>
    <row r="506" spans="1:55" x14ac:dyDescent="0.25">
      <c r="A506" s="68"/>
      <c r="B506" s="68"/>
      <c r="C506" s="68"/>
      <c r="D506" s="70"/>
      <c r="E506" s="70"/>
      <c r="F506" s="70"/>
      <c r="G506" s="72"/>
      <c r="H506" s="74"/>
      <c r="I506" s="74"/>
      <c r="J506" s="75"/>
      <c r="K506" s="81"/>
      <c r="L506" s="76"/>
      <c r="M506" s="76"/>
      <c r="N506" s="76"/>
      <c r="O506" s="71"/>
      <c r="P506" s="70"/>
      <c r="Q506" s="71"/>
      <c r="R506" s="71"/>
      <c r="S506" s="70"/>
      <c r="T506" s="71"/>
      <c r="U506" s="71"/>
      <c r="V506" s="75"/>
      <c r="W506" s="69"/>
      <c r="X506" s="69"/>
      <c r="Y506" s="69"/>
      <c r="Z506" s="69"/>
      <c r="AA506" s="69"/>
      <c r="AB506" s="69"/>
      <c r="AC506" s="69"/>
      <c r="AD506" s="69"/>
      <c r="AE506" s="76"/>
      <c r="AF506" s="71"/>
      <c r="AG506" s="71"/>
      <c r="AH506" s="71"/>
      <c r="AI506" s="71"/>
      <c r="AJ506" s="71"/>
      <c r="AK506" s="71"/>
      <c r="AL506" s="71"/>
      <c r="AM506" s="71"/>
      <c r="AN506" s="68"/>
      <c r="AO506" s="68"/>
      <c r="AP506" s="70"/>
      <c r="AQ506" s="71"/>
      <c r="AR506" s="77"/>
      <c r="AS506" s="70"/>
      <c r="AT506" s="68"/>
      <c r="AU506" s="70"/>
      <c r="AV506" s="70"/>
      <c r="AW506" s="71"/>
      <c r="AX506" s="71"/>
      <c r="AY506" s="70"/>
      <c r="AZ506" s="76"/>
      <c r="BA506" s="76"/>
      <c r="BB506" s="76"/>
      <c r="BC506" s="78"/>
    </row>
    <row r="507" spans="1:55" x14ac:dyDescent="0.25">
      <c r="A507" s="68"/>
      <c r="B507" s="68"/>
      <c r="C507" s="68"/>
      <c r="D507" s="70"/>
      <c r="E507" s="70"/>
      <c r="F507" s="70"/>
      <c r="G507" s="72"/>
      <c r="H507" s="74"/>
      <c r="I507" s="74"/>
      <c r="J507" s="75"/>
      <c r="K507" s="81"/>
      <c r="L507" s="76"/>
      <c r="M507" s="76"/>
      <c r="N507" s="76"/>
      <c r="O507" s="71"/>
      <c r="P507" s="70"/>
      <c r="Q507" s="71"/>
      <c r="R507" s="71"/>
      <c r="S507" s="70"/>
      <c r="T507" s="71"/>
      <c r="U507" s="71"/>
      <c r="V507" s="75"/>
      <c r="W507" s="69"/>
      <c r="X507" s="69"/>
      <c r="Y507" s="69"/>
      <c r="Z507" s="69"/>
      <c r="AA507" s="69"/>
      <c r="AB507" s="69"/>
      <c r="AC507" s="69"/>
      <c r="AD507" s="69"/>
      <c r="AE507" s="76"/>
      <c r="AF507" s="71"/>
      <c r="AG507" s="71"/>
      <c r="AH507" s="71"/>
      <c r="AI507" s="71"/>
      <c r="AJ507" s="71"/>
      <c r="AK507" s="71"/>
      <c r="AL507" s="71"/>
      <c r="AM507" s="71"/>
      <c r="AN507" s="68"/>
      <c r="AO507" s="68"/>
      <c r="AP507" s="70"/>
      <c r="AQ507" s="71"/>
      <c r="AR507" s="77"/>
      <c r="AS507" s="70"/>
      <c r="AT507" s="68"/>
      <c r="AU507" s="70"/>
      <c r="AV507" s="70"/>
      <c r="AW507" s="71"/>
      <c r="AX507" s="71"/>
      <c r="AY507" s="70"/>
      <c r="AZ507" s="76"/>
      <c r="BA507" s="76"/>
      <c r="BB507" s="76"/>
      <c r="BC507" s="78"/>
    </row>
    <row r="508" spans="1:55" x14ac:dyDescent="0.25">
      <c r="A508" s="68"/>
      <c r="B508" s="68"/>
      <c r="C508" s="68"/>
      <c r="D508" s="70"/>
      <c r="E508" s="70"/>
      <c r="F508" s="70"/>
      <c r="G508" s="72"/>
      <c r="H508" s="74"/>
      <c r="I508" s="74"/>
      <c r="J508" s="75"/>
      <c r="K508" s="81"/>
      <c r="L508" s="76"/>
      <c r="M508" s="76"/>
      <c r="N508" s="76"/>
      <c r="O508" s="71"/>
      <c r="P508" s="70"/>
      <c r="Q508" s="71"/>
      <c r="R508" s="71"/>
      <c r="S508" s="70"/>
      <c r="T508" s="71"/>
      <c r="U508" s="71"/>
      <c r="V508" s="75"/>
      <c r="W508" s="69"/>
      <c r="X508" s="69"/>
      <c r="Y508" s="69"/>
      <c r="Z508" s="69"/>
      <c r="AA508" s="69"/>
      <c r="AB508" s="69"/>
      <c r="AC508" s="69"/>
      <c r="AD508" s="69"/>
      <c r="AE508" s="76"/>
      <c r="AF508" s="71"/>
      <c r="AG508" s="71"/>
      <c r="AH508" s="71"/>
      <c r="AI508" s="71"/>
      <c r="AJ508" s="71"/>
      <c r="AK508" s="71"/>
      <c r="AL508" s="71"/>
      <c r="AM508" s="71"/>
      <c r="AN508" s="68"/>
      <c r="AO508" s="68"/>
      <c r="AP508" s="70"/>
      <c r="AQ508" s="71"/>
      <c r="AR508" s="77"/>
      <c r="AS508" s="70"/>
      <c r="AT508" s="68"/>
      <c r="AU508" s="70"/>
      <c r="AV508" s="70"/>
      <c r="AW508" s="71"/>
      <c r="AX508" s="71"/>
      <c r="AY508" s="70"/>
      <c r="AZ508" s="76"/>
      <c r="BA508" s="76"/>
      <c r="BB508" s="76"/>
      <c r="BC508" s="78"/>
    </row>
    <row r="509" spans="1:55" x14ac:dyDescent="0.25">
      <c r="A509" s="68"/>
      <c r="B509" s="68"/>
      <c r="C509" s="68"/>
      <c r="D509" s="70"/>
      <c r="E509" s="70"/>
      <c r="F509" s="70"/>
      <c r="G509" s="72"/>
      <c r="H509" s="74"/>
      <c r="I509" s="74"/>
      <c r="J509" s="75"/>
      <c r="K509" s="81"/>
      <c r="L509" s="76"/>
      <c r="M509" s="76"/>
      <c r="N509" s="76"/>
      <c r="O509" s="71"/>
      <c r="P509" s="70"/>
      <c r="Q509" s="71"/>
      <c r="R509" s="71"/>
      <c r="S509" s="70"/>
      <c r="T509" s="71"/>
      <c r="U509" s="71"/>
      <c r="V509" s="75"/>
      <c r="W509" s="69"/>
      <c r="X509" s="69"/>
      <c r="Y509" s="69"/>
      <c r="Z509" s="69"/>
      <c r="AA509" s="69"/>
      <c r="AB509" s="69"/>
      <c r="AC509" s="69"/>
      <c r="AD509" s="69"/>
      <c r="AE509" s="76"/>
      <c r="AF509" s="71"/>
      <c r="AG509" s="71"/>
      <c r="AH509" s="71"/>
      <c r="AI509" s="71"/>
      <c r="AJ509" s="71"/>
      <c r="AK509" s="71"/>
      <c r="AL509" s="71"/>
      <c r="AM509" s="71"/>
      <c r="AN509" s="68"/>
      <c r="AO509" s="68"/>
      <c r="AP509" s="70"/>
      <c r="AQ509" s="71"/>
      <c r="AR509" s="77"/>
      <c r="AS509" s="70"/>
      <c r="AT509" s="68"/>
      <c r="AU509" s="70"/>
      <c r="AV509" s="70"/>
      <c r="AW509" s="71"/>
      <c r="AX509" s="71"/>
      <c r="AY509" s="70"/>
      <c r="AZ509" s="76"/>
      <c r="BA509" s="76"/>
      <c r="BB509" s="76"/>
      <c r="BC509" s="78"/>
    </row>
    <row r="510" spans="1:55" x14ac:dyDescent="0.25">
      <c r="A510" s="68"/>
      <c r="B510" s="68"/>
      <c r="C510" s="68"/>
      <c r="D510" s="70"/>
      <c r="E510" s="70"/>
      <c r="F510" s="70"/>
      <c r="G510" s="72"/>
      <c r="H510" s="74"/>
      <c r="I510" s="74"/>
      <c r="J510" s="75"/>
      <c r="K510" s="81"/>
      <c r="L510" s="76"/>
      <c r="M510" s="76"/>
      <c r="N510" s="76"/>
      <c r="O510" s="71"/>
      <c r="P510" s="70"/>
      <c r="Q510" s="71"/>
      <c r="R510" s="71"/>
      <c r="S510" s="70"/>
      <c r="T510" s="71"/>
      <c r="U510" s="71"/>
      <c r="V510" s="75"/>
      <c r="W510" s="69"/>
      <c r="X510" s="69"/>
      <c r="Y510" s="69"/>
      <c r="Z510" s="69"/>
      <c r="AA510" s="69"/>
      <c r="AB510" s="69"/>
      <c r="AC510" s="69"/>
      <c r="AD510" s="69"/>
      <c r="AE510" s="76"/>
      <c r="AF510" s="71"/>
      <c r="AG510" s="71"/>
      <c r="AH510" s="71"/>
      <c r="AI510" s="71"/>
      <c r="AJ510" s="71"/>
      <c r="AK510" s="71"/>
      <c r="AL510" s="71"/>
      <c r="AM510" s="71"/>
      <c r="AN510" s="68"/>
      <c r="AO510" s="68"/>
      <c r="AP510" s="70"/>
      <c r="AQ510" s="71"/>
      <c r="AR510" s="77"/>
      <c r="AS510" s="70"/>
      <c r="AT510" s="68"/>
      <c r="AU510" s="70"/>
      <c r="AV510" s="70"/>
      <c r="AW510" s="71"/>
      <c r="AX510" s="71"/>
      <c r="AY510" s="70"/>
      <c r="AZ510" s="76"/>
      <c r="BA510" s="76"/>
      <c r="BB510" s="76"/>
      <c r="BC510" s="78"/>
    </row>
    <row r="511" spans="1:55" x14ac:dyDescent="0.25">
      <c r="A511" s="68"/>
      <c r="B511" s="68"/>
      <c r="C511" s="68"/>
      <c r="D511" s="70"/>
      <c r="E511" s="70"/>
      <c r="F511" s="70"/>
      <c r="G511" s="72"/>
      <c r="H511" s="74"/>
      <c r="I511" s="74"/>
      <c r="J511" s="75"/>
      <c r="K511" s="81"/>
      <c r="L511" s="76"/>
      <c r="M511" s="76"/>
      <c r="N511" s="76"/>
      <c r="O511" s="71"/>
      <c r="P511" s="70"/>
      <c r="Q511" s="71"/>
      <c r="R511" s="71"/>
      <c r="S511" s="70"/>
      <c r="T511" s="71"/>
      <c r="U511" s="71"/>
      <c r="V511" s="75"/>
      <c r="W511" s="69"/>
      <c r="X511" s="69"/>
      <c r="Y511" s="69"/>
      <c r="Z511" s="69"/>
      <c r="AA511" s="69"/>
      <c r="AB511" s="69"/>
      <c r="AC511" s="69"/>
      <c r="AD511" s="69"/>
      <c r="AE511" s="76"/>
      <c r="AF511" s="71"/>
      <c r="AG511" s="71"/>
      <c r="AH511" s="71"/>
      <c r="AI511" s="71"/>
      <c r="AJ511" s="71"/>
      <c r="AK511" s="71"/>
      <c r="AL511" s="71"/>
      <c r="AM511" s="71"/>
      <c r="AN511" s="68"/>
      <c r="AO511" s="68"/>
      <c r="AP511" s="70"/>
      <c r="AQ511" s="71"/>
      <c r="AR511" s="77"/>
      <c r="AS511" s="70"/>
      <c r="AT511" s="68"/>
      <c r="AU511" s="70"/>
      <c r="AV511" s="70"/>
      <c r="AW511" s="71"/>
      <c r="AX511" s="71"/>
      <c r="AY511" s="70"/>
      <c r="AZ511" s="76"/>
      <c r="BA511" s="76"/>
      <c r="BB511" s="76"/>
      <c r="BC511" s="78"/>
    </row>
    <row r="512" spans="1:55" x14ac:dyDescent="0.25">
      <c r="A512" s="68"/>
      <c r="B512" s="68"/>
      <c r="C512" s="68"/>
      <c r="D512" s="70"/>
      <c r="E512" s="70"/>
      <c r="F512" s="70"/>
      <c r="G512" s="72"/>
      <c r="H512" s="74"/>
      <c r="I512" s="74"/>
      <c r="J512" s="75"/>
      <c r="K512" s="81"/>
      <c r="L512" s="76"/>
      <c r="M512" s="76"/>
      <c r="N512" s="76"/>
      <c r="O512" s="71"/>
      <c r="P512" s="70"/>
      <c r="Q512" s="71"/>
      <c r="R512" s="71"/>
      <c r="S512" s="70"/>
      <c r="T512" s="71"/>
      <c r="U512" s="71"/>
      <c r="V512" s="75"/>
      <c r="W512" s="69"/>
      <c r="X512" s="69"/>
      <c r="Y512" s="69"/>
      <c r="Z512" s="69"/>
      <c r="AA512" s="69"/>
      <c r="AB512" s="69"/>
      <c r="AC512" s="69"/>
      <c r="AD512" s="69"/>
      <c r="AE512" s="76"/>
      <c r="AF512" s="71"/>
      <c r="AG512" s="71"/>
      <c r="AH512" s="71"/>
      <c r="AI512" s="71"/>
      <c r="AJ512" s="71"/>
      <c r="AK512" s="71"/>
      <c r="AL512" s="71"/>
      <c r="AM512" s="71"/>
      <c r="AN512" s="68"/>
      <c r="AO512" s="68"/>
      <c r="AP512" s="70"/>
      <c r="AQ512" s="71"/>
      <c r="AR512" s="77"/>
      <c r="AS512" s="70"/>
      <c r="AT512" s="68"/>
      <c r="AU512" s="70"/>
      <c r="AV512" s="70"/>
      <c r="AW512" s="71"/>
      <c r="AX512" s="71"/>
      <c r="AY512" s="70"/>
      <c r="AZ512" s="76"/>
      <c r="BA512" s="76"/>
      <c r="BB512" s="76"/>
      <c r="BC512" s="78"/>
    </row>
    <row r="513" spans="1:55" x14ac:dyDescent="0.25">
      <c r="A513" s="68"/>
      <c r="B513" s="68"/>
      <c r="C513" s="68"/>
      <c r="D513" s="70"/>
      <c r="E513" s="70"/>
      <c r="F513" s="70"/>
      <c r="G513" s="72"/>
      <c r="H513" s="74"/>
      <c r="I513" s="74"/>
      <c r="J513" s="75"/>
      <c r="K513" s="81"/>
      <c r="L513" s="76"/>
      <c r="M513" s="76"/>
      <c r="N513" s="76"/>
      <c r="O513" s="71"/>
      <c r="P513" s="70"/>
      <c r="Q513" s="71"/>
      <c r="R513" s="71"/>
      <c r="S513" s="70"/>
      <c r="T513" s="71"/>
      <c r="U513" s="71"/>
      <c r="V513" s="75"/>
      <c r="W513" s="69"/>
      <c r="X513" s="69"/>
      <c r="Y513" s="69"/>
      <c r="Z513" s="69"/>
      <c r="AA513" s="69"/>
      <c r="AB513" s="69"/>
      <c r="AC513" s="69"/>
      <c r="AD513" s="69"/>
      <c r="AE513" s="76"/>
      <c r="AF513" s="71"/>
      <c r="AG513" s="71"/>
      <c r="AH513" s="71"/>
      <c r="AI513" s="71"/>
      <c r="AJ513" s="71"/>
      <c r="AK513" s="71"/>
      <c r="AL513" s="71"/>
      <c r="AM513" s="71"/>
      <c r="AN513" s="68"/>
      <c r="AO513" s="68"/>
      <c r="AP513" s="70"/>
      <c r="AQ513" s="71"/>
      <c r="AR513" s="77"/>
      <c r="AS513" s="70"/>
      <c r="AT513" s="68"/>
      <c r="AU513" s="70"/>
      <c r="AV513" s="70"/>
      <c r="AW513" s="71"/>
      <c r="AX513" s="71"/>
      <c r="AY513" s="70"/>
      <c r="AZ513" s="76"/>
      <c r="BA513" s="76"/>
      <c r="BB513" s="76"/>
      <c r="BC513" s="78"/>
    </row>
    <row r="514" spans="1:55" x14ac:dyDescent="0.25">
      <c r="A514" s="68"/>
      <c r="B514" s="68"/>
      <c r="C514" s="68"/>
      <c r="D514" s="70"/>
      <c r="E514" s="70"/>
      <c r="F514" s="70"/>
      <c r="G514" s="72"/>
      <c r="H514" s="74"/>
      <c r="I514" s="74"/>
      <c r="J514" s="75"/>
      <c r="K514" s="81"/>
      <c r="L514" s="76"/>
      <c r="M514" s="76"/>
      <c r="N514" s="76"/>
      <c r="O514" s="71"/>
      <c r="P514" s="70"/>
      <c r="Q514" s="71"/>
      <c r="R514" s="71"/>
      <c r="S514" s="70"/>
      <c r="T514" s="71"/>
      <c r="U514" s="71"/>
      <c r="V514" s="75"/>
      <c r="W514" s="69"/>
      <c r="X514" s="69"/>
      <c r="Y514" s="69"/>
      <c r="Z514" s="69"/>
      <c r="AA514" s="69"/>
      <c r="AB514" s="69"/>
      <c r="AC514" s="69"/>
      <c r="AD514" s="69"/>
      <c r="AE514" s="76"/>
      <c r="AF514" s="71"/>
      <c r="AG514" s="71"/>
      <c r="AH514" s="71"/>
      <c r="AI514" s="71"/>
      <c r="AJ514" s="71"/>
      <c r="AK514" s="71"/>
      <c r="AL514" s="71"/>
      <c r="AM514" s="71"/>
      <c r="AN514" s="68"/>
      <c r="AO514" s="68"/>
      <c r="AP514" s="70"/>
      <c r="AQ514" s="71"/>
      <c r="AR514" s="77"/>
      <c r="AS514" s="70"/>
      <c r="AT514" s="68"/>
      <c r="AU514" s="70"/>
      <c r="AV514" s="70"/>
      <c r="AW514" s="71"/>
      <c r="AX514" s="71"/>
      <c r="AY514" s="70"/>
      <c r="AZ514" s="76"/>
      <c r="BA514" s="76"/>
      <c r="BB514" s="76"/>
      <c r="BC514" s="78"/>
    </row>
    <row r="515" spans="1:55" x14ac:dyDescent="0.25">
      <c r="A515" s="68"/>
      <c r="B515" s="68"/>
      <c r="C515" s="68"/>
      <c r="D515" s="70"/>
      <c r="E515" s="70"/>
      <c r="F515" s="70"/>
      <c r="G515" s="72"/>
      <c r="H515" s="74"/>
      <c r="I515" s="74"/>
      <c r="J515" s="75"/>
      <c r="K515" s="81"/>
      <c r="L515" s="76"/>
      <c r="M515" s="76"/>
      <c r="N515" s="76"/>
      <c r="O515" s="71"/>
      <c r="P515" s="70"/>
      <c r="Q515" s="71"/>
      <c r="R515" s="71"/>
      <c r="S515" s="70"/>
      <c r="T515" s="71"/>
      <c r="U515" s="71"/>
      <c r="V515" s="75"/>
      <c r="W515" s="69"/>
      <c r="X515" s="69"/>
      <c r="Y515" s="69"/>
      <c r="Z515" s="69"/>
      <c r="AA515" s="69"/>
      <c r="AB515" s="69"/>
      <c r="AC515" s="69"/>
      <c r="AD515" s="69"/>
      <c r="AE515" s="76"/>
      <c r="AF515" s="71"/>
      <c r="AG515" s="71"/>
      <c r="AH515" s="71"/>
      <c r="AI515" s="71"/>
      <c r="AJ515" s="71"/>
      <c r="AK515" s="71"/>
      <c r="AL515" s="71"/>
      <c r="AM515" s="71"/>
      <c r="AN515" s="68"/>
      <c r="AO515" s="68"/>
      <c r="AP515" s="70"/>
      <c r="AQ515" s="71"/>
      <c r="AR515" s="77"/>
      <c r="AS515" s="70"/>
      <c r="AT515" s="68"/>
      <c r="AU515" s="70"/>
      <c r="AV515" s="70"/>
      <c r="AW515" s="71"/>
      <c r="AX515" s="71"/>
      <c r="AY515" s="70"/>
      <c r="AZ515" s="76"/>
      <c r="BA515" s="76"/>
      <c r="BB515" s="76"/>
      <c r="BC515" s="78"/>
    </row>
    <row r="516" spans="1:55" x14ac:dyDescent="0.25">
      <c r="A516" s="68"/>
      <c r="B516" s="68"/>
      <c r="C516" s="68"/>
      <c r="D516" s="70"/>
      <c r="E516" s="70"/>
      <c r="F516" s="70"/>
      <c r="G516" s="72"/>
      <c r="H516" s="74"/>
      <c r="I516" s="74"/>
      <c r="J516" s="75"/>
      <c r="K516" s="81"/>
      <c r="L516" s="76"/>
      <c r="M516" s="76"/>
      <c r="N516" s="76"/>
      <c r="O516" s="71"/>
      <c r="P516" s="70"/>
      <c r="Q516" s="71"/>
      <c r="R516" s="71"/>
      <c r="S516" s="70"/>
      <c r="T516" s="71"/>
      <c r="U516" s="71"/>
      <c r="V516" s="75"/>
      <c r="W516" s="69"/>
      <c r="X516" s="69"/>
      <c r="Y516" s="69"/>
      <c r="Z516" s="69"/>
      <c r="AA516" s="69"/>
      <c r="AB516" s="69"/>
      <c r="AC516" s="69"/>
      <c r="AD516" s="69"/>
      <c r="AE516" s="76"/>
      <c r="AF516" s="71"/>
      <c r="AG516" s="71"/>
      <c r="AH516" s="71"/>
      <c r="AI516" s="71"/>
      <c r="AJ516" s="71"/>
      <c r="AK516" s="71"/>
      <c r="AL516" s="71"/>
      <c r="AM516" s="71"/>
      <c r="AN516" s="68"/>
      <c r="AO516" s="68"/>
      <c r="AP516" s="70"/>
      <c r="AQ516" s="71"/>
      <c r="AR516" s="77"/>
      <c r="AS516" s="70"/>
      <c r="AT516" s="68"/>
      <c r="AU516" s="70"/>
      <c r="AV516" s="70"/>
      <c r="AW516" s="71"/>
      <c r="AX516" s="71"/>
      <c r="AY516" s="70"/>
      <c r="AZ516" s="76"/>
      <c r="BA516" s="76"/>
      <c r="BB516" s="76"/>
      <c r="BC516" s="78"/>
    </row>
    <row r="517" spans="1:55" x14ac:dyDescent="0.25">
      <c r="A517" s="68"/>
      <c r="B517" s="68"/>
      <c r="C517" s="68"/>
      <c r="D517" s="70"/>
      <c r="E517" s="70"/>
      <c r="F517" s="70"/>
      <c r="G517" s="72"/>
      <c r="H517" s="74"/>
      <c r="I517" s="74"/>
      <c r="J517" s="75"/>
      <c r="K517" s="81"/>
      <c r="L517" s="76"/>
      <c r="M517" s="76"/>
      <c r="N517" s="76"/>
      <c r="O517" s="71"/>
      <c r="P517" s="70"/>
      <c r="Q517" s="71"/>
      <c r="R517" s="71"/>
      <c r="S517" s="70"/>
      <c r="T517" s="71"/>
      <c r="U517" s="71"/>
      <c r="V517" s="75"/>
      <c r="W517" s="69"/>
      <c r="X517" s="69"/>
      <c r="Y517" s="69"/>
      <c r="Z517" s="69"/>
      <c r="AA517" s="69"/>
      <c r="AB517" s="69"/>
      <c r="AC517" s="69"/>
      <c r="AD517" s="69"/>
      <c r="AE517" s="76"/>
      <c r="AF517" s="71"/>
      <c r="AG517" s="71"/>
      <c r="AH517" s="71"/>
      <c r="AI517" s="71"/>
      <c r="AJ517" s="71"/>
      <c r="AK517" s="71"/>
      <c r="AL517" s="71"/>
      <c r="AM517" s="71"/>
      <c r="AN517" s="68"/>
      <c r="AO517" s="68"/>
      <c r="AP517" s="70"/>
      <c r="AQ517" s="71"/>
      <c r="AR517" s="77"/>
      <c r="AS517" s="70"/>
      <c r="AT517" s="68"/>
      <c r="AU517" s="70"/>
      <c r="AV517" s="70"/>
      <c r="AW517" s="71"/>
      <c r="AX517" s="71"/>
      <c r="AY517" s="70"/>
      <c r="AZ517" s="76"/>
      <c r="BA517" s="76"/>
      <c r="BB517" s="76"/>
      <c r="BC517" s="78"/>
    </row>
    <row r="518" spans="1:55" x14ac:dyDescent="0.25">
      <c r="A518" s="68"/>
      <c r="B518" s="68"/>
      <c r="C518" s="68"/>
      <c r="D518" s="70"/>
      <c r="E518" s="70"/>
      <c r="F518" s="70"/>
      <c r="G518" s="72"/>
      <c r="H518" s="74"/>
      <c r="I518" s="74"/>
      <c r="J518" s="75"/>
      <c r="K518" s="81"/>
      <c r="L518" s="76"/>
      <c r="M518" s="76"/>
      <c r="N518" s="76"/>
      <c r="O518" s="71"/>
      <c r="P518" s="70"/>
      <c r="Q518" s="71"/>
      <c r="R518" s="71"/>
      <c r="S518" s="70"/>
      <c r="T518" s="71"/>
      <c r="U518" s="71"/>
      <c r="V518" s="75"/>
      <c r="W518" s="69"/>
      <c r="X518" s="69"/>
      <c r="Y518" s="69"/>
      <c r="Z518" s="69"/>
      <c r="AA518" s="69"/>
      <c r="AB518" s="69"/>
      <c r="AC518" s="69"/>
      <c r="AD518" s="69"/>
      <c r="AE518" s="76"/>
      <c r="AF518" s="71"/>
      <c r="AG518" s="71"/>
      <c r="AH518" s="71"/>
      <c r="AI518" s="71"/>
      <c r="AJ518" s="71"/>
      <c r="AK518" s="71"/>
      <c r="AL518" s="71"/>
      <c r="AM518" s="71"/>
      <c r="AN518" s="68"/>
      <c r="AO518" s="68"/>
      <c r="AP518" s="70"/>
      <c r="AQ518" s="71"/>
      <c r="AR518" s="77"/>
      <c r="AS518" s="70"/>
      <c r="AT518" s="68"/>
      <c r="AU518" s="70"/>
      <c r="AV518" s="70"/>
      <c r="AW518" s="71"/>
      <c r="AX518" s="71"/>
      <c r="AY518" s="70"/>
      <c r="AZ518" s="76"/>
      <c r="BA518" s="76"/>
      <c r="BB518" s="76"/>
      <c r="BC518" s="78"/>
    </row>
    <row r="519" spans="1:55" x14ac:dyDescent="0.25">
      <c r="A519" s="68"/>
      <c r="B519" s="68"/>
      <c r="C519" s="68"/>
      <c r="D519" s="70"/>
      <c r="E519" s="70"/>
      <c r="F519" s="70"/>
      <c r="G519" s="72"/>
      <c r="H519" s="74"/>
      <c r="I519" s="74"/>
      <c r="J519" s="75"/>
      <c r="K519" s="81"/>
      <c r="L519" s="76"/>
      <c r="M519" s="76"/>
      <c r="N519" s="76"/>
      <c r="O519" s="71"/>
      <c r="P519" s="70"/>
      <c r="Q519" s="71"/>
      <c r="R519" s="71"/>
      <c r="S519" s="70"/>
      <c r="T519" s="71"/>
      <c r="U519" s="71"/>
      <c r="V519" s="75"/>
      <c r="W519" s="69"/>
      <c r="X519" s="69"/>
      <c r="Y519" s="69"/>
      <c r="Z519" s="69"/>
      <c r="AA519" s="69"/>
      <c r="AB519" s="69"/>
      <c r="AC519" s="69"/>
      <c r="AD519" s="69"/>
      <c r="AE519" s="76"/>
      <c r="AF519" s="71"/>
      <c r="AG519" s="71"/>
      <c r="AH519" s="71"/>
      <c r="AI519" s="71"/>
      <c r="AJ519" s="71"/>
      <c r="AK519" s="71"/>
      <c r="AL519" s="71"/>
      <c r="AM519" s="71"/>
      <c r="AN519" s="68"/>
      <c r="AO519" s="68"/>
      <c r="AP519" s="70"/>
      <c r="AQ519" s="71"/>
      <c r="AR519" s="77"/>
      <c r="AS519" s="70"/>
      <c r="AT519" s="68"/>
      <c r="AU519" s="70"/>
      <c r="AV519" s="70"/>
      <c r="AW519" s="71"/>
      <c r="AX519" s="71"/>
      <c r="AY519" s="70"/>
      <c r="AZ519" s="76"/>
      <c r="BA519" s="76"/>
      <c r="BB519" s="76"/>
      <c r="BC519" s="78"/>
    </row>
    <row r="520" spans="1:55" x14ac:dyDescent="0.25">
      <c r="A520" s="68"/>
      <c r="B520" s="68"/>
      <c r="C520" s="68"/>
      <c r="D520" s="70"/>
      <c r="E520" s="70"/>
      <c r="F520" s="70"/>
      <c r="G520" s="72"/>
      <c r="H520" s="74"/>
      <c r="I520" s="74"/>
      <c r="J520" s="75"/>
      <c r="K520" s="81"/>
      <c r="L520" s="76"/>
      <c r="M520" s="76"/>
      <c r="N520" s="76"/>
      <c r="O520" s="71"/>
      <c r="P520" s="70"/>
      <c r="Q520" s="71"/>
      <c r="R520" s="71"/>
      <c r="S520" s="70"/>
      <c r="T520" s="71"/>
      <c r="U520" s="71"/>
      <c r="V520" s="75"/>
      <c r="W520" s="69"/>
      <c r="X520" s="69"/>
      <c r="Y520" s="69"/>
      <c r="Z520" s="69"/>
      <c r="AA520" s="69"/>
      <c r="AB520" s="69"/>
      <c r="AC520" s="69"/>
      <c r="AD520" s="69"/>
      <c r="AE520" s="76"/>
      <c r="AF520" s="71"/>
      <c r="AG520" s="71"/>
      <c r="AH520" s="71"/>
      <c r="AI520" s="71"/>
      <c r="AJ520" s="71"/>
      <c r="AK520" s="71"/>
      <c r="AL520" s="71"/>
      <c r="AM520" s="71"/>
      <c r="AN520" s="68"/>
      <c r="AO520" s="68"/>
      <c r="AP520" s="70"/>
      <c r="AQ520" s="71"/>
      <c r="AR520" s="77"/>
      <c r="AS520" s="70"/>
      <c r="AT520" s="68"/>
      <c r="AU520" s="70"/>
      <c r="AV520" s="70"/>
      <c r="AW520" s="71"/>
      <c r="AX520" s="71"/>
      <c r="AY520" s="70"/>
      <c r="AZ520" s="76"/>
      <c r="BA520" s="76"/>
      <c r="BB520" s="76"/>
      <c r="BC520" s="78"/>
    </row>
    <row r="521" spans="1:55" x14ac:dyDescent="0.25">
      <c r="A521" s="68"/>
      <c r="B521" s="68"/>
      <c r="C521" s="68"/>
      <c r="D521" s="70"/>
      <c r="E521" s="70"/>
      <c r="F521" s="70"/>
      <c r="G521" s="72"/>
      <c r="H521" s="74"/>
      <c r="I521" s="74"/>
      <c r="J521" s="75"/>
      <c r="K521" s="81"/>
      <c r="L521" s="76"/>
      <c r="M521" s="76"/>
      <c r="N521" s="76"/>
      <c r="O521" s="71"/>
      <c r="P521" s="70"/>
      <c r="Q521" s="71"/>
      <c r="R521" s="71"/>
      <c r="S521" s="70"/>
      <c r="T521" s="71"/>
      <c r="U521" s="71"/>
      <c r="V521" s="75"/>
      <c r="W521" s="69"/>
      <c r="X521" s="69"/>
      <c r="Y521" s="69"/>
      <c r="Z521" s="69"/>
      <c r="AA521" s="69"/>
      <c r="AB521" s="69"/>
      <c r="AC521" s="69"/>
      <c r="AD521" s="69"/>
      <c r="AE521" s="76"/>
      <c r="AF521" s="71"/>
      <c r="AG521" s="71"/>
      <c r="AH521" s="71"/>
      <c r="AI521" s="71"/>
      <c r="AJ521" s="71"/>
      <c r="AK521" s="71"/>
      <c r="AL521" s="71"/>
      <c r="AM521" s="71"/>
      <c r="AN521" s="68"/>
      <c r="AO521" s="68"/>
      <c r="AP521" s="70"/>
      <c r="AQ521" s="71"/>
      <c r="AR521" s="77"/>
      <c r="AS521" s="70"/>
      <c r="AT521" s="68"/>
      <c r="AU521" s="70"/>
      <c r="AV521" s="70"/>
      <c r="AW521" s="71"/>
      <c r="AX521" s="71"/>
      <c r="AY521" s="70"/>
      <c r="AZ521" s="76"/>
      <c r="BA521" s="76"/>
      <c r="BB521" s="76"/>
      <c r="BC521" s="78"/>
    </row>
    <row r="522" spans="1:55" x14ac:dyDescent="0.25">
      <c r="A522" s="68"/>
      <c r="B522" s="68"/>
      <c r="C522" s="68"/>
      <c r="D522" s="70"/>
      <c r="E522" s="70"/>
      <c r="F522" s="70"/>
      <c r="G522" s="72"/>
      <c r="H522" s="74"/>
      <c r="I522" s="74"/>
      <c r="J522" s="75"/>
      <c r="K522" s="81"/>
      <c r="L522" s="76"/>
      <c r="M522" s="76"/>
      <c r="N522" s="76"/>
      <c r="O522" s="71"/>
      <c r="P522" s="70"/>
      <c r="Q522" s="71"/>
      <c r="R522" s="71"/>
      <c r="S522" s="70"/>
      <c r="T522" s="71"/>
      <c r="U522" s="71"/>
      <c r="V522" s="75"/>
      <c r="W522" s="69"/>
      <c r="X522" s="69"/>
      <c r="Y522" s="69"/>
      <c r="Z522" s="69"/>
      <c r="AA522" s="69"/>
      <c r="AB522" s="69"/>
      <c r="AC522" s="69"/>
      <c r="AD522" s="69"/>
      <c r="AE522" s="76"/>
      <c r="AF522" s="71"/>
      <c r="AG522" s="71"/>
      <c r="AH522" s="71"/>
      <c r="AI522" s="71"/>
      <c r="AJ522" s="71"/>
      <c r="AK522" s="71"/>
      <c r="AL522" s="71"/>
      <c r="AM522" s="71"/>
      <c r="AN522" s="68"/>
      <c r="AO522" s="68"/>
      <c r="AP522" s="70"/>
      <c r="AQ522" s="71"/>
      <c r="AR522" s="77"/>
      <c r="AS522" s="70"/>
      <c r="AT522" s="68"/>
      <c r="AU522" s="70"/>
      <c r="AV522" s="70"/>
      <c r="AW522" s="71"/>
      <c r="AX522" s="71"/>
      <c r="AY522" s="70"/>
      <c r="AZ522" s="76"/>
      <c r="BA522" s="76"/>
      <c r="BB522" s="76"/>
      <c r="BC522" s="78"/>
    </row>
    <row r="523" spans="1:55" x14ac:dyDescent="0.25">
      <c r="A523" s="68"/>
      <c r="B523" s="68"/>
      <c r="C523" s="68"/>
      <c r="D523" s="70"/>
      <c r="E523" s="70"/>
      <c r="F523" s="70"/>
      <c r="G523" s="72"/>
      <c r="H523" s="74"/>
      <c r="I523" s="74"/>
      <c r="J523" s="75"/>
      <c r="K523" s="81"/>
      <c r="L523" s="76"/>
      <c r="M523" s="76"/>
      <c r="N523" s="76"/>
      <c r="O523" s="71"/>
      <c r="P523" s="70"/>
      <c r="Q523" s="71"/>
      <c r="R523" s="71"/>
      <c r="S523" s="70"/>
      <c r="T523" s="71"/>
      <c r="U523" s="71"/>
      <c r="V523" s="75"/>
      <c r="W523" s="69"/>
      <c r="X523" s="69"/>
      <c r="Y523" s="69"/>
      <c r="Z523" s="69"/>
      <c r="AA523" s="69"/>
      <c r="AB523" s="69"/>
      <c r="AC523" s="69"/>
      <c r="AD523" s="69"/>
      <c r="AE523" s="76"/>
      <c r="AF523" s="71"/>
      <c r="AG523" s="71"/>
      <c r="AH523" s="71"/>
      <c r="AI523" s="71"/>
      <c r="AJ523" s="71"/>
      <c r="AK523" s="71"/>
      <c r="AL523" s="71"/>
      <c r="AM523" s="71"/>
      <c r="AN523" s="68"/>
      <c r="AO523" s="68"/>
      <c r="AP523" s="70"/>
      <c r="AQ523" s="71"/>
      <c r="AR523" s="77"/>
      <c r="AS523" s="70"/>
      <c r="AT523" s="68"/>
      <c r="AU523" s="70"/>
      <c r="AV523" s="70"/>
      <c r="AW523" s="71"/>
      <c r="AX523" s="71"/>
      <c r="AY523" s="70"/>
      <c r="AZ523" s="76"/>
      <c r="BA523" s="76"/>
      <c r="BB523" s="76"/>
      <c r="BC523" s="78"/>
    </row>
    <row r="524" spans="1:55" x14ac:dyDescent="0.25">
      <c r="A524" s="68"/>
      <c r="B524" s="68"/>
      <c r="C524" s="68"/>
      <c r="D524" s="70"/>
      <c r="E524" s="70"/>
      <c r="F524" s="70"/>
      <c r="G524" s="72"/>
      <c r="H524" s="74"/>
      <c r="I524" s="74"/>
      <c r="J524" s="75"/>
      <c r="K524" s="81"/>
      <c r="L524" s="76"/>
      <c r="M524" s="76"/>
      <c r="N524" s="76"/>
      <c r="O524" s="71"/>
      <c r="P524" s="70"/>
      <c r="Q524" s="71"/>
      <c r="R524" s="71"/>
      <c r="S524" s="70"/>
      <c r="T524" s="71"/>
      <c r="U524" s="71"/>
      <c r="V524" s="75"/>
      <c r="W524" s="69"/>
      <c r="X524" s="69"/>
      <c r="Y524" s="69"/>
      <c r="Z524" s="69"/>
      <c r="AA524" s="69"/>
      <c r="AB524" s="69"/>
      <c r="AC524" s="69"/>
      <c r="AD524" s="69"/>
      <c r="AE524" s="76"/>
      <c r="AF524" s="71"/>
      <c r="AG524" s="71"/>
      <c r="AH524" s="71"/>
      <c r="AI524" s="71"/>
      <c r="AJ524" s="71"/>
      <c r="AK524" s="71"/>
      <c r="AL524" s="71"/>
      <c r="AM524" s="71"/>
      <c r="AN524" s="68"/>
      <c r="AO524" s="68"/>
      <c r="AP524" s="70"/>
      <c r="AQ524" s="71"/>
      <c r="AR524" s="77"/>
      <c r="AS524" s="70"/>
      <c r="AT524" s="68"/>
      <c r="AU524" s="70"/>
      <c r="AV524" s="70"/>
      <c r="AW524" s="71"/>
      <c r="AX524" s="71"/>
      <c r="AY524" s="70"/>
      <c r="AZ524" s="76"/>
      <c r="BA524" s="76"/>
      <c r="BB524" s="76"/>
      <c r="BC524" s="78"/>
    </row>
    <row r="525" spans="1:55" x14ac:dyDescent="0.25">
      <c r="A525" s="68"/>
      <c r="B525" s="68"/>
      <c r="C525" s="68"/>
      <c r="D525" s="70"/>
      <c r="E525" s="70"/>
      <c r="F525" s="70"/>
      <c r="G525" s="72"/>
      <c r="H525" s="74"/>
      <c r="I525" s="74"/>
      <c r="J525" s="75"/>
      <c r="K525" s="81"/>
      <c r="L525" s="76"/>
      <c r="M525" s="76"/>
      <c r="N525" s="76"/>
      <c r="O525" s="71"/>
      <c r="P525" s="70"/>
      <c r="Q525" s="71"/>
      <c r="R525" s="71"/>
      <c r="S525" s="70"/>
      <c r="T525" s="71"/>
      <c r="U525" s="71"/>
      <c r="V525" s="75"/>
      <c r="W525" s="69"/>
      <c r="X525" s="69"/>
      <c r="Y525" s="69"/>
      <c r="Z525" s="69"/>
      <c r="AA525" s="69"/>
      <c r="AB525" s="69"/>
      <c r="AC525" s="69"/>
      <c r="AD525" s="69"/>
      <c r="AE525" s="76"/>
      <c r="AF525" s="71"/>
      <c r="AG525" s="71"/>
      <c r="AH525" s="71"/>
      <c r="AI525" s="71"/>
      <c r="AJ525" s="71"/>
      <c r="AK525" s="71"/>
      <c r="AL525" s="71"/>
      <c r="AM525" s="71"/>
      <c r="AN525" s="68"/>
      <c r="AO525" s="68"/>
      <c r="AP525" s="70"/>
      <c r="AQ525" s="71"/>
      <c r="AR525" s="77"/>
      <c r="AS525" s="70"/>
      <c r="AT525" s="68"/>
      <c r="AU525" s="70"/>
      <c r="AV525" s="70"/>
      <c r="AW525" s="71"/>
      <c r="AX525" s="71"/>
      <c r="AY525" s="70"/>
      <c r="AZ525" s="76"/>
      <c r="BA525" s="76"/>
      <c r="BB525" s="76"/>
      <c r="BC525" s="78"/>
    </row>
    <row r="526" spans="1:55" x14ac:dyDescent="0.25">
      <c r="A526" s="68"/>
      <c r="B526" s="68"/>
      <c r="C526" s="68"/>
      <c r="D526" s="70"/>
      <c r="E526" s="70"/>
      <c r="F526" s="70"/>
      <c r="G526" s="72"/>
      <c r="H526" s="74"/>
      <c r="I526" s="74"/>
      <c r="J526" s="75"/>
      <c r="K526" s="81"/>
      <c r="L526" s="76"/>
      <c r="M526" s="76"/>
      <c r="N526" s="76"/>
      <c r="O526" s="71"/>
      <c r="P526" s="70"/>
      <c r="Q526" s="71"/>
      <c r="R526" s="71"/>
      <c r="S526" s="70"/>
      <c r="T526" s="71"/>
      <c r="U526" s="71"/>
      <c r="V526" s="75"/>
      <c r="W526" s="69"/>
      <c r="X526" s="69"/>
      <c r="Y526" s="69"/>
      <c r="Z526" s="69"/>
      <c r="AA526" s="69"/>
      <c r="AB526" s="69"/>
      <c r="AC526" s="69"/>
      <c r="AD526" s="69"/>
      <c r="AE526" s="76"/>
      <c r="AF526" s="71"/>
      <c r="AG526" s="71"/>
      <c r="AH526" s="71"/>
      <c r="AI526" s="71"/>
      <c r="AJ526" s="71"/>
      <c r="AK526" s="71"/>
      <c r="AL526" s="71"/>
      <c r="AM526" s="71"/>
      <c r="AN526" s="68"/>
      <c r="AO526" s="68"/>
      <c r="AP526" s="70"/>
      <c r="AQ526" s="71"/>
      <c r="AR526" s="77"/>
      <c r="AS526" s="70"/>
      <c r="AT526" s="68"/>
      <c r="AU526" s="70"/>
      <c r="AV526" s="70"/>
      <c r="AW526" s="71"/>
      <c r="AX526" s="71"/>
      <c r="AY526" s="70"/>
      <c r="AZ526" s="76"/>
      <c r="BA526" s="76"/>
      <c r="BB526" s="76"/>
      <c r="BC526" s="78"/>
    </row>
    <row r="527" spans="1:55" x14ac:dyDescent="0.25">
      <c r="A527" s="68"/>
      <c r="B527" s="68"/>
      <c r="C527" s="68"/>
      <c r="D527" s="70"/>
      <c r="E527" s="70"/>
      <c r="F527" s="70"/>
      <c r="G527" s="72"/>
      <c r="H527" s="74"/>
      <c r="I527" s="74"/>
      <c r="J527" s="75"/>
      <c r="K527" s="81"/>
      <c r="L527" s="76"/>
      <c r="M527" s="76"/>
      <c r="N527" s="76"/>
      <c r="O527" s="71"/>
      <c r="P527" s="70"/>
      <c r="Q527" s="71"/>
      <c r="R527" s="71"/>
      <c r="S527" s="70"/>
      <c r="T527" s="71"/>
      <c r="U527" s="71"/>
      <c r="V527" s="75"/>
      <c r="W527" s="69"/>
      <c r="X527" s="69"/>
      <c r="Y527" s="69"/>
      <c r="Z527" s="69"/>
      <c r="AA527" s="69"/>
      <c r="AB527" s="69"/>
      <c r="AC527" s="69"/>
      <c r="AD527" s="69"/>
      <c r="AE527" s="76"/>
      <c r="AF527" s="71"/>
      <c r="AG527" s="71"/>
      <c r="AH527" s="71"/>
      <c r="AI527" s="71"/>
      <c r="AJ527" s="71"/>
      <c r="AK527" s="71"/>
      <c r="AL527" s="71"/>
      <c r="AM527" s="71"/>
      <c r="AN527" s="68"/>
      <c r="AO527" s="68"/>
      <c r="AP527" s="70"/>
      <c r="AQ527" s="71"/>
      <c r="AR527" s="77"/>
      <c r="AS527" s="70"/>
      <c r="AT527" s="68"/>
      <c r="AU527" s="70"/>
      <c r="AV527" s="70"/>
      <c r="AW527" s="71"/>
      <c r="AX527" s="71"/>
      <c r="AY527" s="70"/>
      <c r="AZ527" s="76"/>
      <c r="BA527" s="76"/>
      <c r="BB527" s="76"/>
      <c r="BC527" s="78"/>
    </row>
    <row r="528" spans="1:55" x14ac:dyDescent="0.25">
      <c r="A528" s="68"/>
      <c r="B528" s="68"/>
      <c r="C528" s="68"/>
      <c r="D528" s="70"/>
      <c r="E528" s="70"/>
      <c r="F528" s="70"/>
      <c r="G528" s="72"/>
      <c r="H528" s="74"/>
      <c r="I528" s="74"/>
      <c r="J528" s="75"/>
      <c r="K528" s="81"/>
      <c r="L528" s="76"/>
      <c r="M528" s="76"/>
      <c r="N528" s="76"/>
      <c r="O528" s="71"/>
      <c r="P528" s="70"/>
      <c r="Q528" s="71"/>
      <c r="R528" s="71"/>
      <c r="S528" s="70"/>
      <c r="T528" s="71"/>
      <c r="U528" s="71"/>
      <c r="V528" s="75"/>
      <c r="W528" s="69"/>
      <c r="X528" s="69"/>
      <c r="Y528" s="69"/>
      <c r="Z528" s="69"/>
      <c r="AA528" s="69"/>
      <c r="AB528" s="69"/>
      <c r="AC528" s="69"/>
      <c r="AD528" s="69"/>
      <c r="AE528" s="76"/>
      <c r="AF528" s="71"/>
      <c r="AG528" s="71"/>
      <c r="AH528" s="71"/>
      <c r="AI528" s="71"/>
      <c r="AJ528" s="71"/>
      <c r="AK528" s="71"/>
      <c r="AL528" s="71"/>
      <c r="AM528" s="71"/>
      <c r="AN528" s="68"/>
      <c r="AO528" s="68"/>
      <c r="AP528" s="70"/>
      <c r="AQ528" s="71"/>
      <c r="AR528" s="77"/>
      <c r="AS528" s="70"/>
      <c r="AT528" s="68"/>
      <c r="AU528" s="70"/>
      <c r="AV528" s="70"/>
      <c r="AW528" s="71"/>
      <c r="AX528" s="71"/>
      <c r="AY528" s="70"/>
      <c r="AZ528" s="76"/>
      <c r="BA528" s="76"/>
      <c r="BB528" s="76"/>
      <c r="BC528" s="78"/>
    </row>
    <row r="529" spans="1:55" x14ac:dyDescent="0.25">
      <c r="A529" s="68"/>
      <c r="B529" s="68"/>
      <c r="C529" s="68"/>
      <c r="D529" s="70"/>
      <c r="E529" s="70"/>
      <c r="F529" s="70"/>
      <c r="G529" s="72"/>
      <c r="H529" s="74"/>
      <c r="I529" s="74"/>
      <c r="J529" s="75"/>
      <c r="K529" s="81"/>
      <c r="L529" s="76"/>
      <c r="M529" s="76"/>
      <c r="N529" s="76"/>
      <c r="O529" s="71"/>
      <c r="P529" s="70"/>
      <c r="Q529" s="71"/>
      <c r="R529" s="71"/>
      <c r="S529" s="70"/>
      <c r="T529" s="71"/>
      <c r="U529" s="71"/>
      <c r="V529" s="75"/>
      <c r="W529" s="69"/>
      <c r="X529" s="69"/>
      <c r="Y529" s="69"/>
      <c r="Z529" s="69"/>
      <c r="AA529" s="69"/>
      <c r="AB529" s="69"/>
      <c r="AC529" s="69"/>
      <c r="AD529" s="69"/>
      <c r="AE529" s="76"/>
      <c r="AF529" s="71"/>
      <c r="AG529" s="71"/>
      <c r="AH529" s="71"/>
      <c r="AI529" s="71"/>
      <c r="AJ529" s="71"/>
      <c r="AK529" s="71"/>
      <c r="AL529" s="71"/>
      <c r="AM529" s="71"/>
      <c r="AN529" s="68"/>
      <c r="AO529" s="68"/>
      <c r="AP529" s="70"/>
      <c r="AQ529" s="71"/>
      <c r="AR529" s="77"/>
      <c r="AS529" s="70"/>
      <c r="AT529" s="68"/>
      <c r="AU529" s="70"/>
      <c r="AV529" s="70"/>
      <c r="AW529" s="71"/>
      <c r="AX529" s="71"/>
      <c r="AY529" s="70"/>
      <c r="AZ529" s="76"/>
      <c r="BA529" s="76"/>
      <c r="BB529" s="76"/>
      <c r="BC529" s="78"/>
    </row>
    <row r="530" spans="1:55" x14ac:dyDescent="0.25">
      <c r="A530" s="68"/>
      <c r="B530" s="68"/>
      <c r="C530" s="68"/>
      <c r="D530" s="70"/>
      <c r="E530" s="70"/>
      <c r="F530" s="70"/>
      <c r="G530" s="72"/>
      <c r="H530" s="74"/>
      <c r="I530" s="74"/>
      <c r="J530" s="75"/>
      <c r="K530" s="81"/>
      <c r="L530" s="76"/>
      <c r="M530" s="76"/>
      <c r="N530" s="76"/>
      <c r="O530" s="71"/>
      <c r="P530" s="70"/>
      <c r="Q530" s="71"/>
      <c r="R530" s="71"/>
      <c r="S530" s="70"/>
      <c r="T530" s="71"/>
      <c r="U530" s="71"/>
      <c r="V530" s="75"/>
      <c r="W530" s="69"/>
      <c r="X530" s="69"/>
      <c r="Y530" s="69"/>
      <c r="Z530" s="69"/>
      <c r="AA530" s="69"/>
      <c r="AB530" s="69"/>
      <c r="AC530" s="69"/>
      <c r="AD530" s="69"/>
      <c r="AE530" s="76"/>
      <c r="AF530" s="71"/>
      <c r="AG530" s="71"/>
      <c r="AH530" s="71"/>
      <c r="AI530" s="71"/>
      <c r="AJ530" s="71"/>
      <c r="AK530" s="71"/>
      <c r="AL530" s="71"/>
      <c r="AM530" s="71"/>
      <c r="AN530" s="68"/>
      <c r="AO530" s="68"/>
      <c r="AP530" s="70"/>
      <c r="AQ530" s="71"/>
      <c r="AR530" s="77"/>
      <c r="AS530" s="70"/>
      <c r="AT530" s="68"/>
      <c r="AU530" s="70"/>
      <c r="AV530" s="70"/>
      <c r="AW530" s="71"/>
      <c r="AX530" s="71"/>
      <c r="AY530" s="70"/>
      <c r="AZ530" s="76"/>
      <c r="BA530" s="76"/>
      <c r="BB530" s="76"/>
      <c r="BC530" s="78"/>
    </row>
    <row r="531" spans="1:55" x14ac:dyDescent="0.25">
      <c r="A531" s="68"/>
      <c r="B531" s="68"/>
      <c r="C531" s="68"/>
      <c r="D531" s="70"/>
      <c r="E531" s="70"/>
      <c r="F531" s="70"/>
      <c r="G531" s="72"/>
      <c r="H531" s="74"/>
      <c r="I531" s="74"/>
      <c r="J531" s="75"/>
      <c r="K531" s="81"/>
      <c r="L531" s="76"/>
      <c r="M531" s="76"/>
      <c r="N531" s="76"/>
      <c r="O531" s="71"/>
      <c r="P531" s="70"/>
      <c r="Q531" s="71"/>
      <c r="R531" s="71"/>
      <c r="S531" s="70"/>
      <c r="T531" s="71"/>
      <c r="U531" s="71"/>
      <c r="V531" s="75"/>
      <c r="W531" s="69"/>
      <c r="X531" s="69"/>
      <c r="Y531" s="69"/>
      <c r="Z531" s="69"/>
      <c r="AA531" s="69"/>
      <c r="AB531" s="69"/>
      <c r="AC531" s="69"/>
      <c r="AD531" s="69"/>
      <c r="AE531" s="76"/>
      <c r="AF531" s="71"/>
      <c r="AG531" s="71"/>
      <c r="AH531" s="71"/>
      <c r="AI531" s="71"/>
      <c r="AJ531" s="71"/>
      <c r="AK531" s="71"/>
      <c r="AL531" s="71"/>
      <c r="AM531" s="71"/>
      <c r="AN531" s="68"/>
      <c r="AO531" s="68"/>
      <c r="AP531" s="70"/>
      <c r="AQ531" s="71"/>
      <c r="AR531" s="77"/>
      <c r="AS531" s="70"/>
      <c r="AT531" s="68"/>
      <c r="AU531" s="70"/>
      <c r="AV531" s="70"/>
      <c r="AW531" s="71"/>
      <c r="AX531" s="71"/>
      <c r="AY531" s="70"/>
      <c r="AZ531" s="76"/>
      <c r="BA531" s="76"/>
      <c r="BB531" s="76"/>
      <c r="BC531" s="78"/>
    </row>
    <row r="532" spans="1:55" x14ac:dyDescent="0.25">
      <c r="A532" s="68"/>
      <c r="B532" s="68"/>
      <c r="C532" s="68"/>
      <c r="D532" s="70"/>
      <c r="E532" s="70"/>
      <c r="F532" s="70"/>
      <c r="G532" s="72"/>
      <c r="H532" s="74"/>
      <c r="I532" s="74"/>
      <c r="J532" s="75"/>
      <c r="K532" s="81"/>
      <c r="L532" s="76"/>
      <c r="M532" s="76"/>
      <c r="N532" s="76"/>
      <c r="O532" s="71"/>
      <c r="P532" s="70"/>
      <c r="Q532" s="71"/>
      <c r="R532" s="71"/>
      <c r="S532" s="70"/>
      <c r="T532" s="71"/>
      <c r="U532" s="71"/>
      <c r="V532" s="75"/>
      <c r="W532" s="69"/>
      <c r="X532" s="69"/>
      <c r="Y532" s="69"/>
      <c r="Z532" s="69"/>
      <c r="AA532" s="69"/>
      <c r="AB532" s="69"/>
      <c r="AC532" s="69"/>
      <c r="AD532" s="69"/>
      <c r="AE532" s="76"/>
      <c r="AF532" s="71"/>
      <c r="AG532" s="71"/>
      <c r="AH532" s="71"/>
      <c r="AI532" s="71"/>
      <c r="AJ532" s="71"/>
      <c r="AK532" s="71"/>
      <c r="AL532" s="71"/>
      <c r="AM532" s="71"/>
      <c r="AN532" s="68"/>
      <c r="AO532" s="68"/>
      <c r="AP532" s="70"/>
      <c r="AQ532" s="71"/>
      <c r="AR532" s="77"/>
      <c r="AS532" s="70"/>
      <c r="AT532" s="68"/>
      <c r="AU532" s="70"/>
      <c r="AV532" s="70"/>
      <c r="AW532" s="71"/>
      <c r="AX532" s="71"/>
      <c r="AY532" s="70"/>
      <c r="AZ532" s="76"/>
      <c r="BA532" s="76"/>
      <c r="BB532" s="76"/>
      <c r="BC532" s="78"/>
    </row>
    <row r="533" spans="1:55" x14ac:dyDescent="0.25">
      <c r="A533" s="68"/>
      <c r="B533" s="68"/>
      <c r="C533" s="68"/>
      <c r="D533" s="70"/>
      <c r="E533" s="70"/>
      <c r="F533" s="70"/>
      <c r="G533" s="72"/>
      <c r="H533" s="74"/>
      <c r="I533" s="74"/>
      <c r="J533" s="75"/>
      <c r="K533" s="81"/>
      <c r="L533" s="76"/>
      <c r="M533" s="76"/>
      <c r="N533" s="76"/>
      <c r="O533" s="71"/>
      <c r="P533" s="70"/>
      <c r="Q533" s="71"/>
      <c r="R533" s="71"/>
      <c r="S533" s="70"/>
      <c r="T533" s="71"/>
      <c r="U533" s="71"/>
      <c r="V533" s="75"/>
      <c r="W533" s="69"/>
      <c r="X533" s="69"/>
      <c r="Y533" s="69"/>
      <c r="Z533" s="69"/>
      <c r="AA533" s="69"/>
      <c r="AB533" s="69"/>
      <c r="AC533" s="69"/>
      <c r="AD533" s="69"/>
      <c r="AE533" s="76"/>
      <c r="AF533" s="71"/>
      <c r="AG533" s="71"/>
      <c r="AH533" s="71"/>
      <c r="AI533" s="71"/>
      <c r="AJ533" s="71"/>
      <c r="AK533" s="71"/>
      <c r="AL533" s="71"/>
      <c r="AM533" s="71"/>
      <c r="AN533" s="68"/>
      <c r="AO533" s="68"/>
      <c r="AP533" s="70"/>
      <c r="AQ533" s="71"/>
      <c r="AR533" s="77"/>
      <c r="AS533" s="70"/>
      <c r="AT533" s="68"/>
      <c r="AU533" s="70"/>
      <c r="AV533" s="70"/>
      <c r="AW533" s="71"/>
      <c r="AX533" s="71"/>
      <c r="AY533" s="70"/>
      <c r="AZ533" s="76"/>
      <c r="BA533" s="76"/>
      <c r="BB533" s="76"/>
      <c r="BC533" s="78"/>
    </row>
    <row r="534" spans="1:55" x14ac:dyDescent="0.25">
      <c r="A534" s="68"/>
      <c r="B534" s="68"/>
      <c r="C534" s="68"/>
      <c r="D534" s="70"/>
      <c r="E534" s="70"/>
      <c r="F534" s="70"/>
      <c r="G534" s="72"/>
      <c r="H534" s="74"/>
      <c r="I534" s="74"/>
      <c r="J534" s="75"/>
      <c r="K534" s="81"/>
      <c r="L534" s="76"/>
      <c r="M534" s="76"/>
      <c r="N534" s="76"/>
      <c r="O534" s="71"/>
      <c r="P534" s="70"/>
      <c r="Q534" s="71"/>
      <c r="R534" s="71"/>
      <c r="S534" s="70"/>
      <c r="T534" s="71"/>
      <c r="U534" s="71"/>
      <c r="V534" s="75"/>
      <c r="W534" s="69"/>
      <c r="X534" s="69"/>
      <c r="Y534" s="69"/>
      <c r="Z534" s="69"/>
      <c r="AA534" s="69"/>
      <c r="AB534" s="69"/>
      <c r="AC534" s="69"/>
      <c r="AD534" s="69"/>
      <c r="AE534" s="76"/>
      <c r="AF534" s="71"/>
      <c r="AG534" s="71"/>
      <c r="AH534" s="71"/>
      <c r="AI534" s="71"/>
      <c r="AJ534" s="71"/>
      <c r="AK534" s="71"/>
      <c r="AL534" s="71"/>
      <c r="AM534" s="71"/>
      <c r="AN534" s="68"/>
      <c r="AO534" s="68"/>
      <c r="AP534" s="70"/>
      <c r="AQ534" s="71"/>
      <c r="AR534" s="77"/>
      <c r="AS534" s="70"/>
      <c r="AT534" s="68"/>
      <c r="AU534" s="70"/>
      <c r="AV534" s="70"/>
      <c r="AW534" s="71"/>
      <c r="AX534" s="71"/>
      <c r="AY534" s="70"/>
      <c r="AZ534" s="76"/>
      <c r="BA534" s="76"/>
      <c r="BB534" s="76"/>
      <c r="BC534" s="78"/>
    </row>
    <row r="535" spans="1:55" x14ac:dyDescent="0.25">
      <c r="A535" s="68"/>
      <c r="B535" s="68"/>
      <c r="C535" s="68"/>
      <c r="D535" s="70"/>
      <c r="E535" s="70"/>
      <c r="F535" s="70"/>
      <c r="G535" s="72"/>
      <c r="H535" s="74"/>
      <c r="I535" s="74"/>
      <c r="J535" s="75"/>
      <c r="K535" s="81"/>
      <c r="L535" s="76"/>
      <c r="M535" s="76"/>
      <c r="N535" s="76"/>
      <c r="O535" s="71"/>
      <c r="P535" s="70"/>
      <c r="Q535" s="71"/>
      <c r="R535" s="71"/>
      <c r="S535" s="70"/>
      <c r="T535" s="71"/>
      <c r="U535" s="71"/>
      <c r="V535" s="75"/>
      <c r="W535" s="69"/>
      <c r="X535" s="69"/>
      <c r="Y535" s="69"/>
      <c r="Z535" s="69"/>
      <c r="AA535" s="69"/>
      <c r="AB535" s="69"/>
      <c r="AC535" s="69"/>
      <c r="AD535" s="69"/>
      <c r="AE535" s="76"/>
      <c r="AF535" s="71"/>
      <c r="AG535" s="71"/>
      <c r="AH535" s="71"/>
      <c r="AI535" s="71"/>
      <c r="AJ535" s="71"/>
      <c r="AK535" s="71"/>
      <c r="AL535" s="71"/>
      <c r="AM535" s="71"/>
      <c r="AN535" s="68"/>
      <c r="AO535" s="68"/>
      <c r="AP535" s="70"/>
      <c r="AQ535" s="71"/>
      <c r="AR535" s="77"/>
      <c r="AS535" s="70"/>
      <c r="AT535" s="68"/>
      <c r="AU535" s="70"/>
      <c r="AV535" s="70"/>
      <c r="AW535" s="71"/>
      <c r="AX535" s="71"/>
      <c r="AY535" s="70"/>
      <c r="AZ535" s="76"/>
      <c r="BA535" s="76"/>
      <c r="BB535" s="76"/>
      <c r="BC535" s="78"/>
    </row>
    <row r="536" spans="1:55" x14ac:dyDescent="0.25">
      <c r="A536" s="68"/>
      <c r="B536" s="68"/>
      <c r="C536" s="68"/>
      <c r="D536" s="70"/>
      <c r="E536" s="70"/>
      <c r="F536" s="70"/>
      <c r="G536" s="72"/>
      <c r="H536" s="74"/>
      <c r="I536" s="74"/>
      <c r="J536" s="75"/>
      <c r="K536" s="81"/>
      <c r="L536" s="76"/>
      <c r="M536" s="76"/>
      <c r="N536" s="76"/>
      <c r="O536" s="71"/>
      <c r="P536" s="70"/>
      <c r="Q536" s="71"/>
      <c r="R536" s="71"/>
      <c r="S536" s="70"/>
      <c r="T536" s="71"/>
      <c r="U536" s="71"/>
      <c r="V536" s="75"/>
      <c r="W536" s="69"/>
      <c r="X536" s="69"/>
      <c r="Y536" s="69"/>
      <c r="Z536" s="69"/>
      <c r="AA536" s="69"/>
      <c r="AB536" s="69"/>
      <c r="AC536" s="69"/>
      <c r="AD536" s="69"/>
      <c r="AE536" s="76"/>
      <c r="AF536" s="71"/>
      <c r="AG536" s="71"/>
      <c r="AH536" s="71"/>
      <c r="AI536" s="71"/>
      <c r="AJ536" s="71"/>
      <c r="AK536" s="71"/>
      <c r="AL536" s="71"/>
      <c r="AM536" s="71"/>
      <c r="AN536" s="68"/>
      <c r="AO536" s="68"/>
      <c r="AP536" s="70"/>
      <c r="AQ536" s="71"/>
      <c r="AR536" s="77"/>
      <c r="AS536" s="70"/>
      <c r="AT536" s="68"/>
      <c r="AU536" s="70"/>
      <c r="AV536" s="70"/>
      <c r="AW536" s="71"/>
      <c r="AX536" s="71"/>
      <c r="AY536" s="70"/>
      <c r="AZ536" s="76"/>
      <c r="BA536" s="76"/>
      <c r="BB536" s="76"/>
      <c r="BC536" s="78"/>
    </row>
    <row r="537" spans="1:55" x14ac:dyDescent="0.25">
      <c r="A537" s="68"/>
      <c r="B537" s="68"/>
      <c r="C537" s="68"/>
      <c r="D537" s="70"/>
      <c r="E537" s="70"/>
      <c r="F537" s="70"/>
      <c r="G537" s="72"/>
      <c r="H537" s="74"/>
      <c r="I537" s="74"/>
      <c r="J537" s="75"/>
      <c r="K537" s="81"/>
      <c r="L537" s="76"/>
      <c r="M537" s="76"/>
      <c r="N537" s="76"/>
      <c r="O537" s="71"/>
      <c r="P537" s="70"/>
      <c r="Q537" s="71"/>
      <c r="R537" s="71"/>
      <c r="S537" s="70"/>
      <c r="T537" s="71"/>
      <c r="U537" s="71"/>
      <c r="V537" s="75"/>
      <c r="W537" s="69"/>
      <c r="X537" s="69"/>
      <c r="Y537" s="69"/>
      <c r="Z537" s="69"/>
      <c r="AA537" s="69"/>
      <c r="AB537" s="69"/>
      <c r="AC537" s="69"/>
      <c r="AD537" s="69"/>
      <c r="AE537" s="76"/>
      <c r="AF537" s="71"/>
      <c r="AG537" s="71"/>
      <c r="AH537" s="71"/>
      <c r="AI537" s="71"/>
      <c r="AJ537" s="71"/>
      <c r="AK537" s="71"/>
      <c r="AL537" s="71"/>
      <c r="AM537" s="71"/>
      <c r="AN537" s="68"/>
      <c r="AO537" s="68"/>
      <c r="AP537" s="70"/>
      <c r="AQ537" s="71"/>
      <c r="AR537" s="77"/>
      <c r="AS537" s="70"/>
      <c r="AT537" s="68"/>
      <c r="AU537" s="70"/>
      <c r="AV537" s="70"/>
      <c r="AW537" s="71"/>
      <c r="AX537" s="71"/>
      <c r="AY537" s="70"/>
      <c r="AZ537" s="76"/>
      <c r="BA537" s="76"/>
      <c r="BB537" s="76"/>
      <c r="BC537" s="78"/>
    </row>
    <row r="538" spans="1:55" x14ac:dyDescent="0.25">
      <c r="A538" s="68"/>
      <c r="B538" s="68"/>
      <c r="C538" s="68"/>
      <c r="D538" s="70"/>
      <c r="E538" s="70"/>
      <c r="F538" s="70"/>
      <c r="G538" s="72"/>
      <c r="H538" s="74"/>
      <c r="I538" s="74"/>
      <c r="J538" s="75"/>
      <c r="K538" s="81"/>
      <c r="L538" s="76"/>
      <c r="M538" s="76"/>
      <c r="N538" s="76"/>
      <c r="O538" s="71"/>
      <c r="P538" s="70"/>
      <c r="Q538" s="71"/>
      <c r="R538" s="71"/>
      <c r="S538" s="70"/>
      <c r="T538" s="71"/>
      <c r="U538" s="71"/>
      <c r="V538" s="75"/>
      <c r="W538" s="69"/>
      <c r="X538" s="69"/>
      <c r="Y538" s="69"/>
      <c r="Z538" s="69"/>
      <c r="AA538" s="69"/>
      <c r="AB538" s="69"/>
      <c r="AC538" s="69"/>
      <c r="AD538" s="69"/>
      <c r="AE538" s="76"/>
      <c r="AF538" s="71"/>
      <c r="AG538" s="71"/>
      <c r="AH538" s="71"/>
      <c r="AI538" s="71"/>
      <c r="AJ538" s="71"/>
      <c r="AK538" s="71"/>
      <c r="AL538" s="71"/>
      <c r="AM538" s="71"/>
      <c r="AN538" s="68"/>
      <c r="AO538" s="68"/>
      <c r="AP538" s="70"/>
      <c r="AQ538" s="71"/>
      <c r="AR538" s="77"/>
      <c r="AS538" s="70"/>
      <c r="AT538" s="68"/>
      <c r="AU538" s="70"/>
      <c r="AV538" s="70"/>
      <c r="AW538" s="71"/>
      <c r="AX538" s="71"/>
      <c r="AY538" s="70"/>
      <c r="AZ538" s="76"/>
      <c r="BA538" s="76"/>
      <c r="BB538" s="76"/>
      <c r="BC538" s="78"/>
    </row>
    <row r="539" spans="1:55" x14ac:dyDescent="0.25">
      <c r="A539" s="68"/>
      <c r="B539" s="68"/>
      <c r="C539" s="68"/>
      <c r="D539" s="70"/>
      <c r="E539" s="70"/>
      <c r="F539" s="70"/>
      <c r="G539" s="72"/>
      <c r="H539" s="74"/>
      <c r="I539" s="74"/>
      <c r="J539" s="75"/>
      <c r="K539" s="81"/>
      <c r="L539" s="76"/>
      <c r="M539" s="76"/>
      <c r="N539" s="76"/>
      <c r="O539" s="71"/>
      <c r="P539" s="70"/>
      <c r="Q539" s="71"/>
      <c r="R539" s="71"/>
      <c r="S539" s="70"/>
      <c r="T539" s="71"/>
      <c r="U539" s="71"/>
      <c r="V539" s="75"/>
      <c r="W539" s="69"/>
      <c r="X539" s="69"/>
      <c r="Y539" s="69"/>
      <c r="Z539" s="69"/>
      <c r="AA539" s="69"/>
      <c r="AB539" s="69"/>
      <c r="AC539" s="69"/>
      <c r="AD539" s="69"/>
      <c r="AE539" s="76"/>
      <c r="AF539" s="71"/>
      <c r="AG539" s="71"/>
      <c r="AH539" s="71"/>
      <c r="AI539" s="71"/>
      <c r="AJ539" s="71"/>
      <c r="AK539" s="71"/>
      <c r="AL539" s="71"/>
      <c r="AM539" s="71"/>
      <c r="AN539" s="68"/>
      <c r="AO539" s="68"/>
      <c r="AP539" s="70"/>
      <c r="AQ539" s="71"/>
      <c r="AR539" s="77"/>
      <c r="AS539" s="70"/>
      <c r="AT539" s="68"/>
      <c r="AU539" s="70"/>
      <c r="AV539" s="70"/>
      <c r="AW539" s="71"/>
      <c r="AX539" s="71"/>
      <c r="AY539" s="70"/>
      <c r="AZ539" s="76"/>
      <c r="BA539" s="76"/>
      <c r="BB539" s="76"/>
      <c r="BC539" s="78"/>
    </row>
    <row r="540" spans="1:55" x14ac:dyDescent="0.25">
      <c r="A540" s="68"/>
      <c r="B540" s="68"/>
      <c r="C540" s="68"/>
      <c r="D540" s="70"/>
      <c r="E540" s="70"/>
      <c r="F540" s="70"/>
      <c r="G540" s="72"/>
      <c r="H540" s="74"/>
      <c r="I540" s="74"/>
      <c r="J540" s="75"/>
      <c r="K540" s="81"/>
      <c r="L540" s="76"/>
      <c r="M540" s="76"/>
      <c r="N540" s="76"/>
      <c r="O540" s="71"/>
      <c r="P540" s="70"/>
      <c r="Q540" s="71"/>
      <c r="R540" s="71"/>
      <c r="S540" s="70"/>
      <c r="T540" s="71"/>
      <c r="U540" s="71"/>
      <c r="V540" s="75"/>
      <c r="W540" s="69"/>
      <c r="X540" s="69"/>
      <c r="Y540" s="69"/>
      <c r="Z540" s="69"/>
      <c r="AA540" s="69"/>
      <c r="AB540" s="69"/>
      <c r="AC540" s="69"/>
      <c r="AD540" s="69"/>
      <c r="AE540" s="76"/>
      <c r="AF540" s="71"/>
      <c r="AG540" s="71"/>
      <c r="AH540" s="71"/>
      <c r="AI540" s="71"/>
      <c r="AJ540" s="71"/>
      <c r="AK540" s="71"/>
      <c r="AL540" s="71"/>
      <c r="AM540" s="71"/>
      <c r="AN540" s="68"/>
      <c r="AO540" s="68"/>
      <c r="AP540" s="70"/>
      <c r="AQ540" s="71"/>
      <c r="AR540" s="77"/>
      <c r="AS540" s="70"/>
      <c r="AT540" s="68"/>
      <c r="AU540" s="70"/>
      <c r="AV540" s="70"/>
      <c r="AW540" s="71"/>
      <c r="AX540" s="71"/>
      <c r="AY540" s="70"/>
      <c r="AZ540" s="76"/>
      <c r="BA540" s="76"/>
      <c r="BB540" s="76"/>
      <c r="BC540" s="78"/>
    </row>
    <row r="541" spans="1:55" x14ac:dyDescent="0.25">
      <c r="A541" s="68"/>
      <c r="B541" s="68"/>
      <c r="C541" s="68"/>
      <c r="D541" s="70"/>
      <c r="E541" s="70"/>
      <c r="F541" s="70"/>
      <c r="G541" s="72"/>
      <c r="H541" s="74"/>
      <c r="I541" s="74"/>
      <c r="J541" s="75"/>
      <c r="K541" s="81"/>
      <c r="L541" s="76"/>
      <c r="M541" s="76"/>
      <c r="N541" s="76"/>
      <c r="O541" s="71"/>
      <c r="P541" s="70"/>
      <c r="Q541" s="71"/>
      <c r="R541" s="71"/>
      <c r="S541" s="70"/>
      <c r="T541" s="71"/>
      <c r="U541" s="71"/>
      <c r="V541" s="75"/>
      <c r="W541" s="69"/>
      <c r="X541" s="69"/>
      <c r="Y541" s="69"/>
      <c r="Z541" s="69"/>
      <c r="AA541" s="69"/>
      <c r="AB541" s="69"/>
      <c r="AC541" s="69"/>
      <c r="AD541" s="69"/>
      <c r="AE541" s="76"/>
      <c r="AF541" s="71"/>
      <c r="AG541" s="71"/>
      <c r="AH541" s="71"/>
      <c r="AI541" s="71"/>
      <c r="AJ541" s="71"/>
      <c r="AK541" s="71"/>
      <c r="AL541" s="71"/>
      <c r="AM541" s="71"/>
      <c r="AN541" s="68"/>
      <c r="AO541" s="68"/>
      <c r="AP541" s="70"/>
      <c r="AQ541" s="71"/>
      <c r="AR541" s="77"/>
      <c r="AS541" s="70"/>
      <c r="AT541" s="68"/>
      <c r="AU541" s="70"/>
      <c r="AV541" s="70"/>
      <c r="AW541" s="71"/>
      <c r="AX541" s="71"/>
      <c r="AY541" s="70"/>
      <c r="AZ541" s="76"/>
      <c r="BA541" s="76"/>
      <c r="BB541" s="76"/>
      <c r="BC541" s="78"/>
    </row>
    <row r="542" spans="1:55" x14ac:dyDescent="0.25">
      <c r="A542" s="68"/>
      <c r="B542" s="68"/>
      <c r="C542" s="68"/>
      <c r="D542" s="70"/>
      <c r="E542" s="70"/>
      <c r="F542" s="70"/>
      <c r="G542" s="72"/>
      <c r="H542" s="74"/>
      <c r="I542" s="74"/>
      <c r="J542" s="75"/>
      <c r="K542" s="81"/>
      <c r="L542" s="76"/>
      <c r="M542" s="76"/>
      <c r="N542" s="76"/>
      <c r="O542" s="71"/>
      <c r="P542" s="70"/>
      <c r="Q542" s="71"/>
      <c r="R542" s="71"/>
      <c r="S542" s="70"/>
      <c r="T542" s="71"/>
      <c r="U542" s="71"/>
      <c r="V542" s="75"/>
      <c r="W542" s="69"/>
      <c r="X542" s="69"/>
      <c r="Y542" s="69"/>
      <c r="Z542" s="69"/>
      <c r="AA542" s="69"/>
      <c r="AB542" s="69"/>
      <c r="AC542" s="69"/>
      <c r="AD542" s="69"/>
      <c r="AE542" s="76"/>
      <c r="AF542" s="71"/>
      <c r="AG542" s="71"/>
      <c r="AH542" s="71"/>
      <c r="AI542" s="71"/>
      <c r="AJ542" s="71"/>
      <c r="AK542" s="71"/>
      <c r="AL542" s="71"/>
      <c r="AM542" s="71"/>
      <c r="AN542" s="68"/>
      <c r="AO542" s="68"/>
      <c r="AP542" s="70"/>
      <c r="AQ542" s="71"/>
      <c r="AR542" s="77"/>
      <c r="AS542" s="70"/>
      <c r="AT542" s="68"/>
      <c r="AU542" s="70"/>
      <c r="AV542" s="70"/>
      <c r="AW542" s="71"/>
      <c r="AX542" s="71"/>
      <c r="AY542" s="70"/>
      <c r="AZ542" s="76"/>
      <c r="BA542" s="76"/>
      <c r="BB542" s="76"/>
      <c r="BC542" s="78"/>
    </row>
    <row r="543" spans="1:55" x14ac:dyDescent="0.25">
      <c r="A543" s="68"/>
      <c r="B543" s="68"/>
      <c r="C543" s="68"/>
      <c r="D543" s="70"/>
      <c r="E543" s="70"/>
      <c r="F543" s="70"/>
      <c r="G543" s="72"/>
      <c r="H543" s="74"/>
      <c r="I543" s="74"/>
      <c r="J543" s="75"/>
      <c r="K543" s="81"/>
      <c r="L543" s="76"/>
      <c r="M543" s="76"/>
      <c r="N543" s="76"/>
      <c r="O543" s="71"/>
      <c r="P543" s="70"/>
      <c r="Q543" s="71"/>
      <c r="R543" s="71"/>
      <c r="S543" s="70"/>
      <c r="T543" s="71"/>
      <c r="U543" s="71"/>
      <c r="V543" s="75"/>
      <c r="W543" s="69"/>
      <c r="X543" s="69"/>
      <c r="Y543" s="69"/>
      <c r="Z543" s="69"/>
      <c r="AA543" s="69"/>
      <c r="AB543" s="69"/>
      <c r="AC543" s="69"/>
      <c r="AD543" s="69"/>
      <c r="AE543" s="76"/>
      <c r="AF543" s="71"/>
      <c r="AG543" s="71"/>
      <c r="AH543" s="71"/>
      <c r="AI543" s="71"/>
      <c r="AJ543" s="71"/>
      <c r="AK543" s="71"/>
      <c r="AL543" s="71"/>
      <c r="AM543" s="71"/>
      <c r="AN543" s="68"/>
      <c r="AO543" s="68"/>
      <c r="AP543" s="70"/>
      <c r="AQ543" s="71"/>
      <c r="AR543" s="77"/>
      <c r="AS543" s="70"/>
      <c r="AT543" s="68"/>
      <c r="AU543" s="70"/>
      <c r="AV543" s="70"/>
      <c r="AW543" s="71"/>
      <c r="AX543" s="71"/>
      <c r="AY543" s="70"/>
      <c r="AZ543" s="76"/>
      <c r="BA543" s="76"/>
      <c r="BB543" s="76"/>
      <c r="BC543" s="78"/>
    </row>
    <row r="544" spans="1:55" x14ac:dyDescent="0.25">
      <c r="A544" s="68"/>
      <c r="B544" s="68"/>
      <c r="C544" s="68"/>
      <c r="D544" s="70"/>
      <c r="E544" s="70"/>
      <c r="F544" s="70"/>
      <c r="G544" s="72"/>
      <c r="H544" s="74"/>
      <c r="I544" s="74"/>
      <c r="J544" s="75"/>
      <c r="K544" s="81"/>
      <c r="L544" s="76"/>
      <c r="M544" s="76"/>
      <c r="N544" s="76"/>
      <c r="O544" s="71"/>
      <c r="P544" s="70"/>
      <c r="Q544" s="71"/>
      <c r="R544" s="71"/>
      <c r="S544" s="70"/>
      <c r="T544" s="71"/>
      <c r="U544" s="71"/>
      <c r="V544" s="75"/>
      <c r="W544" s="69"/>
      <c r="X544" s="69"/>
      <c r="Y544" s="69"/>
      <c r="Z544" s="69"/>
      <c r="AA544" s="69"/>
      <c r="AB544" s="69"/>
      <c r="AC544" s="69"/>
      <c r="AD544" s="69"/>
      <c r="AE544" s="76"/>
      <c r="AF544" s="71"/>
      <c r="AG544" s="71"/>
      <c r="AH544" s="71"/>
      <c r="AI544" s="71"/>
      <c r="AJ544" s="71"/>
      <c r="AK544" s="71"/>
      <c r="AL544" s="71"/>
      <c r="AM544" s="71"/>
      <c r="AN544" s="68"/>
      <c r="AO544" s="68"/>
      <c r="AP544" s="70"/>
      <c r="AQ544" s="71"/>
      <c r="AR544" s="77"/>
      <c r="AS544" s="70"/>
      <c r="AT544" s="68"/>
      <c r="AU544" s="70"/>
      <c r="AV544" s="70"/>
      <c r="AW544" s="71"/>
      <c r="AX544" s="71"/>
      <c r="AY544" s="70"/>
      <c r="AZ544" s="76"/>
      <c r="BA544" s="76"/>
      <c r="BB544" s="76"/>
      <c r="BC544" s="78"/>
    </row>
    <row r="545" spans="1:55" x14ac:dyDescent="0.25">
      <c r="A545" s="68"/>
      <c r="B545" s="68"/>
      <c r="C545" s="68"/>
      <c r="D545" s="70"/>
      <c r="E545" s="70"/>
      <c r="F545" s="70"/>
      <c r="G545" s="72"/>
      <c r="H545" s="74"/>
      <c r="I545" s="74"/>
      <c r="J545" s="75"/>
      <c r="K545" s="81"/>
      <c r="L545" s="76"/>
      <c r="M545" s="76"/>
      <c r="N545" s="76"/>
      <c r="O545" s="71"/>
      <c r="P545" s="70"/>
      <c r="Q545" s="71"/>
      <c r="R545" s="71"/>
      <c r="S545" s="70"/>
      <c r="T545" s="71"/>
      <c r="U545" s="71"/>
      <c r="V545" s="75"/>
      <c r="W545" s="69"/>
      <c r="X545" s="69"/>
      <c r="Y545" s="69"/>
      <c r="Z545" s="69"/>
      <c r="AA545" s="69"/>
      <c r="AB545" s="69"/>
      <c r="AC545" s="69"/>
      <c r="AD545" s="69"/>
      <c r="AE545" s="76"/>
      <c r="AF545" s="71"/>
      <c r="AG545" s="71"/>
      <c r="AH545" s="71"/>
      <c r="AI545" s="71"/>
      <c r="AJ545" s="71"/>
      <c r="AK545" s="71"/>
      <c r="AL545" s="71"/>
      <c r="AM545" s="71"/>
      <c r="AN545" s="68"/>
      <c r="AO545" s="68"/>
      <c r="AP545" s="70"/>
      <c r="AQ545" s="71"/>
      <c r="AR545" s="77"/>
      <c r="AS545" s="70"/>
      <c r="AT545" s="68"/>
      <c r="AU545" s="70"/>
      <c r="AV545" s="70"/>
      <c r="AW545" s="71"/>
      <c r="AX545" s="71"/>
      <c r="AY545" s="70"/>
      <c r="AZ545" s="76"/>
      <c r="BA545" s="76"/>
      <c r="BB545" s="76"/>
      <c r="BC545" s="78"/>
    </row>
    <row r="546" spans="1:55" x14ac:dyDescent="0.25">
      <c r="A546" s="68"/>
      <c r="B546" s="68"/>
      <c r="C546" s="68"/>
      <c r="D546" s="70"/>
      <c r="E546" s="70"/>
      <c r="F546" s="70"/>
      <c r="G546" s="72"/>
      <c r="H546" s="74"/>
      <c r="I546" s="74"/>
      <c r="J546" s="75"/>
      <c r="K546" s="81"/>
      <c r="L546" s="76"/>
      <c r="M546" s="76"/>
      <c r="N546" s="76"/>
      <c r="O546" s="71"/>
      <c r="P546" s="70"/>
      <c r="Q546" s="71"/>
      <c r="R546" s="71"/>
      <c r="S546" s="70"/>
      <c r="T546" s="71"/>
      <c r="U546" s="71"/>
      <c r="V546" s="75"/>
      <c r="W546" s="69"/>
      <c r="X546" s="69"/>
      <c r="Y546" s="69"/>
      <c r="Z546" s="69"/>
      <c r="AA546" s="69"/>
      <c r="AB546" s="69"/>
      <c r="AC546" s="69"/>
      <c r="AD546" s="69"/>
      <c r="AE546" s="76"/>
      <c r="AF546" s="71"/>
      <c r="AG546" s="71"/>
      <c r="AH546" s="71"/>
      <c r="AI546" s="71"/>
      <c r="AJ546" s="71"/>
      <c r="AK546" s="71"/>
      <c r="AL546" s="71"/>
      <c r="AM546" s="71"/>
      <c r="AN546" s="68"/>
      <c r="AO546" s="68"/>
      <c r="AP546" s="70"/>
      <c r="AQ546" s="71"/>
      <c r="AR546" s="77"/>
      <c r="AS546" s="70"/>
      <c r="AT546" s="68"/>
      <c r="AU546" s="70"/>
      <c r="AV546" s="70"/>
      <c r="AW546" s="71"/>
      <c r="AX546" s="71"/>
      <c r="AY546" s="70"/>
      <c r="AZ546" s="76"/>
      <c r="BA546" s="76"/>
      <c r="BB546" s="76"/>
      <c r="BC546" s="78"/>
    </row>
    <row r="547" spans="1:55" x14ac:dyDescent="0.25">
      <c r="A547" s="68"/>
      <c r="B547" s="68"/>
      <c r="C547" s="68"/>
      <c r="D547" s="70"/>
      <c r="E547" s="70"/>
      <c r="F547" s="70"/>
      <c r="G547" s="72"/>
      <c r="H547" s="74"/>
      <c r="I547" s="74"/>
      <c r="J547" s="75"/>
      <c r="K547" s="81"/>
      <c r="L547" s="76"/>
      <c r="M547" s="76"/>
      <c r="N547" s="76"/>
      <c r="O547" s="71"/>
      <c r="P547" s="70"/>
      <c r="Q547" s="71"/>
      <c r="R547" s="71"/>
      <c r="S547" s="70"/>
      <c r="T547" s="71"/>
      <c r="U547" s="71"/>
      <c r="V547" s="75"/>
      <c r="W547" s="69"/>
      <c r="X547" s="69"/>
      <c r="Y547" s="69"/>
      <c r="Z547" s="69"/>
      <c r="AA547" s="69"/>
      <c r="AB547" s="69"/>
      <c r="AC547" s="69"/>
      <c r="AD547" s="69"/>
      <c r="AE547" s="76"/>
      <c r="AF547" s="71"/>
      <c r="AG547" s="71"/>
      <c r="AH547" s="71"/>
      <c r="AI547" s="71"/>
      <c r="AJ547" s="71"/>
      <c r="AK547" s="71"/>
      <c r="AL547" s="71"/>
      <c r="AM547" s="71"/>
      <c r="AN547" s="68"/>
      <c r="AO547" s="68"/>
      <c r="AP547" s="70"/>
      <c r="AQ547" s="71"/>
      <c r="AR547" s="77"/>
      <c r="AS547" s="70"/>
      <c r="AT547" s="68"/>
      <c r="AU547" s="70"/>
      <c r="AV547" s="70"/>
      <c r="AW547" s="71"/>
      <c r="AX547" s="71"/>
      <c r="AY547" s="70"/>
      <c r="AZ547" s="76"/>
      <c r="BA547" s="76"/>
      <c r="BB547" s="76"/>
      <c r="BC547" s="78"/>
    </row>
    <row r="548" spans="1:55" x14ac:dyDescent="0.25">
      <c r="A548" s="68"/>
      <c r="B548" s="68"/>
      <c r="C548" s="68"/>
      <c r="D548" s="70"/>
      <c r="E548" s="70"/>
      <c r="F548" s="70"/>
      <c r="G548" s="72"/>
      <c r="H548" s="74"/>
      <c r="I548" s="74"/>
      <c r="J548" s="75"/>
      <c r="K548" s="81"/>
      <c r="L548" s="76"/>
      <c r="M548" s="76"/>
      <c r="N548" s="76"/>
      <c r="O548" s="71"/>
      <c r="P548" s="70"/>
      <c r="Q548" s="71"/>
      <c r="R548" s="71"/>
      <c r="S548" s="70"/>
      <c r="T548" s="71"/>
      <c r="U548" s="71"/>
      <c r="V548" s="75"/>
      <c r="W548" s="69"/>
      <c r="X548" s="69"/>
      <c r="Y548" s="69"/>
      <c r="Z548" s="69"/>
      <c r="AA548" s="69"/>
      <c r="AB548" s="69"/>
      <c r="AC548" s="69"/>
      <c r="AD548" s="69"/>
      <c r="AE548" s="76"/>
      <c r="AF548" s="71"/>
      <c r="AG548" s="71"/>
      <c r="AH548" s="71"/>
      <c r="AI548" s="71"/>
      <c r="AJ548" s="71"/>
      <c r="AK548" s="71"/>
      <c r="AL548" s="71"/>
      <c r="AM548" s="71"/>
      <c r="AN548" s="68"/>
      <c r="AO548" s="68"/>
      <c r="AP548" s="70"/>
      <c r="AQ548" s="71"/>
      <c r="AR548" s="77"/>
      <c r="AS548" s="70"/>
      <c r="AT548" s="68"/>
      <c r="AU548" s="70"/>
      <c r="AV548" s="70"/>
      <c r="AW548" s="71"/>
      <c r="AX548" s="71"/>
      <c r="AY548" s="70"/>
      <c r="AZ548" s="76"/>
      <c r="BA548" s="76"/>
      <c r="BB548" s="76"/>
      <c r="BC548" s="78"/>
    </row>
    <row r="549" spans="1:55" x14ac:dyDescent="0.25">
      <c r="A549" s="68"/>
      <c r="B549" s="68"/>
      <c r="C549" s="68"/>
      <c r="D549" s="70"/>
      <c r="E549" s="70"/>
      <c r="F549" s="70"/>
      <c r="G549" s="72"/>
      <c r="H549" s="74"/>
      <c r="I549" s="74"/>
      <c r="J549" s="75"/>
      <c r="K549" s="81"/>
      <c r="L549" s="76"/>
      <c r="M549" s="76"/>
      <c r="N549" s="76"/>
      <c r="O549" s="71"/>
      <c r="P549" s="70"/>
      <c r="Q549" s="71"/>
      <c r="R549" s="71"/>
      <c r="S549" s="70"/>
      <c r="T549" s="71"/>
      <c r="U549" s="71"/>
      <c r="V549" s="75"/>
      <c r="W549" s="69"/>
      <c r="X549" s="69"/>
      <c r="Y549" s="69"/>
      <c r="Z549" s="69"/>
      <c r="AA549" s="69"/>
      <c r="AB549" s="69"/>
      <c r="AC549" s="69"/>
      <c r="AD549" s="69"/>
      <c r="AE549" s="76"/>
      <c r="AF549" s="71"/>
      <c r="AG549" s="71"/>
      <c r="AH549" s="71"/>
      <c r="AI549" s="71"/>
      <c r="AJ549" s="71"/>
      <c r="AK549" s="71"/>
      <c r="AL549" s="71"/>
      <c r="AM549" s="71"/>
      <c r="AN549" s="68"/>
      <c r="AO549" s="68"/>
      <c r="AP549" s="70"/>
      <c r="AQ549" s="71"/>
      <c r="AR549" s="77"/>
      <c r="AS549" s="70"/>
      <c r="AT549" s="68"/>
      <c r="AU549" s="70"/>
      <c r="AV549" s="70"/>
      <c r="AW549" s="71"/>
      <c r="AX549" s="71"/>
      <c r="AY549" s="70"/>
      <c r="AZ549" s="76"/>
      <c r="BA549" s="76"/>
      <c r="BB549" s="76"/>
      <c r="BC549" s="78"/>
    </row>
    <row r="550" spans="1:55" x14ac:dyDescent="0.25">
      <c r="A550" s="68"/>
      <c r="B550" s="68"/>
      <c r="C550" s="68"/>
      <c r="D550" s="70"/>
      <c r="E550" s="70"/>
      <c r="F550" s="70"/>
      <c r="G550" s="72"/>
      <c r="H550" s="74"/>
      <c r="I550" s="74"/>
      <c r="J550" s="75"/>
      <c r="K550" s="81"/>
      <c r="L550" s="76"/>
      <c r="M550" s="76"/>
      <c r="N550" s="76"/>
      <c r="O550" s="71"/>
      <c r="P550" s="70"/>
      <c r="Q550" s="71"/>
      <c r="R550" s="71"/>
      <c r="S550" s="70"/>
      <c r="T550" s="71"/>
      <c r="U550" s="71"/>
      <c r="V550" s="75"/>
      <c r="W550" s="69"/>
      <c r="X550" s="69"/>
      <c r="Y550" s="69"/>
      <c r="Z550" s="69"/>
      <c r="AA550" s="69"/>
      <c r="AB550" s="69"/>
      <c r="AC550" s="69"/>
      <c r="AD550" s="69"/>
      <c r="AE550" s="76"/>
      <c r="AF550" s="71"/>
      <c r="AG550" s="71"/>
      <c r="AH550" s="71"/>
      <c r="AI550" s="71"/>
      <c r="AJ550" s="71"/>
      <c r="AK550" s="71"/>
      <c r="AL550" s="71"/>
      <c r="AM550" s="71"/>
      <c r="AN550" s="68"/>
      <c r="AO550" s="68"/>
      <c r="AP550" s="70"/>
      <c r="AQ550" s="71"/>
      <c r="AR550" s="77"/>
      <c r="AS550" s="70"/>
      <c r="AT550" s="68"/>
      <c r="AU550" s="70"/>
      <c r="AV550" s="70"/>
      <c r="AW550" s="71"/>
      <c r="AX550" s="71"/>
      <c r="AY550" s="70"/>
      <c r="AZ550" s="76"/>
      <c r="BA550" s="76"/>
      <c r="BB550" s="76"/>
      <c r="BC550" s="78"/>
    </row>
    <row r="551" spans="1:55" x14ac:dyDescent="0.25">
      <c r="A551" s="68"/>
      <c r="B551" s="68"/>
      <c r="C551" s="68"/>
      <c r="D551" s="70"/>
      <c r="E551" s="70"/>
      <c r="F551" s="70"/>
      <c r="G551" s="72"/>
      <c r="H551" s="74"/>
      <c r="I551" s="74"/>
      <c r="J551" s="75"/>
      <c r="K551" s="81"/>
      <c r="L551" s="76"/>
      <c r="M551" s="76"/>
      <c r="N551" s="76"/>
      <c r="O551" s="71"/>
      <c r="P551" s="70"/>
      <c r="Q551" s="71"/>
      <c r="R551" s="71"/>
      <c r="S551" s="70"/>
      <c r="T551" s="71"/>
      <c r="U551" s="71"/>
      <c r="V551" s="75"/>
      <c r="W551" s="69"/>
      <c r="X551" s="69"/>
      <c r="Y551" s="69"/>
      <c r="Z551" s="69"/>
      <c r="AA551" s="69"/>
      <c r="AB551" s="69"/>
      <c r="AC551" s="69"/>
      <c r="AD551" s="69"/>
      <c r="AE551" s="76"/>
      <c r="AF551" s="71"/>
      <c r="AG551" s="71"/>
      <c r="AH551" s="71"/>
      <c r="AI551" s="71"/>
      <c r="AJ551" s="71"/>
      <c r="AK551" s="71"/>
      <c r="AL551" s="71"/>
      <c r="AM551" s="71"/>
      <c r="AN551" s="68"/>
      <c r="AO551" s="68"/>
      <c r="AP551" s="70"/>
      <c r="AQ551" s="71"/>
      <c r="AR551" s="77"/>
      <c r="AS551" s="70"/>
      <c r="AT551" s="68"/>
      <c r="AU551" s="70"/>
      <c r="AV551" s="70"/>
      <c r="AW551" s="71"/>
      <c r="AX551" s="71"/>
      <c r="AY551" s="70"/>
      <c r="AZ551" s="76"/>
      <c r="BA551" s="76"/>
      <c r="BB551" s="76"/>
      <c r="BC551" s="78"/>
    </row>
    <row r="552" spans="1:55" x14ac:dyDescent="0.25">
      <c r="A552" s="68"/>
      <c r="B552" s="68"/>
      <c r="C552" s="68"/>
      <c r="D552" s="70"/>
      <c r="E552" s="70"/>
      <c r="F552" s="70"/>
      <c r="G552" s="72"/>
      <c r="H552" s="74"/>
      <c r="I552" s="74"/>
      <c r="J552" s="75"/>
      <c r="K552" s="81"/>
      <c r="L552" s="76"/>
      <c r="M552" s="76"/>
      <c r="N552" s="76"/>
      <c r="O552" s="71"/>
      <c r="P552" s="70"/>
      <c r="Q552" s="71"/>
      <c r="R552" s="71"/>
      <c r="S552" s="70"/>
      <c r="T552" s="71"/>
      <c r="U552" s="71"/>
      <c r="V552" s="75"/>
      <c r="W552" s="69"/>
      <c r="X552" s="69"/>
      <c r="Y552" s="69"/>
      <c r="Z552" s="69"/>
      <c r="AA552" s="69"/>
      <c r="AB552" s="69"/>
      <c r="AC552" s="69"/>
      <c r="AD552" s="69"/>
      <c r="AE552" s="76"/>
      <c r="AF552" s="71"/>
      <c r="AG552" s="71"/>
      <c r="AH552" s="71"/>
      <c r="AI552" s="71"/>
      <c r="AJ552" s="71"/>
      <c r="AK552" s="71"/>
      <c r="AL552" s="71"/>
      <c r="AM552" s="71"/>
      <c r="AN552" s="68"/>
      <c r="AO552" s="68"/>
      <c r="AP552" s="70"/>
      <c r="AQ552" s="71"/>
      <c r="AR552" s="77"/>
      <c r="AS552" s="70"/>
      <c r="AT552" s="68"/>
      <c r="AU552" s="70"/>
      <c r="AV552" s="70"/>
      <c r="AW552" s="71"/>
      <c r="AX552" s="71"/>
      <c r="AY552" s="70"/>
      <c r="AZ552" s="76"/>
      <c r="BA552" s="76"/>
      <c r="BB552" s="76"/>
      <c r="BC552" s="78"/>
    </row>
    <row r="553" spans="1:55" x14ac:dyDescent="0.25">
      <c r="A553" s="68"/>
      <c r="B553" s="68"/>
      <c r="C553" s="68"/>
      <c r="D553" s="70"/>
      <c r="E553" s="70"/>
      <c r="F553" s="70"/>
      <c r="G553" s="72"/>
      <c r="H553" s="74"/>
      <c r="I553" s="74"/>
      <c r="J553" s="75"/>
      <c r="K553" s="81"/>
      <c r="L553" s="76"/>
      <c r="M553" s="76"/>
      <c r="N553" s="76"/>
      <c r="O553" s="71"/>
      <c r="P553" s="70"/>
      <c r="Q553" s="71"/>
      <c r="R553" s="71"/>
      <c r="S553" s="70"/>
      <c r="T553" s="71"/>
      <c r="U553" s="71"/>
      <c r="V553" s="75"/>
      <c r="W553" s="69"/>
      <c r="X553" s="69"/>
      <c r="Y553" s="69"/>
      <c r="Z553" s="69"/>
      <c r="AA553" s="69"/>
      <c r="AB553" s="69"/>
      <c r="AC553" s="69"/>
      <c r="AD553" s="69"/>
      <c r="AE553" s="76"/>
      <c r="AF553" s="71"/>
      <c r="AG553" s="71"/>
      <c r="AH553" s="71"/>
      <c r="AI553" s="71"/>
      <c r="AJ553" s="71"/>
      <c r="AK553" s="71"/>
      <c r="AL553" s="71"/>
      <c r="AM553" s="71"/>
      <c r="AN553" s="68"/>
      <c r="AO553" s="68"/>
      <c r="AP553" s="70"/>
      <c r="AQ553" s="71"/>
      <c r="AR553" s="77"/>
      <c r="AS553" s="70"/>
      <c r="AT553" s="68"/>
      <c r="AU553" s="70"/>
      <c r="AV553" s="70"/>
      <c r="AW553" s="71"/>
      <c r="AX553" s="71"/>
      <c r="AY553" s="70"/>
      <c r="AZ553" s="76"/>
      <c r="BA553" s="76"/>
      <c r="BB553" s="76"/>
      <c r="BC553" s="78"/>
    </row>
    <row r="554" spans="1:55" x14ac:dyDescent="0.25">
      <c r="A554" s="68"/>
      <c r="B554" s="68"/>
      <c r="C554" s="68"/>
      <c r="D554" s="70"/>
      <c r="E554" s="70"/>
      <c r="F554" s="70"/>
      <c r="G554" s="72"/>
      <c r="H554" s="74"/>
      <c r="I554" s="74"/>
      <c r="J554" s="75"/>
      <c r="K554" s="81"/>
      <c r="L554" s="76"/>
      <c r="M554" s="76"/>
      <c r="N554" s="76"/>
      <c r="O554" s="71"/>
      <c r="P554" s="70"/>
      <c r="Q554" s="71"/>
      <c r="R554" s="71"/>
      <c r="S554" s="70"/>
      <c r="T554" s="71"/>
      <c r="U554" s="71"/>
      <c r="V554" s="75"/>
      <c r="W554" s="69"/>
      <c r="X554" s="69"/>
      <c r="Y554" s="69"/>
      <c r="Z554" s="69"/>
      <c r="AA554" s="69"/>
      <c r="AB554" s="69"/>
      <c r="AC554" s="69"/>
      <c r="AD554" s="69"/>
      <c r="AE554" s="76"/>
      <c r="AF554" s="71"/>
      <c r="AG554" s="71"/>
      <c r="AH554" s="71"/>
      <c r="AI554" s="71"/>
      <c r="AJ554" s="71"/>
      <c r="AK554" s="71"/>
      <c r="AL554" s="71"/>
      <c r="AM554" s="71"/>
      <c r="AN554" s="68"/>
      <c r="AO554" s="68"/>
      <c r="AP554" s="70"/>
      <c r="AQ554" s="71"/>
      <c r="AR554" s="77"/>
      <c r="AS554" s="70"/>
      <c r="AT554" s="68"/>
      <c r="AU554" s="70"/>
      <c r="AV554" s="70"/>
      <c r="AW554" s="71"/>
      <c r="AX554" s="71"/>
      <c r="AY554" s="70"/>
      <c r="AZ554" s="76"/>
      <c r="BA554" s="76"/>
      <c r="BB554" s="76"/>
      <c r="BC554" s="78"/>
    </row>
    <row r="555" spans="1:55" x14ac:dyDescent="0.25">
      <c r="A555" s="68"/>
      <c r="B555" s="68"/>
      <c r="C555" s="68"/>
      <c r="D555" s="70"/>
      <c r="E555" s="70"/>
      <c r="F555" s="70"/>
      <c r="G555" s="72"/>
      <c r="H555" s="74"/>
      <c r="I555" s="74"/>
      <c r="J555" s="75"/>
      <c r="K555" s="81"/>
      <c r="L555" s="76"/>
      <c r="M555" s="76"/>
      <c r="N555" s="76"/>
      <c r="O555" s="71"/>
      <c r="P555" s="70"/>
      <c r="Q555" s="71"/>
      <c r="R555" s="71"/>
      <c r="S555" s="70"/>
      <c r="T555" s="71"/>
      <c r="U555" s="71"/>
      <c r="V555" s="75"/>
      <c r="W555" s="69"/>
      <c r="X555" s="69"/>
      <c r="Y555" s="69"/>
      <c r="Z555" s="69"/>
      <c r="AA555" s="69"/>
      <c r="AB555" s="69"/>
      <c r="AC555" s="69"/>
      <c r="AD555" s="69"/>
      <c r="AE555" s="76"/>
      <c r="AF555" s="71"/>
      <c r="AG555" s="71"/>
      <c r="AH555" s="71"/>
      <c r="AI555" s="71"/>
      <c r="AJ555" s="71"/>
      <c r="AK555" s="71"/>
      <c r="AL555" s="71"/>
      <c r="AM555" s="71"/>
      <c r="AN555" s="68"/>
      <c r="AO555" s="68"/>
      <c r="AP555" s="70"/>
      <c r="AQ555" s="71"/>
      <c r="AR555" s="77"/>
      <c r="AS555" s="70"/>
      <c r="AT555" s="68"/>
      <c r="AU555" s="70"/>
      <c r="AV555" s="70"/>
      <c r="AW555" s="71"/>
      <c r="AX555" s="71"/>
      <c r="AY555" s="70"/>
      <c r="AZ555" s="76"/>
      <c r="BA555" s="76"/>
      <c r="BB555" s="76"/>
      <c r="BC555" s="78"/>
    </row>
    <row r="556" spans="1:55" x14ac:dyDescent="0.25">
      <c r="A556" s="68"/>
      <c r="B556" s="68"/>
      <c r="C556" s="68"/>
      <c r="D556" s="70"/>
      <c r="E556" s="70"/>
      <c r="F556" s="70"/>
      <c r="G556" s="72"/>
      <c r="H556" s="74"/>
      <c r="I556" s="74"/>
      <c r="J556" s="75"/>
      <c r="K556" s="81"/>
      <c r="L556" s="76"/>
      <c r="M556" s="76"/>
      <c r="N556" s="76"/>
      <c r="O556" s="71"/>
      <c r="P556" s="70"/>
      <c r="Q556" s="71"/>
      <c r="R556" s="71"/>
      <c r="S556" s="70"/>
      <c r="T556" s="71"/>
      <c r="U556" s="71"/>
      <c r="V556" s="75"/>
      <c r="W556" s="69"/>
      <c r="X556" s="69"/>
      <c r="Y556" s="69"/>
      <c r="Z556" s="69"/>
      <c r="AA556" s="69"/>
      <c r="AB556" s="69"/>
      <c r="AC556" s="69"/>
      <c r="AD556" s="69"/>
      <c r="AE556" s="76"/>
      <c r="AF556" s="71"/>
      <c r="AG556" s="71"/>
      <c r="AH556" s="71"/>
      <c r="AI556" s="71"/>
      <c r="AJ556" s="71"/>
      <c r="AK556" s="71"/>
      <c r="AL556" s="71"/>
      <c r="AM556" s="71"/>
      <c r="AN556" s="68"/>
      <c r="AO556" s="68"/>
      <c r="AP556" s="70"/>
      <c r="AQ556" s="71"/>
      <c r="AR556" s="77"/>
      <c r="AS556" s="70"/>
      <c r="AT556" s="68"/>
      <c r="AU556" s="70"/>
      <c r="AV556" s="70"/>
      <c r="AW556" s="71"/>
      <c r="AX556" s="71"/>
      <c r="AY556" s="70"/>
      <c r="AZ556" s="76"/>
      <c r="BA556" s="76"/>
      <c r="BB556" s="76"/>
      <c r="BC556" s="78"/>
    </row>
    <row r="557" spans="1:55" x14ac:dyDescent="0.25">
      <c r="A557" s="68"/>
      <c r="B557" s="68"/>
      <c r="C557" s="68"/>
      <c r="D557" s="70"/>
      <c r="E557" s="70"/>
      <c r="F557" s="70"/>
      <c r="G557" s="72"/>
      <c r="H557" s="74"/>
      <c r="I557" s="74"/>
      <c r="J557" s="75"/>
      <c r="K557" s="81"/>
      <c r="L557" s="76"/>
      <c r="M557" s="76"/>
      <c r="N557" s="76"/>
      <c r="O557" s="71"/>
      <c r="P557" s="70"/>
      <c r="Q557" s="71"/>
      <c r="R557" s="71"/>
      <c r="S557" s="70"/>
      <c r="T557" s="71"/>
      <c r="U557" s="71"/>
      <c r="V557" s="75"/>
      <c r="W557" s="69"/>
      <c r="X557" s="69"/>
      <c r="Y557" s="69"/>
      <c r="Z557" s="69"/>
      <c r="AA557" s="69"/>
      <c r="AB557" s="69"/>
      <c r="AC557" s="69"/>
      <c r="AD557" s="69"/>
      <c r="AE557" s="76"/>
      <c r="AF557" s="71"/>
      <c r="AG557" s="71"/>
      <c r="AH557" s="71"/>
      <c r="AI557" s="71"/>
      <c r="AJ557" s="71"/>
      <c r="AK557" s="71"/>
      <c r="AL557" s="71"/>
      <c r="AM557" s="71"/>
      <c r="AN557" s="68"/>
      <c r="AO557" s="68"/>
      <c r="AP557" s="70"/>
      <c r="AQ557" s="71"/>
      <c r="AR557" s="77"/>
      <c r="AS557" s="70"/>
      <c r="AT557" s="68"/>
      <c r="AU557" s="70"/>
      <c r="AV557" s="70"/>
      <c r="AW557" s="71"/>
      <c r="AX557" s="71"/>
      <c r="AY557" s="70"/>
      <c r="AZ557" s="76"/>
      <c r="BA557" s="76"/>
      <c r="BB557" s="76"/>
      <c r="BC557" s="78"/>
    </row>
    <row r="558" spans="1:55" x14ac:dyDescent="0.25">
      <c r="A558" s="68"/>
      <c r="B558" s="68"/>
      <c r="C558" s="68"/>
      <c r="D558" s="70"/>
      <c r="E558" s="70"/>
      <c r="F558" s="70"/>
      <c r="G558" s="72"/>
      <c r="H558" s="74"/>
      <c r="I558" s="74"/>
      <c r="J558" s="75"/>
      <c r="K558" s="81"/>
      <c r="L558" s="76"/>
      <c r="M558" s="76"/>
      <c r="N558" s="76"/>
      <c r="O558" s="71"/>
      <c r="P558" s="70"/>
      <c r="Q558" s="71"/>
      <c r="R558" s="71"/>
      <c r="S558" s="70"/>
      <c r="T558" s="71"/>
      <c r="U558" s="71"/>
      <c r="V558" s="75"/>
      <c r="W558" s="69"/>
      <c r="X558" s="69"/>
      <c r="Y558" s="69"/>
      <c r="Z558" s="69"/>
      <c r="AA558" s="69"/>
      <c r="AB558" s="69"/>
      <c r="AC558" s="69"/>
      <c r="AD558" s="69"/>
      <c r="AE558" s="76"/>
      <c r="AF558" s="71"/>
      <c r="AG558" s="71"/>
      <c r="AH558" s="71"/>
      <c r="AI558" s="71"/>
      <c r="AJ558" s="71"/>
      <c r="AK558" s="71"/>
      <c r="AL558" s="71"/>
      <c r="AM558" s="71"/>
      <c r="AN558" s="68"/>
      <c r="AO558" s="68"/>
      <c r="AP558" s="70"/>
      <c r="AQ558" s="71"/>
      <c r="AR558" s="77"/>
      <c r="AS558" s="70"/>
      <c r="AT558" s="68"/>
      <c r="AU558" s="70"/>
      <c r="AV558" s="70"/>
      <c r="AW558" s="71"/>
      <c r="AX558" s="71"/>
      <c r="AY558" s="70"/>
      <c r="AZ558" s="76"/>
      <c r="BA558" s="76"/>
      <c r="BB558" s="76"/>
      <c r="BC558" s="78"/>
    </row>
    <row r="559" spans="1:55" x14ac:dyDescent="0.25">
      <c r="A559" s="68"/>
      <c r="B559" s="68"/>
      <c r="C559" s="68"/>
      <c r="D559" s="70"/>
      <c r="E559" s="70"/>
      <c r="F559" s="70"/>
      <c r="G559" s="72"/>
      <c r="H559" s="74"/>
      <c r="I559" s="74"/>
      <c r="J559" s="75"/>
      <c r="K559" s="81"/>
      <c r="L559" s="76"/>
      <c r="M559" s="76"/>
      <c r="N559" s="76"/>
      <c r="O559" s="71"/>
      <c r="P559" s="70"/>
      <c r="Q559" s="71"/>
      <c r="R559" s="71"/>
      <c r="S559" s="70"/>
      <c r="T559" s="71"/>
      <c r="U559" s="71"/>
      <c r="V559" s="75"/>
      <c r="W559" s="69"/>
      <c r="X559" s="69"/>
      <c r="Y559" s="69"/>
      <c r="Z559" s="69"/>
      <c r="AA559" s="69"/>
      <c r="AB559" s="69"/>
      <c r="AC559" s="69"/>
      <c r="AD559" s="69"/>
      <c r="AE559" s="76"/>
      <c r="AF559" s="71"/>
      <c r="AG559" s="71"/>
      <c r="AH559" s="71"/>
      <c r="AI559" s="71"/>
      <c r="AJ559" s="71"/>
      <c r="AK559" s="71"/>
      <c r="AL559" s="71"/>
      <c r="AM559" s="71"/>
      <c r="AN559" s="68"/>
      <c r="AO559" s="68"/>
      <c r="AP559" s="70"/>
      <c r="AQ559" s="71"/>
      <c r="AR559" s="77"/>
      <c r="AS559" s="70"/>
      <c r="AT559" s="68"/>
      <c r="AU559" s="70"/>
      <c r="AV559" s="70"/>
      <c r="AW559" s="71"/>
      <c r="AX559" s="71"/>
      <c r="AY559" s="70"/>
      <c r="AZ559" s="76"/>
      <c r="BA559" s="76"/>
      <c r="BB559" s="76"/>
      <c r="BC559" s="78"/>
    </row>
    <row r="560" spans="1:55" x14ac:dyDescent="0.25">
      <c r="A560" s="68"/>
      <c r="B560" s="68"/>
      <c r="C560" s="68"/>
      <c r="D560" s="70"/>
      <c r="E560" s="70"/>
      <c r="F560" s="70"/>
      <c r="G560" s="72"/>
      <c r="H560" s="74"/>
      <c r="I560" s="74"/>
      <c r="J560" s="75"/>
      <c r="K560" s="81"/>
      <c r="L560" s="76"/>
      <c r="M560" s="76"/>
      <c r="N560" s="76"/>
      <c r="O560" s="71"/>
      <c r="P560" s="70"/>
      <c r="Q560" s="71"/>
      <c r="R560" s="71"/>
      <c r="S560" s="70"/>
      <c r="T560" s="71"/>
      <c r="U560" s="71"/>
      <c r="V560" s="75"/>
      <c r="W560" s="69"/>
      <c r="X560" s="69"/>
      <c r="Y560" s="69"/>
      <c r="Z560" s="69"/>
      <c r="AA560" s="69"/>
      <c r="AB560" s="69"/>
      <c r="AC560" s="69"/>
      <c r="AD560" s="69"/>
      <c r="AE560" s="76"/>
      <c r="AF560" s="71"/>
      <c r="AG560" s="71"/>
      <c r="AH560" s="71"/>
      <c r="AI560" s="71"/>
      <c r="AJ560" s="71"/>
      <c r="AK560" s="71"/>
      <c r="AL560" s="71"/>
      <c r="AM560" s="71"/>
      <c r="AN560" s="68"/>
      <c r="AO560" s="68"/>
      <c r="AP560" s="70"/>
      <c r="AQ560" s="71"/>
      <c r="AR560" s="77"/>
      <c r="AS560" s="70"/>
      <c r="AT560" s="68"/>
      <c r="AU560" s="70"/>
      <c r="AV560" s="70"/>
      <c r="AW560" s="71"/>
      <c r="AX560" s="71"/>
      <c r="AY560" s="70"/>
      <c r="AZ560" s="76"/>
      <c r="BA560" s="76"/>
      <c r="BB560" s="76"/>
      <c r="BC560" s="78"/>
    </row>
    <row r="561" spans="1:55" x14ac:dyDescent="0.25">
      <c r="A561" s="68"/>
      <c r="B561" s="68"/>
      <c r="C561" s="68"/>
      <c r="D561" s="70"/>
      <c r="E561" s="70"/>
      <c r="F561" s="70"/>
      <c r="G561" s="72"/>
      <c r="H561" s="74"/>
      <c r="I561" s="74"/>
      <c r="J561" s="75"/>
      <c r="K561" s="81"/>
      <c r="L561" s="76"/>
      <c r="M561" s="76"/>
      <c r="N561" s="76"/>
      <c r="O561" s="71"/>
      <c r="P561" s="70"/>
      <c r="Q561" s="71"/>
      <c r="R561" s="71"/>
      <c r="S561" s="70"/>
      <c r="T561" s="71"/>
      <c r="U561" s="71"/>
      <c r="V561" s="75"/>
      <c r="W561" s="69"/>
      <c r="X561" s="69"/>
      <c r="Y561" s="69"/>
      <c r="Z561" s="69"/>
      <c r="AA561" s="69"/>
      <c r="AB561" s="69"/>
      <c r="AC561" s="69"/>
      <c r="AD561" s="69"/>
      <c r="AE561" s="76"/>
      <c r="AF561" s="71"/>
      <c r="AG561" s="71"/>
      <c r="AH561" s="71"/>
      <c r="AI561" s="71"/>
      <c r="AJ561" s="71"/>
      <c r="AK561" s="71"/>
      <c r="AL561" s="71"/>
      <c r="AM561" s="71"/>
      <c r="AN561" s="68"/>
      <c r="AO561" s="68"/>
      <c r="AP561" s="70"/>
      <c r="AQ561" s="71"/>
      <c r="AR561" s="77"/>
      <c r="AS561" s="70"/>
      <c r="AT561" s="68"/>
      <c r="AU561" s="70"/>
      <c r="AV561" s="70"/>
      <c r="AW561" s="71"/>
      <c r="AX561" s="71"/>
      <c r="AY561" s="70"/>
      <c r="AZ561" s="76"/>
      <c r="BA561" s="76"/>
      <c r="BB561" s="76"/>
      <c r="BC561" s="78"/>
    </row>
    <row r="562" spans="1:55" x14ac:dyDescent="0.25">
      <c r="A562" s="68"/>
      <c r="B562" s="68"/>
      <c r="C562" s="68"/>
      <c r="D562" s="70"/>
      <c r="E562" s="70"/>
      <c r="F562" s="70"/>
      <c r="G562" s="72"/>
      <c r="H562" s="74"/>
      <c r="I562" s="74"/>
      <c r="J562" s="75"/>
      <c r="K562" s="81"/>
      <c r="L562" s="76"/>
      <c r="M562" s="76"/>
      <c r="N562" s="76"/>
      <c r="O562" s="71"/>
      <c r="P562" s="70"/>
      <c r="Q562" s="71"/>
      <c r="R562" s="71"/>
      <c r="S562" s="70"/>
      <c r="T562" s="71"/>
      <c r="U562" s="71"/>
      <c r="V562" s="75"/>
      <c r="W562" s="69"/>
      <c r="X562" s="69"/>
      <c r="Y562" s="69"/>
      <c r="Z562" s="69"/>
      <c r="AA562" s="69"/>
      <c r="AB562" s="69"/>
      <c r="AC562" s="69"/>
      <c r="AD562" s="69"/>
      <c r="AE562" s="76"/>
      <c r="AF562" s="71"/>
      <c r="AG562" s="71"/>
      <c r="AH562" s="71"/>
      <c r="AI562" s="71"/>
      <c r="AJ562" s="71"/>
      <c r="AK562" s="71"/>
      <c r="AL562" s="71"/>
      <c r="AM562" s="71"/>
      <c r="AN562" s="68"/>
      <c r="AO562" s="68"/>
      <c r="AP562" s="70"/>
      <c r="AQ562" s="71"/>
      <c r="AR562" s="77"/>
      <c r="AS562" s="70"/>
      <c r="AT562" s="68"/>
      <c r="AU562" s="70"/>
      <c r="AV562" s="70"/>
      <c r="AW562" s="71"/>
      <c r="AX562" s="71"/>
      <c r="AY562" s="70"/>
      <c r="AZ562" s="76"/>
      <c r="BA562" s="76"/>
      <c r="BB562" s="76"/>
      <c r="BC562" s="78"/>
    </row>
    <row r="563" spans="1:55" x14ac:dyDescent="0.25">
      <c r="A563" s="68"/>
      <c r="B563" s="68"/>
      <c r="C563" s="68"/>
      <c r="D563" s="70"/>
      <c r="E563" s="70"/>
      <c r="F563" s="70"/>
      <c r="G563" s="72"/>
      <c r="H563" s="74"/>
      <c r="I563" s="74"/>
      <c r="J563" s="75"/>
      <c r="K563" s="81"/>
      <c r="L563" s="76"/>
      <c r="M563" s="76"/>
      <c r="N563" s="76"/>
      <c r="O563" s="71"/>
      <c r="P563" s="70"/>
      <c r="Q563" s="71"/>
      <c r="R563" s="71"/>
      <c r="S563" s="70"/>
      <c r="T563" s="71"/>
      <c r="U563" s="71"/>
      <c r="V563" s="75"/>
      <c r="W563" s="69"/>
      <c r="X563" s="69"/>
      <c r="Y563" s="69"/>
      <c r="Z563" s="69"/>
      <c r="AA563" s="69"/>
      <c r="AB563" s="69"/>
      <c r="AC563" s="69"/>
      <c r="AD563" s="69"/>
      <c r="AE563" s="76"/>
      <c r="AF563" s="71"/>
      <c r="AG563" s="71"/>
      <c r="AH563" s="71"/>
      <c r="AI563" s="71"/>
      <c r="AJ563" s="71"/>
      <c r="AK563" s="71"/>
      <c r="AL563" s="71"/>
      <c r="AM563" s="71"/>
      <c r="AN563" s="68"/>
      <c r="AO563" s="68"/>
      <c r="AP563" s="70"/>
      <c r="AQ563" s="71"/>
      <c r="AR563" s="77"/>
      <c r="AS563" s="70"/>
      <c r="AT563" s="68"/>
      <c r="AU563" s="70"/>
      <c r="AV563" s="70"/>
      <c r="AW563" s="71"/>
      <c r="AX563" s="71"/>
      <c r="AY563" s="70"/>
      <c r="AZ563" s="76"/>
      <c r="BA563" s="76"/>
      <c r="BB563" s="76"/>
      <c r="BC563" s="78"/>
    </row>
    <row r="564" spans="1:55" x14ac:dyDescent="0.25">
      <c r="A564" s="68"/>
      <c r="B564" s="68"/>
      <c r="C564" s="68"/>
      <c r="D564" s="70"/>
      <c r="E564" s="70"/>
      <c r="F564" s="70"/>
      <c r="G564" s="72"/>
      <c r="H564" s="74"/>
      <c r="I564" s="74"/>
      <c r="J564" s="75"/>
      <c r="K564" s="81"/>
      <c r="L564" s="76"/>
      <c r="M564" s="76"/>
      <c r="N564" s="76"/>
      <c r="O564" s="71"/>
      <c r="P564" s="70"/>
      <c r="Q564" s="71"/>
      <c r="R564" s="71"/>
      <c r="S564" s="70"/>
      <c r="T564" s="71"/>
      <c r="U564" s="71"/>
      <c r="V564" s="75"/>
      <c r="W564" s="69"/>
      <c r="X564" s="69"/>
      <c r="Y564" s="69"/>
      <c r="Z564" s="69"/>
      <c r="AA564" s="69"/>
      <c r="AB564" s="69"/>
      <c r="AC564" s="69"/>
      <c r="AD564" s="69"/>
      <c r="AE564" s="76"/>
      <c r="AF564" s="71"/>
      <c r="AG564" s="71"/>
      <c r="AH564" s="71"/>
      <c r="AI564" s="71"/>
      <c r="AJ564" s="71"/>
      <c r="AK564" s="71"/>
      <c r="AL564" s="71"/>
      <c r="AM564" s="71"/>
      <c r="AN564" s="68"/>
      <c r="AO564" s="68"/>
      <c r="AP564" s="70"/>
      <c r="AQ564" s="71"/>
      <c r="AR564" s="77"/>
      <c r="AS564" s="70"/>
      <c r="AT564" s="68"/>
      <c r="AU564" s="70"/>
      <c r="AV564" s="70"/>
      <c r="AW564" s="71"/>
      <c r="AX564" s="71"/>
      <c r="AY564" s="70"/>
      <c r="AZ564" s="76"/>
      <c r="BA564" s="76"/>
      <c r="BB564" s="76"/>
      <c r="BC564" s="78"/>
    </row>
    <row r="565" spans="1:55" x14ac:dyDescent="0.25">
      <c r="A565" s="68"/>
      <c r="B565" s="68"/>
      <c r="C565" s="68"/>
      <c r="D565" s="70"/>
      <c r="E565" s="70"/>
      <c r="F565" s="70"/>
      <c r="G565" s="72"/>
      <c r="H565" s="74"/>
      <c r="I565" s="74"/>
      <c r="J565" s="75"/>
      <c r="K565" s="81"/>
      <c r="L565" s="76"/>
      <c r="M565" s="76"/>
      <c r="N565" s="76"/>
      <c r="O565" s="71"/>
      <c r="P565" s="70"/>
      <c r="Q565" s="71"/>
      <c r="R565" s="71"/>
      <c r="S565" s="70"/>
      <c r="T565" s="71"/>
      <c r="U565" s="71"/>
      <c r="V565" s="75"/>
      <c r="W565" s="69"/>
      <c r="X565" s="69"/>
      <c r="Y565" s="69"/>
      <c r="Z565" s="69"/>
      <c r="AA565" s="69"/>
      <c r="AB565" s="69"/>
      <c r="AC565" s="69"/>
      <c r="AD565" s="69"/>
      <c r="AE565" s="76"/>
      <c r="AF565" s="71"/>
      <c r="AG565" s="71"/>
      <c r="AH565" s="71"/>
      <c r="AI565" s="71"/>
      <c r="AJ565" s="71"/>
      <c r="AK565" s="71"/>
      <c r="AL565" s="71"/>
      <c r="AM565" s="71"/>
      <c r="AN565" s="68"/>
      <c r="AO565" s="68"/>
      <c r="AP565" s="70"/>
      <c r="AQ565" s="71"/>
      <c r="AR565" s="77"/>
      <c r="AS565" s="70"/>
      <c r="AT565" s="68"/>
      <c r="AU565" s="70"/>
      <c r="AV565" s="70"/>
      <c r="AW565" s="71"/>
      <c r="AX565" s="71"/>
      <c r="AY565" s="70"/>
      <c r="AZ565" s="76"/>
      <c r="BA565" s="76"/>
      <c r="BB565" s="76"/>
      <c r="BC565" s="78"/>
    </row>
    <row r="566" spans="1:55" x14ac:dyDescent="0.25">
      <c r="A566" s="68"/>
      <c r="B566" s="68"/>
      <c r="C566" s="68"/>
      <c r="D566" s="70"/>
      <c r="E566" s="70"/>
      <c r="F566" s="70"/>
      <c r="G566" s="72"/>
      <c r="H566" s="74"/>
      <c r="I566" s="74"/>
      <c r="J566" s="75"/>
      <c r="K566" s="81"/>
      <c r="L566" s="76"/>
      <c r="M566" s="76"/>
      <c r="N566" s="76"/>
      <c r="O566" s="71"/>
      <c r="P566" s="70"/>
      <c r="Q566" s="71"/>
      <c r="R566" s="71"/>
      <c r="S566" s="70"/>
      <c r="T566" s="71"/>
      <c r="U566" s="71"/>
      <c r="V566" s="75"/>
      <c r="W566" s="69"/>
      <c r="X566" s="69"/>
      <c r="Y566" s="69"/>
      <c r="Z566" s="69"/>
      <c r="AA566" s="69"/>
      <c r="AB566" s="69"/>
      <c r="AC566" s="69"/>
      <c r="AD566" s="69"/>
      <c r="AE566" s="76"/>
      <c r="AF566" s="71"/>
      <c r="AG566" s="71"/>
      <c r="AH566" s="71"/>
      <c r="AI566" s="71"/>
      <c r="AJ566" s="71"/>
      <c r="AK566" s="71"/>
      <c r="AL566" s="71"/>
      <c r="AM566" s="71"/>
      <c r="AN566" s="68"/>
      <c r="AO566" s="68"/>
      <c r="AP566" s="70"/>
      <c r="AQ566" s="71"/>
      <c r="AR566" s="77"/>
      <c r="AS566" s="70"/>
      <c r="AT566" s="68"/>
      <c r="AU566" s="70"/>
      <c r="AV566" s="70"/>
      <c r="AW566" s="71"/>
      <c r="AX566" s="71"/>
      <c r="AY566" s="70"/>
      <c r="AZ566" s="76"/>
      <c r="BA566" s="76"/>
      <c r="BB566" s="76"/>
      <c r="BC566" s="78"/>
    </row>
    <row r="567" spans="1:55" x14ac:dyDescent="0.25">
      <c r="A567" s="68"/>
      <c r="B567" s="68"/>
      <c r="C567" s="68"/>
      <c r="D567" s="70"/>
      <c r="E567" s="70"/>
      <c r="F567" s="70"/>
      <c r="G567" s="72"/>
      <c r="H567" s="74"/>
      <c r="I567" s="74"/>
      <c r="J567" s="75"/>
      <c r="K567" s="81"/>
      <c r="L567" s="76"/>
      <c r="M567" s="76"/>
      <c r="N567" s="76"/>
      <c r="O567" s="71"/>
      <c r="P567" s="70"/>
      <c r="Q567" s="71"/>
      <c r="R567" s="71"/>
      <c r="S567" s="70"/>
      <c r="T567" s="71"/>
      <c r="U567" s="71"/>
      <c r="V567" s="75"/>
      <c r="W567" s="69"/>
      <c r="X567" s="69"/>
      <c r="Y567" s="69"/>
      <c r="Z567" s="69"/>
      <c r="AA567" s="69"/>
      <c r="AB567" s="69"/>
      <c r="AC567" s="69"/>
      <c r="AD567" s="69"/>
      <c r="AE567" s="76"/>
      <c r="AF567" s="71"/>
      <c r="AG567" s="71"/>
      <c r="AH567" s="71"/>
      <c r="AI567" s="71"/>
      <c r="AJ567" s="71"/>
      <c r="AK567" s="71"/>
      <c r="AL567" s="71"/>
      <c r="AM567" s="71"/>
      <c r="AN567" s="68"/>
      <c r="AO567" s="68"/>
      <c r="AP567" s="70"/>
      <c r="AQ567" s="71"/>
      <c r="AR567" s="77"/>
      <c r="AS567" s="70"/>
      <c r="AT567" s="68"/>
      <c r="AU567" s="70"/>
      <c r="AV567" s="70"/>
      <c r="AW567" s="71"/>
      <c r="AX567" s="71"/>
      <c r="AY567" s="70"/>
      <c r="AZ567" s="76"/>
      <c r="BA567" s="76"/>
      <c r="BB567" s="76"/>
      <c r="BC567" s="78"/>
    </row>
    <row r="568" spans="1:55" x14ac:dyDescent="0.25">
      <c r="A568" s="68"/>
      <c r="B568" s="68"/>
      <c r="C568" s="68"/>
      <c r="D568" s="70"/>
      <c r="E568" s="70"/>
      <c r="F568" s="70"/>
      <c r="G568" s="72"/>
      <c r="H568" s="74"/>
      <c r="I568" s="74"/>
      <c r="J568" s="75"/>
      <c r="K568" s="81"/>
      <c r="L568" s="76"/>
      <c r="M568" s="76"/>
      <c r="N568" s="76"/>
      <c r="O568" s="71"/>
      <c r="P568" s="70"/>
      <c r="Q568" s="71"/>
      <c r="R568" s="71"/>
      <c r="S568" s="70"/>
      <c r="T568" s="71"/>
      <c r="U568" s="71"/>
      <c r="V568" s="75"/>
      <c r="W568" s="69"/>
      <c r="X568" s="69"/>
      <c r="Y568" s="69"/>
      <c r="Z568" s="69"/>
      <c r="AA568" s="69"/>
      <c r="AB568" s="69"/>
      <c r="AC568" s="69"/>
      <c r="AD568" s="69"/>
      <c r="AE568" s="76"/>
      <c r="AF568" s="71"/>
      <c r="AG568" s="71"/>
      <c r="AH568" s="71"/>
      <c r="AI568" s="71"/>
      <c r="AJ568" s="71"/>
      <c r="AK568" s="71"/>
      <c r="AL568" s="71"/>
      <c r="AM568" s="71"/>
      <c r="AN568" s="68"/>
      <c r="AO568" s="68"/>
      <c r="AP568" s="70"/>
      <c r="AQ568" s="71"/>
      <c r="AR568" s="77"/>
      <c r="AS568" s="70"/>
      <c r="AT568" s="68"/>
      <c r="AU568" s="70"/>
      <c r="AV568" s="70"/>
      <c r="AW568" s="71"/>
      <c r="AX568" s="71"/>
      <c r="AY568" s="70"/>
      <c r="AZ568" s="76"/>
      <c r="BA568" s="76"/>
      <c r="BB568" s="76"/>
      <c r="BC568" s="78"/>
    </row>
    <row r="569" spans="1:55" x14ac:dyDescent="0.25">
      <c r="A569" s="68"/>
      <c r="B569" s="68"/>
      <c r="C569" s="68"/>
      <c r="D569" s="70"/>
      <c r="E569" s="70"/>
      <c r="F569" s="70"/>
      <c r="G569" s="72"/>
      <c r="H569" s="74"/>
      <c r="I569" s="74"/>
      <c r="J569" s="75"/>
      <c r="K569" s="81"/>
      <c r="L569" s="76"/>
      <c r="M569" s="76"/>
      <c r="N569" s="76"/>
      <c r="O569" s="71"/>
      <c r="P569" s="70"/>
      <c r="Q569" s="71"/>
      <c r="R569" s="71"/>
      <c r="S569" s="70"/>
      <c r="T569" s="71"/>
      <c r="U569" s="71"/>
      <c r="V569" s="75"/>
      <c r="W569" s="69"/>
      <c r="X569" s="69"/>
      <c r="Y569" s="69"/>
      <c r="Z569" s="69"/>
      <c r="AA569" s="69"/>
      <c r="AB569" s="69"/>
      <c r="AC569" s="69"/>
      <c r="AD569" s="69"/>
      <c r="AE569" s="76"/>
      <c r="AF569" s="71"/>
      <c r="AG569" s="71"/>
      <c r="AH569" s="71"/>
      <c r="AI569" s="71"/>
      <c r="AJ569" s="71"/>
      <c r="AK569" s="71"/>
      <c r="AL569" s="71"/>
      <c r="AM569" s="71"/>
      <c r="AN569" s="68"/>
      <c r="AO569" s="68"/>
      <c r="AP569" s="70"/>
      <c r="AQ569" s="71"/>
      <c r="AR569" s="77"/>
      <c r="AS569" s="70"/>
      <c r="AT569" s="68"/>
      <c r="AU569" s="70"/>
      <c r="AV569" s="70"/>
      <c r="AW569" s="71"/>
      <c r="AX569" s="71"/>
      <c r="AY569" s="70"/>
      <c r="AZ569" s="76"/>
      <c r="BA569" s="76"/>
      <c r="BB569" s="76"/>
      <c r="BC569" s="78"/>
    </row>
    <row r="570" spans="1:55" x14ac:dyDescent="0.25">
      <c r="A570" s="68"/>
      <c r="B570" s="68"/>
      <c r="C570" s="68"/>
      <c r="D570" s="70"/>
      <c r="E570" s="70"/>
      <c r="F570" s="70"/>
      <c r="G570" s="72"/>
      <c r="H570" s="74"/>
      <c r="I570" s="74"/>
      <c r="J570" s="75"/>
      <c r="K570" s="81"/>
      <c r="L570" s="76"/>
      <c r="M570" s="76"/>
      <c r="N570" s="76"/>
      <c r="O570" s="71"/>
      <c r="P570" s="70"/>
      <c r="Q570" s="71"/>
      <c r="R570" s="71"/>
      <c r="S570" s="70"/>
      <c r="T570" s="71"/>
      <c r="U570" s="71"/>
      <c r="V570" s="75"/>
      <c r="W570" s="69"/>
      <c r="X570" s="69"/>
      <c r="Y570" s="69"/>
      <c r="Z570" s="69"/>
      <c r="AA570" s="69"/>
      <c r="AB570" s="69"/>
      <c r="AC570" s="69"/>
      <c r="AD570" s="69"/>
      <c r="AE570" s="76"/>
      <c r="AF570" s="71"/>
      <c r="AG570" s="71"/>
      <c r="AH570" s="71"/>
      <c r="AI570" s="71"/>
      <c r="AJ570" s="71"/>
      <c r="AK570" s="71"/>
      <c r="AL570" s="71"/>
      <c r="AM570" s="71"/>
      <c r="AN570" s="68"/>
      <c r="AO570" s="68"/>
      <c r="AP570" s="70"/>
      <c r="AQ570" s="71"/>
      <c r="AR570" s="77"/>
      <c r="AS570" s="70"/>
      <c r="AT570" s="68"/>
      <c r="AU570" s="70"/>
      <c r="AV570" s="70"/>
      <c r="AW570" s="71"/>
      <c r="AX570" s="71"/>
      <c r="AY570" s="70"/>
      <c r="AZ570" s="76"/>
      <c r="BA570" s="76"/>
      <c r="BB570" s="76"/>
      <c r="BC570" s="78"/>
    </row>
    <row r="571" spans="1:55" x14ac:dyDescent="0.25">
      <c r="A571" s="68"/>
      <c r="B571" s="68"/>
      <c r="C571" s="68"/>
      <c r="D571" s="70"/>
      <c r="E571" s="70"/>
      <c r="F571" s="70"/>
      <c r="G571" s="72"/>
      <c r="H571" s="74"/>
      <c r="I571" s="74"/>
      <c r="J571" s="75"/>
      <c r="K571" s="81"/>
      <c r="L571" s="76"/>
      <c r="M571" s="76"/>
      <c r="N571" s="76"/>
      <c r="O571" s="71"/>
      <c r="P571" s="70"/>
      <c r="Q571" s="71"/>
      <c r="R571" s="71"/>
      <c r="S571" s="70"/>
      <c r="T571" s="71"/>
      <c r="U571" s="71"/>
      <c r="V571" s="75"/>
      <c r="W571" s="69"/>
      <c r="X571" s="69"/>
      <c r="Y571" s="69"/>
      <c r="Z571" s="69"/>
      <c r="AA571" s="69"/>
      <c r="AB571" s="69"/>
      <c r="AC571" s="69"/>
      <c r="AD571" s="69"/>
      <c r="AE571" s="76"/>
      <c r="AF571" s="71"/>
      <c r="AG571" s="71"/>
      <c r="AH571" s="71"/>
      <c r="AI571" s="71"/>
      <c r="AJ571" s="71"/>
      <c r="AK571" s="71"/>
      <c r="AL571" s="71"/>
      <c r="AM571" s="71"/>
      <c r="AN571" s="68"/>
      <c r="AO571" s="68"/>
      <c r="AP571" s="70"/>
      <c r="AQ571" s="71"/>
      <c r="AR571" s="77"/>
      <c r="AS571" s="70"/>
      <c r="AT571" s="68"/>
      <c r="AU571" s="70"/>
      <c r="AV571" s="70"/>
      <c r="AW571" s="71"/>
      <c r="AX571" s="71"/>
      <c r="AY571" s="70"/>
      <c r="AZ571" s="76"/>
      <c r="BA571" s="76"/>
      <c r="BB571" s="76"/>
      <c r="BC571" s="78"/>
    </row>
    <row r="572" spans="1:55" x14ac:dyDescent="0.25">
      <c r="A572" s="68"/>
      <c r="B572" s="68"/>
      <c r="C572" s="68"/>
      <c r="D572" s="70"/>
      <c r="E572" s="70"/>
      <c r="F572" s="70"/>
      <c r="G572" s="72"/>
      <c r="H572" s="74"/>
      <c r="I572" s="74"/>
      <c r="J572" s="75"/>
      <c r="K572" s="81"/>
      <c r="L572" s="76"/>
      <c r="M572" s="76"/>
      <c r="N572" s="76"/>
      <c r="O572" s="71"/>
      <c r="P572" s="70"/>
      <c r="Q572" s="71"/>
      <c r="R572" s="71"/>
      <c r="S572" s="70"/>
      <c r="T572" s="71"/>
      <c r="U572" s="71"/>
      <c r="V572" s="75"/>
      <c r="W572" s="69"/>
      <c r="X572" s="69"/>
      <c r="Y572" s="69"/>
      <c r="Z572" s="69"/>
      <c r="AA572" s="69"/>
      <c r="AB572" s="69"/>
      <c r="AC572" s="69"/>
      <c r="AD572" s="69"/>
      <c r="AE572" s="76"/>
      <c r="AF572" s="71"/>
      <c r="AG572" s="71"/>
      <c r="AH572" s="71"/>
      <c r="AI572" s="71"/>
      <c r="AJ572" s="71"/>
      <c r="AK572" s="71"/>
      <c r="AL572" s="71"/>
      <c r="AM572" s="71"/>
      <c r="AN572" s="68"/>
      <c r="AO572" s="68"/>
      <c r="AP572" s="70"/>
      <c r="AQ572" s="71"/>
      <c r="AR572" s="77"/>
      <c r="AS572" s="70"/>
      <c r="AT572" s="68"/>
      <c r="AU572" s="70"/>
      <c r="AV572" s="70"/>
      <c r="AW572" s="71"/>
      <c r="AX572" s="71"/>
      <c r="AY572" s="70"/>
      <c r="AZ572" s="76"/>
      <c r="BA572" s="76"/>
      <c r="BB572" s="76"/>
      <c r="BC572" s="78"/>
    </row>
    <row r="573" spans="1:55" x14ac:dyDescent="0.25">
      <c r="A573" s="68"/>
      <c r="B573" s="68"/>
      <c r="C573" s="68"/>
      <c r="D573" s="70"/>
      <c r="E573" s="70"/>
      <c r="F573" s="70"/>
      <c r="G573" s="72"/>
      <c r="H573" s="74"/>
      <c r="I573" s="74"/>
      <c r="J573" s="75"/>
      <c r="K573" s="81"/>
      <c r="L573" s="76"/>
      <c r="M573" s="76"/>
      <c r="N573" s="76"/>
      <c r="O573" s="71"/>
      <c r="P573" s="70"/>
      <c r="Q573" s="71"/>
      <c r="R573" s="71"/>
      <c r="S573" s="70"/>
      <c r="T573" s="71"/>
      <c r="U573" s="71"/>
      <c r="V573" s="75"/>
      <c r="W573" s="69"/>
      <c r="X573" s="69"/>
      <c r="Y573" s="69"/>
      <c r="Z573" s="69"/>
      <c r="AA573" s="69"/>
      <c r="AB573" s="69"/>
      <c r="AC573" s="69"/>
      <c r="AD573" s="69"/>
      <c r="AE573" s="76"/>
      <c r="AF573" s="71"/>
      <c r="AG573" s="71"/>
      <c r="AH573" s="71"/>
      <c r="AI573" s="71"/>
      <c r="AJ573" s="71"/>
      <c r="AK573" s="71"/>
      <c r="AL573" s="71"/>
      <c r="AM573" s="71"/>
      <c r="AN573" s="68"/>
      <c r="AO573" s="68"/>
      <c r="AP573" s="70"/>
      <c r="AQ573" s="71"/>
      <c r="AR573" s="77"/>
      <c r="AS573" s="70"/>
      <c r="AT573" s="68"/>
      <c r="AU573" s="70"/>
      <c r="AV573" s="70"/>
      <c r="AW573" s="71"/>
      <c r="AX573" s="71"/>
      <c r="AY573" s="70"/>
      <c r="AZ573" s="76"/>
      <c r="BA573" s="76"/>
      <c r="BB573" s="76"/>
      <c r="BC573" s="78"/>
    </row>
    <row r="574" spans="1:55" x14ac:dyDescent="0.25">
      <c r="A574" s="68"/>
      <c r="B574" s="68"/>
      <c r="C574" s="68"/>
      <c r="D574" s="70"/>
      <c r="E574" s="70"/>
      <c r="F574" s="70"/>
      <c r="G574" s="72"/>
      <c r="H574" s="74"/>
      <c r="I574" s="74"/>
      <c r="J574" s="75"/>
      <c r="K574" s="81"/>
      <c r="L574" s="76"/>
      <c r="M574" s="76"/>
      <c r="N574" s="76"/>
      <c r="O574" s="71"/>
      <c r="P574" s="70"/>
      <c r="Q574" s="71"/>
      <c r="R574" s="71"/>
      <c r="S574" s="70"/>
      <c r="T574" s="71"/>
      <c r="U574" s="71"/>
      <c r="V574" s="75"/>
      <c r="W574" s="69"/>
      <c r="X574" s="69"/>
      <c r="Y574" s="69"/>
      <c r="Z574" s="69"/>
      <c r="AA574" s="69"/>
      <c r="AB574" s="69"/>
      <c r="AC574" s="69"/>
      <c r="AD574" s="69"/>
      <c r="AE574" s="76"/>
      <c r="AF574" s="71"/>
      <c r="AG574" s="71"/>
      <c r="AH574" s="71"/>
      <c r="AI574" s="71"/>
      <c r="AJ574" s="71"/>
      <c r="AK574" s="71"/>
      <c r="AL574" s="71"/>
      <c r="AM574" s="71"/>
      <c r="AN574" s="68"/>
      <c r="AO574" s="68"/>
      <c r="AP574" s="70"/>
      <c r="AQ574" s="71"/>
      <c r="AR574" s="77"/>
      <c r="AS574" s="70"/>
      <c r="AT574" s="68"/>
      <c r="AU574" s="70"/>
      <c r="AV574" s="70"/>
      <c r="AW574" s="71"/>
      <c r="AX574" s="71"/>
      <c r="AY574" s="70"/>
      <c r="AZ574" s="76"/>
      <c r="BA574" s="76"/>
      <c r="BB574" s="76"/>
      <c r="BC574" s="78"/>
    </row>
    <row r="575" spans="1:55" x14ac:dyDescent="0.25">
      <c r="A575" s="68"/>
      <c r="B575" s="68"/>
      <c r="C575" s="68"/>
      <c r="D575" s="70"/>
      <c r="E575" s="70"/>
      <c r="F575" s="70"/>
      <c r="G575" s="72"/>
      <c r="H575" s="74"/>
      <c r="I575" s="74"/>
      <c r="J575" s="75"/>
      <c r="K575" s="81"/>
      <c r="L575" s="76"/>
      <c r="M575" s="76"/>
      <c r="N575" s="76"/>
      <c r="O575" s="71"/>
      <c r="P575" s="70"/>
      <c r="Q575" s="71"/>
      <c r="R575" s="71"/>
      <c r="S575" s="70"/>
      <c r="T575" s="71"/>
      <c r="U575" s="71"/>
      <c r="V575" s="75"/>
      <c r="W575" s="69"/>
      <c r="X575" s="69"/>
      <c r="Y575" s="69"/>
      <c r="Z575" s="69"/>
      <c r="AA575" s="69"/>
      <c r="AB575" s="69"/>
      <c r="AC575" s="69"/>
      <c r="AD575" s="69"/>
      <c r="AE575" s="76"/>
      <c r="AF575" s="71"/>
      <c r="AG575" s="71"/>
      <c r="AH575" s="71"/>
      <c r="AI575" s="71"/>
      <c r="AJ575" s="71"/>
      <c r="AK575" s="71"/>
      <c r="AL575" s="71"/>
      <c r="AM575" s="71"/>
      <c r="AN575" s="68"/>
      <c r="AO575" s="68"/>
      <c r="AP575" s="70"/>
      <c r="AQ575" s="71"/>
      <c r="AR575" s="77"/>
      <c r="AS575" s="70"/>
      <c r="AT575" s="68"/>
      <c r="AU575" s="70"/>
      <c r="AV575" s="70"/>
      <c r="AW575" s="71"/>
      <c r="AX575" s="71"/>
      <c r="AY575" s="70"/>
      <c r="AZ575" s="76"/>
      <c r="BA575" s="76"/>
      <c r="BB575" s="76"/>
      <c r="BC575" s="78"/>
    </row>
    <row r="576" spans="1:55" x14ac:dyDescent="0.25">
      <c r="A576" s="68"/>
      <c r="B576" s="68"/>
      <c r="C576" s="68"/>
      <c r="D576" s="70"/>
      <c r="E576" s="70"/>
      <c r="F576" s="70"/>
      <c r="G576" s="72"/>
      <c r="H576" s="74"/>
      <c r="I576" s="74"/>
      <c r="J576" s="75"/>
      <c r="K576" s="81"/>
      <c r="L576" s="76"/>
      <c r="M576" s="76"/>
      <c r="N576" s="76"/>
      <c r="O576" s="71"/>
      <c r="P576" s="70"/>
      <c r="Q576" s="71"/>
      <c r="R576" s="71"/>
      <c r="S576" s="70"/>
      <c r="T576" s="71"/>
      <c r="U576" s="71"/>
      <c r="V576" s="75"/>
      <c r="W576" s="69"/>
      <c r="X576" s="69"/>
      <c r="Y576" s="69"/>
      <c r="Z576" s="69"/>
      <c r="AA576" s="69"/>
      <c r="AB576" s="69"/>
      <c r="AC576" s="69"/>
      <c r="AD576" s="69"/>
      <c r="AE576" s="76"/>
      <c r="AF576" s="71"/>
      <c r="AG576" s="71"/>
      <c r="AH576" s="71"/>
      <c r="AI576" s="71"/>
      <c r="AJ576" s="71"/>
      <c r="AK576" s="71"/>
      <c r="AL576" s="71"/>
      <c r="AM576" s="71"/>
      <c r="AN576" s="68"/>
      <c r="AO576" s="68"/>
      <c r="AP576" s="70"/>
      <c r="AQ576" s="71"/>
      <c r="AR576" s="77"/>
      <c r="AS576" s="70"/>
      <c r="AT576" s="68"/>
      <c r="AU576" s="70"/>
      <c r="AV576" s="70"/>
      <c r="AW576" s="71"/>
      <c r="AX576" s="71"/>
      <c r="AY576" s="70"/>
      <c r="AZ576" s="76"/>
      <c r="BA576" s="76"/>
      <c r="BB576" s="76"/>
      <c r="BC576" s="78"/>
    </row>
    <row r="577" spans="1:55" x14ac:dyDescent="0.25">
      <c r="A577" s="68"/>
      <c r="B577" s="68"/>
      <c r="C577" s="68"/>
      <c r="D577" s="70"/>
      <c r="E577" s="70"/>
      <c r="F577" s="70"/>
      <c r="G577" s="72"/>
      <c r="H577" s="74"/>
      <c r="I577" s="74"/>
      <c r="J577" s="75"/>
      <c r="K577" s="81"/>
      <c r="L577" s="76"/>
      <c r="M577" s="76"/>
      <c r="N577" s="76"/>
      <c r="O577" s="71"/>
      <c r="P577" s="70"/>
      <c r="Q577" s="71"/>
      <c r="R577" s="71"/>
      <c r="S577" s="70"/>
      <c r="T577" s="71"/>
      <c r="U577" s="71"/>
      <c r="V577" s="75"/>
      <c r="W577" s="69"/>
      <c r="X577" s="69"/>
      <c r="Y577" s="69"/>
      <c r="Z577" s="69"/>
      <c r="AA577" s="69"/>
      <c r="AB577" s="69"/>
      <c r="AC577" s="69"/>
      <c r="AD577" s="69"/>
      <c r="AE577" s="76"/>
      <c r="AF577" s="71"/>
      <c r="AG577" s="71"/>
      <c r="AH577" s="71"/>
      <c r="AI577" s="71"/>
      <c r="AJ577" s="71"/>
      <c r="AK577" s="71"/>
      <c r="AL577" s="71"/>
      <c r="AM577" s="71"/>
      <c r="AN577" s="68"/>
      <c r="AO577" s="68"/>
      <c r="AP577" s="70"/>
      <c r="AQ577" s="71"/>
      <c r="AR577" s="77"/>
      <c r="AS577" s="70"/>
      <c r="AT577" s="68"/>
      <c r="AU577" s="70"/>
      <c r="AV577" s="70"/>
      <c r="AW577" s="71"/>
      <c r="AX577" s="71"/>
      <c r="AY577" s="70"/>
      <c r="AZ577" s="76"/>
      <c r="BA577" s="76"/>
      <c r="BB577" s="76"/>
      <c r="BC577" s="78"/>
    </row>
    <row r="578" spans="1:55" x14ac:dyDescent="0.25">
      <c r="A578" s="68"/>
      <c r="B578" s="68"/>
      <c r="C578" s="68"/>
      <c r="D578" s="70"/>
      <c r="E578" s="70"/>
      <c r="F578" s="70"/>
      <c r="G578" s="72"/>
      <c r="H578" s="74"/>
      <c r="I578" s="74"/>
      <c r="J578" s="75"/>
      <c r="K578" s="81"/>
      <c r="L578" s="76"/>
      <c r="M578" s="76"/>
      <c r="N578" s="76"/>
      <c r="O578" s="71"/>
      <c r="P578" s="70"/>
      <c r="Q578" s="71"/>
      <c r="R578" s="71"/>
      <c r="S578" s="70"/>
      <c r="T578" s="71"/>
      <c r="U578" s="71"/>
      <c r="V578" s="75"/>
      <c r="W578" s="69"/>
      <c r="X578" s="69"/>
      <c r="Y578" s="69"/>
      <c r="Z578" s="69"/>
      <c r="AA578" s="69"/>
      <c r="AB578" s="69"/>
      <c r="AC578" s="69"/>
      <c r="AD578" s="69"/>
      <c r="AE578" s="76"/>
      <c r="AF578" s="71"/>
      <c r="AG578" s="71"/>
      <c r="AH578" s="71"/>
      <c r="AI578" s="71"/>
      <c r="AJ578" s="71"/>
      <c r="AK578" s="71"/>
      <c r="AL578" s="71"/>
      <c r="AM578" s="71"/>
      <c r="AN578" s="68"/>
      <c r="AO578" s="68"/>
      <c r="AP578" s="70"/>
      <c r="AQ578" s="71"/>
      <c r="AR578" s="77"/>
      <c r="AS578" s="70"/>
      <c r="AT578" s="68"/>
      <c r="AU578" s="70"/>
      <c r="AV578" s="70"/>
      <c r="AW578" s="71"/>
      <c r="AX578" s="71"/>
      <c r="AY578" s="70"/>
      <c r="AZ578" s="76"/>
      <c r="BA578" s="76"/>
      <c r="BB578" s="76"/>
      <c r="BC578" s="78"/>
    </row>
    <row r="579" spans="1:55" x14ac:dyDescent="0.25">
      <c r="A579" s="68"/>
      <c r="B579" s="68"/>
      <c r="C579" s="68"/>
      <c r="D579" s="70"/>
      <c r="E579" s="70"/>
      <c r="F579" s="70"/>
      <c r="G579" s="72"/>
      <c r="H579" s="74"/>
      <c r="I579" s="74"/>
      <c r="J579" s="75"/>
      <c r="K579" s="81"/>
      <c r="L579" s="76"/>
      <c r="M579" s="76"/>
      <c r="N579" s="76"/>
      <c r="O579" s="71"/>
      <c r="P579" s="70"/>
      <c r="Q579" s="71"/>
      <c r="R579" s="71"/>
      <c r="S579" s="70"/>
      <c r="T579" s="71"/>
      <c r="U579" s="71"/>
      <c r="V579" s="75"/>
      <c r="W579" s="69"/>
      <c r="X579" s="69"/>
      <c r="Y579" s="69"/>
      <c r="Z579" s="69"/>
      <c r="AA579" s="69"/>
      <c r="AB579" s="69"/>
      <c r="AC579" s="69"/>
      <c r="AD579" s="69"/>
      <c r="AE579" s="76"/>
      <c r="AF579" s="71"/>
      <c r="AG579" s="71"/>
      <c r="AH579" s="71"/>
      <c r="AI579" s="71"/>
      <c r="AJ579" s="71"/>
      <c r="AK579" s="71"/>
      <c r="AL579" s="71"/>
      <c r="AM579" s="71"/>
      <c r="AN579" s="68"/>
      <c r="AO579" s="68"/>
      <c r="AP579" s="70"/>
      <c r="AQ579" s="71"/>
      <c r="AR579" s="77"/>
      <c r="AS579" s="70"/>
      <c r="AT579" s="68"/>
      <c r="AU579" s="70"/>
      <c r="AV579" s="70"/>
      <c r="AW579" s="71"/>
      <c r="AX579" s="71"/>
      <c r="AY579" s="70"/>
      <c r="AZ579" s="76"/>
      <c r="BA579" s="76"/>
      <c r="BB579" s="76"/>
      <c r="BC579" s="78"/>
    </row>
    <row r="580" spans="1:55" x14ac:dyDescent="0.25">
      <c r="A580" s="68"/>
      <c r="B580" s="68"/>
      <c r="C580" s="68"/>
      <c r="D580" s="70"/>
      <c r="E580" s="70"/>
      <c r="F580" s="70"/>
      <c r="G580" s="72"/>
      <c r="H580" s="74"/>
      <c r="I580" s="74"/>
      <c r="J580" s="75"/>
      <c r="K580" s="81"/>
      <c r="L580" s="76"/>
      <c r="M580" s="76"/>
      <c r="N580" s="76"/>
      <c r="O580" s="71"/>
      <c r="P580" s="70"/>
      <c r="Q580" s="71"/>
      <c r="R580" s="71"/>
      <c r="S580" s="70"/>
      <c r="T580" s="71"/>
      <c r="U580" s="71"/>
      <c r="V580" s="75"/>
      <c r="W580" s="69"/>
      <c r="X580" s="69"/>
      <c r="Y580" s="69"/>
      <c r="Z580" s="69"/>
      <c r="AA580" s="69"/>
      <c r="AB580" s="69"/>
      <c r="AC580" s="69"/>
      <c r="AD580" s="69"/>
      <c r="AE580" s="76"/>
      <c r="AF580" s="71"/>
      <c r="AG580" s="71"/>
      <c r="AH580" s="71"/>
      <c r="AI580" s="71"/>
      <c r="AJ580" s="71"/>
      <c r="AK580" s="71"/>
      <c r="AL580" s="71"/>
      <c r="AM580" s="71"/>
      <c r="AN580" s="68"/>
      <c r="AO580" s="68"/>
      <c r="AP580" s="70"/>
      <c r="AQ580" s="71"/>
      <c r="AR580" s="77"/>
      <c r="AS580" s="70"/>
      <c r="AT580" s="68"/>
      <c r="AU580" s="70"/>
      <c r="AV580" s="70"/>
      <c r="AW580" s="71"/>
      <c r="AX580" s="71"/>
      <c r="AY580" s="70"/>
      <c r="AZ580" s="76"/>
      <c r="BA580" s="76"/>
      <c r="BB580" s="76"/>
      <c r="BC580" s="78"/>
    </row>
    <row r="581" spans="1:55" x14ac:dyDescent="0.25">
      <c r="A581" s="68"/>
      <c r="B581" s="68"/>
      <c r="C581" s="68"/>
      <c r="D581" s="70"/>
      <c r="E581" s="70"/>
      <c r="F581" s="70"/>
      <c r="G581" s="72"/>
      <c r="H581" s="74"/>
      <c r="I581" s="74"/>
      <c r="J581" s="75"/>
      <c r="K581" s="81"/>
      <c r="L581" s="76"/>
      <c r="M581" s="76"/>
      <c r="N581" s="76"/>
      <c r="O581" s="71"/>
      <c r="P581" s="70"/>
      <c r="Q581" s="71"/>
      <c r="R581" s="71"/>
      <c r="S581" s="70"/>
      <c r="T581" s="71"/>
      <c r="U581" s="71"/>
      <c r="V581" s="75"/>
      <c r="W581" s="69"/>
      <c r="X581" s="69"/>
      <c r="Y581" s="69"/>
      <c r="Z581" s="69"/>
      <c r="AA581" s="69"/>
      <c r="AB581" s="69"/>
      <c r="AC581" s="69"/>
      <c r="AD581" s="69"/>
      <c r="AE581" s="76"/>
      <c r="AF581" s="71"/>
      <c r="AG581" s="71"/>
      <c r="AH581" s="71"/>
      <c r="AI581" s="71"/>
      <c r="AJ581" s="71"/>
      <c r="AK581" s="71"/>
      <c r="AL581" s="71"/>
      <c r="AM581" s="71"/>
      <c r="AN581" s="68"/>
      <c r="AO581" s="68"/>
      <c r="AP581" s="70"/>
      <c r="AQ581" s="71"/>
      <c r="AR581" s="77"/>
      <c r="AS581" s="70"/>
      <c r="AT581" s="68"/>
      <c r="AU581" s="70"/>
      <c r="AV581" s="70"/>
      <c r="AW581" s="71"/>
      <c r="AX581" s="71"/>
      <c r="AY581" s="70"/>
      <c r="AZ581" s="76"/>
      <c r="BA581" s="76"/>
      <c r="BB581" s="76"/>
      <c r="BC581" s="78"/>
    </row>
    <row r="582" spans="1:55" x14ac:dyDescent="0.25">
      <c r="A582" s="68"/>
      <c r="B582" s="68"/>
      <c r="C582" s="68"/>
      <c r="D582" s="70"/>
      <c r="E582" s="70"/>
      <c r="F582" s="70"/>
      <c r="G582" s="72"/>
      <c r="H582" s="74"/>
      <c r="I582" s="74"/>
      <c r="J582" s="75"/>
      <c r="K582" s="81"/>
      <c r="L582" s="76"/>
      <c r="M582" s="76"/>
      <c r="N582" s="76"/>
      <c r="O582" s="71"/>
      <c r="P582" s="70"/>
      <c r="Q582" s="71"/>
      <c r="R582" s="71"/>
      <c r="S582" s="70"/>
      <c r="T582" s="71"/>
      <c r="U582" s="71"/>
      <c r="V582" s="75"/>
      <c r="W582" s="69"/>
      <c r="X582" s="69"/>
      <c r="Y582" s="69"/>
      <c r="Z582" s="69"/>
      <c r="AA582" s="69"/>
      <c r="AB582" s="69"/>
      <c r="AC582" s="69"/>
      <c r="AD582" s="69"/>
      <c r="AE582" s="76"/>
      <c r="AF582" s="71"/>
      <c r="AG582" s="71"/>
      <c r="AH582" s="71"/>
      <c r="AI582" s="71"/>
      <c r="AJ582" s="71"/>
      <c r="AK582" s="71"/>
      <c r="AL582" s="71"/>
      <c r="AM582" s="71"/>
      <c r="AN582" s="68"/>
      <c r="AO582" s="68"/>
      <c r="AP582" s="70"/>
      <c r="AQ582" s="71"/>
      <c r="AR582" s="77"/>
      <c r="AS582" s="70"/>
      <c r="AT582" s="68"/>
      <c r="AU582" s="70"/>
      <c r="AV582" s="70"/>
      <c r="AW582" s="71"/>
      <c r="AX582" s="71"/>
      <c r="AY582" s="70"/>
      <c r="AZ582" s="76"/>
      <c r="BA582" s="76"/>
      <c r="BB582" s="76"/>
      <c r="BC582" s="78"/>
    </row>
    <row r="583" spans="1:55" x14ac:dyDescent="0.25">
      <c r="A583" s="68"/>
      <c r="B583" s="68"/>
      <c r="C583" s="68"/>
      <c r="D583" s="70"/>
      <c r="E583" s="70"/>
      <c r="F583" s="70"/>
      <c r="G583" s="72"/>
      <c r="H583" s="74"/>
      <c r="I583" s="74"/>
      <c r="J583" s="75"/>
      <c r="K583" s="81"/>
      <c r="L583" s="76"/>
      <c r="M583" s="76"/>
      <c r="N583" s="76"/>
      <c r="O583" s="71"/>
      <c r="P583" s="70"/>
      <c r="Q583" s="71"/>
      <c r="R583" s="71"/>
      <c r="S583" s="70"/>
      <c r="T583" s="71"/>
      <c r="U583" s="71"/>
      <c r="V583" s="75"/>
      <c r="W583" s="69"/>
      <c r="X583" s="69"/>
      <c r="Y583" s="69"/>
      <c r="Z583" s="69"/>
      <c r="AA583" s="69"/>
      <c r="AB583" s="69"/>
      <c r="AC583" s="69"/>
      <c r="AD583" s="69"/>
      <c r="AE583" s="76"/>
      <c r="AF583" s="71"/>
      <c r="AG583" s="71"/>
      <c r="AH583" s="71"/>
      <c r="AI583" s="71"/>
      <c r="AJ583" s="71"/>
      <c r="AK583" s="71"/>
      <c r="AL583" s="71"/>
      <c r="AM583" s="71"/>
      <c r="AN583" s="68"/>
      <c r="AO583" s="68"/>
      <c r="AP583" s="70"/>
      <c r="AQ583" s="71"/>
      <c r="AR583" s="77"/>
      <c r="AS583" s="70"/>
      <c r="AT583" s="68"/>
      <c r="AU583" s="70"/>
      <c r="AV583" s="70"/>
      <c r="AW583" s="71"/>
      <c r="AX583" s="71"/>
      <c r="AY583" s="70"/>
      <c r="AZ583" s="76"/>
      <c r="BA583" s="76"/>
      <c r="BB583" s="76"/>
      <c r="BC583" s="78"/>
    </row>
    <row r="584" spans="1:55" x14ac:dyDescent="0.25">
      <c r="A584" s="68"/>
      <c r="B584" s="68"/>
      <c r="C584" s="68"/>
      <c r="D584" s="70"/>
      <c r="E584" s="70"/>
      <c r="F584" s="70"/>
      <c r="G584" s="72"/>
      <c r="H584" s="74"/>
      <c r="I584" s="74"/>
      <c r="J584" s="75"/>
      <c r="K584" s="81"/>
      <c r="L584" s="76"/>
      <c r="M584" s="76"/>
      <c r="N584" s="76"/>
      <c r="O584" s="71"/>
      <c r="P584" s="70"/>
      <c r="Q584" s="71"/>
      <c r="R584" s="71"/>
      <c r="S584" s="70"/>
      <c r="T584" s="71"/>
      <c r="U584" s="71"/>
      <c r="V584" s="75"/>
      <c r="W584" s="69"/>
      <c r="X584" s="69"/>
      <c r="Y584" s="69"/>
      <c r="Z584" s="69"/>
      <c r="AA584" s="69"/>
      <c r="AB584" s="69"/>
      <c r="AC584" s="69"/>
      <c r="AD584" s="69"/>
      <c r="AE584" s="76"/>
      <c r="AF584" s="71"/>
      <c r="AG584" s="71"/>
      <c r="AH584" s="71"/>
      <c r="AI584" s="71"/>
      <c r="AJ584" s="71"/>
      <c r="AK584" s="71"/>
      <c r="AL584" s="71"/>
      <c r="AM584" s="71"/>
      <c r="AN584" s="68"/>
      <c r="AO584" s="68"/>
      <c r="AP584" s="70"/>
      <c r="AQ584" s="71"/>
      <c r="AR584" s="77"/>
      <c r="AS584" s="70"/>
      <c r="AT584" s="68"/>
      <c r="AU584" s="70"/>
      <c r="AV584" s="70"/>
      <c r="AW584" s="71"/>
      <c r="AX584" s="71"/>
      <c r="AY584" s="70"/>
      <c r="AZ584" s="76"/>
      <c r="BA584" s="76"/>
      <c r="BB584" s="76"/>
      <c r="BC584" s="78"/>
    </row>
    <row r="585" spans="1:55" x14ac:dyDescent="0.25">
      <c r="A585" s="68"/>
      <c r="B585" s="68"/>
      <c r="C585" s="68"/>
      <c r="D585" s="70"/>
      <c r="E585" s="70"/>
      <c r="F585" s="70"/>
      <c r="G585" s="72"/>
      <c r="H585" s="74"/>
      <c r="I585" s="74"/>
      <c r="J585" s="75"/>
      <c r="K585" s="81"/>
      <c r="L585" s="76"/>
      <c r="M585" s="76"/>
      <c r="N585" s="76"/>
      <c r="O585" s="71"/>
      <c r="P585" s="70"/>
      <c r="Q585" s="71"/>
      <c r="R585" s="71"/>
      <c r="S585" s="70"/>
      <c r="T585" s="71"/>
      <c r="U585" s="71"/>
      <c r="V585" s="75"/>
      <c r="W585" s="69"/>
      <c r="X585" s="69"/>
      <c r="Y585" s="69"/>
      <c r="Z585" s="69"/>
      <c r="AA585" s="69"/>
      <c r="AB585" s="69"/>
      <c r="AC585" s="69"/>
      <c r="AD585" s="69"/>
      <c r="AE585" s="76"/>
      <c r="AF585" s="71"/>
      <c r="AG585" s="71"/>
      <c r="AH585" s="71"/>
      <c r="AI585" s="71"/>
      <c r="AJ585" s="71"/>
      <c r="AK585" s="71"/>
      <c r="AL585" s="71"/>
      <c r="AM585" s="71"/>
      <c r="AN585" s="68"/>
      <c r="AO585" s="68"/>
      <c r="AP585" s="70"/>
      <c r="AQ585" s="71"/>
      <c r="AR585" s="77"/>
      <c r="AS585" s="70"/>
      <c r="AT585" s="68"/>
      <c r="AU585" s="70"/>
      <c r="AV585" s="70"/>
      <c r="AW585" s="71"/>
      <c r="AX585" s="71"/>
      <c r="AY585" s="70"/>
      <c r="AZ585" s="76"/>
      <c r="BA585" s="76"/>
      <c r="BB585" s="76"/>
      <c r="BC585" s="78"/>
    </row>
    <row r="586" spans="1:55" x14ac:dyDescent="0.25">
      <c r="A586" s="68"/>
      <c r="B586" s="68"/>
      <c r="C586" s="68"/>
      <c r="D586" s="70"/>
      <c r="E586" s="70"/>
      <c r="F586" s="70"/>
      <c r="G586" s="72"/>
      <c r="H586" s="74"/>
      <c r="I586" s="74"/>
      <c r="J586" s="75"/>
      <c r="K586" s="81"/>
      <c r="L586" s="76"/>
      <c r="M586" s="76"/>
      <c r="N586" s="76"/>
      <c r="O586" s="71"/>
      <c r="P586" s="70"/>
      <c r="Q586" s="71"/>
      <c r="R586" s="71"/>
      <c r="S586" s="70"/>
      <c r="T586" s="71"/>
      <c r="U586" s="71"/>
      <c r="V586" s="75"/>
      <c r="W586" s="69"/>
      <c r="X586" s="69"/>
      <c r="Y586" s="69"/>
      <c r="Z586" s="69"/>
      <c r="AA586" s="69"/>
      <c r="AB586" s="69"/>
      <c r="AC586" s="69"/>
      <c r="AD586" s="69"/>
      <c r="AE586" s="76"/>
      <c r="AF586" s="71"/>
      <c r="AG586" s="71"/>
      <c r="AH586" s="71"/>
      <c r="AI586" s="71"/>
      <c r="AJ586" s="71"/>
      <c r="AK586" s="71"/>
      <c r="AL586" s="71"/>
      <c r="AM586" s="71"/>
      <c r="AN586" s="68"/>
      <c r="AO586" s="68"/>
      <c r="AP586" s="70"/>
      <c r="AQ586" s="71"/>
      <c r="AR586" s="77"/>
      <c r="AS586" s="70"/>
      <c r="AT586" s="68"/>
      <c r="AU586" s="70"/>
      <c r="AV586" s="70"/>
      <c r="AW586" s="71"/>
      <c r="AX586" s="71"/>
      <c r="AY586" s="70"/>
      <c r="AZ586" s="76"/>
      <c r="BA586" s="76"/>
      <c r="BB586" s="76"/>
      <c r="BC586" s="78"/>
    </row>
    <row r="587" spans="1:55" x14ac:dyDescent="0.25">
      <c r="A587" s="68"/>
      <c r="B587" s="68"/>
      <c r="C587" s="68"/>
      <c r="D587" s="70"/>
      <c r="E587" s="70"/>
      <c r="F587" s="70"/>
      <c r="G587" s="72"/>
      <c r="H587" s="74"/>
      <c r="I587" s="74"/>
      <c r="J587" s="75"/>
      <c r="K587" s="81"/>
      <c r="L587" s="76"/>
      <c r="M587" s="76"/>
      <c r="N587" s="76"/>
      <c r="O587" s="71"/>
      <c r="P587" s="70"/>
      <c r="Q587" s="71"/>
      <c r="R587" s="71"/>
      <c r="S587" s="70"/>
      <c r="T587" s="71"/>
      <c r="U587" s="71"/>
      <c r="V587" s="75"/>
      <c r="W587" s="69"/>
      <c r="X587" s="69"/>
      <c r="Y587" s="69"/>
      <c r="Z587" s="69"/>
      <c r="AA587" s="69"/>
      <c r="AB587" s="69"/>
      <c r="AC587" s="69"/>
      <c r="AD587" s="69"/>
      <c r="AE587" s="76"/>
      <c r="AF587" s="71"/>
      <c r="AG587" s="71"/>
      <c r="AH587" s="71"/>
      <c r="AI587" s="71"/>
      <c r="AJ587" s="71"/>
      <c r="AK587" s="71"/>
      <c r="AL587" s="71"/>
      <c r="AM587" s="71"/>
      <c r="AN587" s="68"/>
      <c r="AO587" s="68"/>
      <c r="AP587" s="70"/>
      <c r="AQ587" s="71"/>
      <c r="AR587" s="77"/>
      <c r="AS587" s="70"/>
      <c r="AT587" s="68"/>
      <c r="AU587" s="70"/>
      <c r="AV587" s="70"/>
      <c r="AW587" s="71"/>
      <c r="AX587" s="71"/>
      <c r="AY587" s="70"/>
      <c r="AZ587" s="76"/>
      <c r="BA587" s="76"/>
      <c r="BB587" s="76"/>
      <c r="BC587" s="78"/>
    </row>
    <row r="588" spans="1:55" x14ac:dyDescent="0.25">
      <c r="A588" s="68"/>
      <c r="B588" s="68"/>
      <c r="C588" s="68"/>
      <c r="D588" s="70"/>
      <c r="E588" s="70"/>
      <c r="F588" s="70"/>
      <c r="G588" s="72"/>
      <c r="H588" s="74"/>
      <c r="I588" s="74"/>
      <c r="J588" s="75"/>
      <c r="K588" s="81"/>
      <c r="L588" s="76"/>
      <c r="M588" s="76"/>
      <c r="N588" s="76"/>
      <c r="O588" s="71"/>
      <c r="P588" s="70"/>
      <c r="Q588" s="71"/>
      <c r="R588" s="71"/>
      <c r="S588" s="70"/>
      <c r="T588" s="71"/>
      <c r="U588" s="71"/>
      <c r="V588" s="75"/>
      <c r="W588" s="69"/>
      <c r="X588" s="69"/>
      <c r="Y588" s="69"/>
      <c r="Z588" s="69"/>
      <c r="AA588" s="69"/>
      <c r="AB588" s="69"/>
      <c r="AC588" s="69"/>
      <c r="AD588" s="69"/>
      <c r="AE588" s="76"/>
      <c r="AF588" s="71"/>
      <c r="AG588" s="71"/>
      <c r="AH588" s="71"/>
      <c r="AI588" s="71"/>
      <c r="AJ588" s="71"/>
      <c r="AK588" s="71"/>
      <c r="AL588" s="71"/>
      <c r="AM588" s="71"/>
      <c r="AN588" s="68"/>
      <c r="AO588" s="68"/>
      <c r="AP588" s="70"/>
      <c r="AQ588" s="71"/>
      <c r="AR588" s="77"/>
      <c r="AS588" s="70"/>
      <c r="AT588" s="68"/>
      <c r="AU588" s="70"/>
      <c r="AV588" s="70"/>
      <c r="AW588" s="71"/>
      <c r="AX588" s="71"/>
      <c r="AY588" s="70"/>
      <c r="AZ588" s="76"/>
      <c r="BA588" s="76"/>
      <c r="BB588" s="76"/>
      <c r="BC588" s="78"/>
    </row>
    <row r="589" spans="1:55" x14ac:dyDescent="0.25">
      <c r="A589" s="68"/>
      <c r="B589" s="68"/>
      <c r="C589" s="68"/>
      <c r="D589" s="70"/>
      <c r="E589" s="70"/>
      <c r="F589" s="70"/>
      <c r="G589" s="72"/>
      <c r="H589" s="74"/>
      <c r="I589" s="74"/>
      <c r="J589" s="75"/>
      <c r="K589" s="81"/>
      <c r="L589" s="76"/>
      <c r="M589" s="76"/>
      <c r="N589" s="76"/>
      <c r="O589" s="71"/>
      <c r="P589" s="70"/>
      <c r="Q589" s="71"/>
      <c r="R589" s="71"/>
      <c r="S589" s="70"/>
      <c r="T589" s="71"/>
      <c r="U589" s="71"/>
      <c r="V589" s="75"/>
      <c r="W589" s="69"/>
      <c r="X589" s="69"/>
      <c r="Y589" s="69"/>
      <c r="Z589" s="69"/>
      <c r="AA589" s="69"/>
      <c r="AB589" s="69"/>
      <c r="AC589" s="69"/>
      <c r="AD589" s="69"/>
      <c r="AE589" s="76"/>
      <c r="AF589" s="71"/>
      <c r="AG589" s="71"/>
      <c r="AH589" s="71"/>
      <c r="AI589" s="71"/>
      <c r="AJ589" s="71"/>
      <c r="AK589" s="71"/>
      <c r="AL589" s="71"/>
      <c r="AM589" s="71"/>
      <c r="AN589" s="68"/>
      <c r="AO589" s="68"/>
      <c r="AP589" s="70"/>
      <c r="AQ589" s="71"/>
      <c r="AR589" s="77"/>
      <c r="AS589" s="70"/>
      <c r="AT589" s="68"/>
      <c r="AU589" s="70"/>
      <c r="AV589" s="70"/>
      <c r="AW589" s="71"/>
      <c r="AX589" s="71"/>
      <c r="AY589" s="70"/>
      <c r="AZ589" s="76"/>
      <c r="BA589" s="76"/>
      <c r="BB589" s="76"/>
      <c r="BC589" s="78"/>
    </row>
    <row r="590" spans="1:55" x14ac:dyDescent="0.25">
      <c r="A590" s="68"/>
      <c r="B590" s="68"/>
      <c r="C590" s="68"/>
      <c r="D590" s="70"/>
      <c r="E590" s="70"/>
      <c r="F590" s="70"/>
      <c r="G590" s="72"/>
      <c r="H590" s="74"/>
      <c r="I590" s="74"/>
      <c r="J590" s="75"/>
      <c r="K590" s="81"/>
      <c r="L590" s="76"/>
      <c r="M590" s="76"/>
      <c r="N590" s="76"/>
      <c r="O590" s="71"/>
      <c r="P590" s="70"/>
      <c r="Q590" s="71"/>
      <c r="R590" s="71"/>
      <c r="S590" s="70"/>
      <c r="T590" s="71"/>
      <c r="U590" s="71"/>
      <c r="V590" s="75"/>
      <c r="W590" s="69"/>
      <c r="X590" s="69"/>
      <c r="Y590" s="69"/>
      <c r="Z590" s="69"/>
      <c r="AA590" s="69"/>
      <c r="AB590" s="69"/>
      <c r="AC590" s="69"/>
      <c r="AD590" s="69"/>
      <c r="AE590" s="76"/>
      <c r="AF590" s="71"/>
      <c r="AG590" s="71"/>
      <c r="AH590" s="71"/>
      <c r="AI590" s="71"/>
      <c r="AJ590" s="71"/>
      <c r="AK590" s="71"/>
      <c r="AL590" s="71"/>
      <c r="AM590" s="71"/>
      <c r="AN590" s="68"/>
      <c r="AO590" s="68"/>
      <c r="AP590" s="70"/>
      <c r="AQ590" s="71"/>
      <c r="AR590" s="77"/>
      <c r="AS590" s="70"/>
      <c r="AT590" s="68"/>
      <c r="AU590" s="70"/>
      <c r="AV590" s="70"/>
      <c r="AW590" s="71"/>
      <c r="AX590" s="71"/>
      <c r="AY590" s="70"/>
      <c r="AZ590" s="76"/>
      <c r="BA590" s="76"/>
      <c r="BB590" s="76"/>
      <c r="BC590" s="78"/>
    </row>
    <row r="591" spans="1:55" x14ac:dyDescent="0.25">
      <c r="A591" s="68"/>
      <c r="B591" s="68"/>
      <c r="C591" s="68"/>
      <c r="D591" s="70"/>
      <c r="E591" s="70"/>
      <c r="F591" s="70"/>
      <c r="G591" s="72"/>
      <c r="H591" s="74"/>
      <c r="I591" s="74"/>
      <c r="J591" s="75"/>
      <c r="K591" s="81"/>
      <c r="L591" s="76"/>
      <c r="M591" s="76"/>
      <c r="N591" s="76"/>
      <c r="O591" s="71"/>
      <c r="P591" s="70"/>
      <c r="Q591" s="71"/>
      <c r="R591" s="71"/>
      <c r="S591" s="70"/>
      <c r="T591" s="71"/>
      <c r="U591" s="71"/>
      <c r="V591" s="75"/>
      <c r="W591" s="69"/>
      <c r="X591" s="69"/>
      <c r="Y591" s="69"/>
      <c r="Z591" s="69"/>
      <c r="AA591" s="69"/>
      <c r="AB591" s="69"/>
      <c r="AC591" s="69"/>
      <c r="AD591" s="69"/>
      <c r="AE591" s="76"/>
      <c r="AF591" s="71"/>
      <c r="AG591" s="71"/>
      <c r="AH591" s="71"/>
      <c r="AI591" s="71"/>
      <c r="AJ591" s="71"/>
      <c r="AK591" s="71"/>
      <c r="AL591" s="71"/>
      <c r="AM591" s="71"/>
      <c r="AN591" s="68"/>
      <c r="AO591" s="68"/>
      <c r="AP591" s="70"/>
      <c r="AQ591" s="71"/>
      <c r="AR591" s="77"/>
      <c r="AS591" s="70"/>
      <c r="AT591" s="68"/>
      <c r="AU591" s="70"/>
      <c r="AV591" s="70"/>
      <c r="AW591" s="71"/>
      <c r="AX591" s="71"/>
      <c r="AY591" s="70"/>
      <c r="AZ591" s="76"/>
      <c r="BA591" s="76"/>
      <c r="BB591" s="76"/>
      <c r="BC591" s="78"/>
    </row>
    <row r="592" spans="1:55" x14ac:dyDescent="0.25">
      <c r="A592" s="68"/>
      <c r="B592" s="68"/>
      <c r="C592" s="68"/>
      <c r="D592" s="70"/>
      <c r="E592" s="70"/>
      <c r="F592" s="70"/>
      <c r="G592" s="72"/>
      <c r="H592" s="74"/>
      <c r="I592" s="74"/>
      <c r="J592" s="75"/>
      <c r="K592" s="81"/>
      <c r="L592" s="76"/>
      <c r="M592" s="76"/>
      <c r="N592" s="76"/>
      <c r="O592" s="71"/>
      <c r="P592" s="70"/>
      <c r="Q592" s="71"/>
      <c r="R592" s="71"/>
      <c r="S592" s="70"/>
      <c r="T592" s="71"/>
      <c r="U592" s="71"/>
      <c r="V592" s="75"/>
      <c r="W592" s="69"/>
      <c r="X592" s="69"/>
      <c r="Y592" s="69"/>
      <c r="Z592" s="69"/>
      <c r="AA592" s="69"/>
      <c r="AB592" s="69"/>
      <c r="AC592" s="69"/>
      <c r="AD592" s="69"/>
      <c r="AE592" s="76"/>
      <c r="AF592" s="71"/>
      <c r="AG592" s="71"/>
      <c r="AH592" s="71"/>
      <c r="AI592" s="71"/>
      <c r="AJ592" s="71"/>
      <c r="AK592" s="71"/>
      <c r="AL592" s="71"/>
      <c r="AM592" s="71"/>
      <c r="AN592" s="68"/>
      <c r="AO592" s="68"/>
      <c r="AP592" s="70"/>
      <c r="AQ592" s="71"/>
      <c r="AR592" s="77"/>
      <c r="AS592" s="70"/>
      <c r="AT592" s="68"/>
      <c r="AU592" s="70"/>
      <c r="AV592" s="70"/>
      <c r="AW592" s="71"/>
      <c r="AX592" s="71"/>
      <c r="AY592" s="70"/>
      <c r="AZ592" s="76"/>
      <c r="BA592" s="76"/>
      <c r="BB592" s="76"/>
      <c r="BC592" s="78"/>
    </row>
    <row r="593" spans="1:55" x14ac:dyDescent="0.25">
      <c r="A593" s="68"/>
      <c r="B593" s="68"/>
      <c r="C593" s="68"/>
      <c r="D593" s="70"/>
      <c r="E593" s="70"/>
      <c r="F593" s="70"/>
      <c r="G593" s="72"/>
      <c r="H593" s="74"/>
      <c r="I593" s="74"/>
      <c r="J593" s="75"/>
      <c r="K593" s="81"/>
      <c r="L593" s="76"/>
      <c r="M593" s="76"/>
      <c r="N593" s="76"/>
      <c r="O593" s="71"/>
      <c r="P593" s="70"/>
      <c r="Q593" s="71"/>
      <c r="R593" s="71"/>
      <c r="S593" s="70"/>
      <c r="T593" s="71"/>
      <c r="U593" s="71"/>
      <c r="V593" s="75"/>
      <c r="W593" s="69"/>
      <c r="X593" s="69"/>
      <c r="Y593" s="69"/>
      <c r="Z593" s="69"/>
      <c r="AA593" s="69"/>
      <c r="AB593" s="69"/>
      <c r="AC593" s="69"/>
      <c r="AD593" s="69"/>
      <c r="AE593" s="76"/>
      <c r="AF593" s="71"/>
      <c r="AG593" s="71"/>
      <c r="AH593" s="71"/>
      <c r="AI593" s="71"/>
      <c r="AJ593" s="71"/>
      <c r="AK593" s="71"/>
      <c r="AL593" s="71"/>
      <c r="AM593" s="71"/>
      <c r="AN593" s="68"/>
      <c r="AO593" s="68"/>
      <c r="AP593" s="70"/>
      <c r="AQ593" s="71"/>
      <c r="AR593" s="77"/>
      <c r="AS593" s="70"/>
      <c r="AT593" s="68"/>
      <c r="AU593" s="70"/>
      <c r="AV593" s="70"/>
      <c r="AW593" s="71"/>
      <c r="AX593" s="71"/>
      <c r="AY593" s="70"/>
      <c r="AZ593" s="76"/>
      <c r="BA593" s="76"/>
      <c r="BB593" s="76"/>
      <c r="BC593" s="78"/>
    </row>
    <row r="594" spans="1:55" x14ac:dyDescent="0.25">
      <c r="A594" s="68"/>
      <c r="B594" s="68"/>
      <c r="C594" s="68"/>
      <c r="D594" s="70"/>
      <c r="E594" s="70"/>
      <c r="F594" s="70"/>
      <c r="G594" s="72"/>
      <c r="H594" s="74"/>
      <c r="I594" s="74"/>
      <c r="J594" s="75"/>
      <c r="K594" s="81"/>
      <c r="L594" s="76"/>
      <c r="M594" s="76"/>
      <c r="N594" s="76"/>
      <c r="O594" s="71"/>
      <c r="P594" s="70"/>
      <c r="Q594" s="71"/>
      <c r="R594" s="71"/>
      <c r="S594" s="70"/>
      <c r="T594" s="71"/>
      <c r="U594" s="71"/>
      <c r="V594" s="75"/>
      <c r="W594" s="69"/>
      <c r="X594" s="69"/>
      <c r="Y594" s="69"/>
      <c r="Z594" s="69"/>
      <c r="AA594" s="69"/>
      <c r="AB594" s="69"/>
      <c r="AC594" s="69"/>
      <c r="AD594" s="69"/>
      <c r="AE594" s="76"/>
      <c r="AF594" s="71"/>
      <c r="AG594" s="71"/>
      <c r="AH594" s="71"/>
      <c r="AI594" s="71"/>
      <c r="AJ594" s="71"/>
      <c r="AK594" s="71"/>
      <c r="AL594" s="71"/>
      <c r="AM594" s="71"/>
      <c r="AN594" s="68"/>
      <c r="AO594" s="68"/>
      <c r="AP594" s="70"/>
      <c r="AQ594" s="71"/>
      <c r="AR594" s="77"/>
      <c r="AS594" s="70"/>
      <c r="AT594" s="68"/>
      <c r="AU594" s="70"/>
      <c r="AV594" s="70"/>
      <c r="AW594" s="71"/>
      <c r="AX594" s="71"/>
      <c r="AY594" s="70"/>
      <c r="AZ594" s="76"/>
      <c r="BA594" s="76"/>
      <c r="BB594" s="76"/>
      <c r="BC594" s="78"/>
    </row>
    <row r="595" spans="1:55" x14ac:dyDescent="0.25">
      <c r="A595" s="68"/>
      <c r="B595" s="68"/>
      <c r="C595" s="68"/>
      <c r="D595" s="70"/>
      <c r="E595" s="70"/>
      <c r="F595" s="70"/>
      <c r="G595" s="72"/>
      <c r="H595" s="74"/>
      <c r="I595" s="74"/>
      <c r="J595" s="75"/>
      <c r="K595" s="81"/>
      <c r="L595" s="76"/>
      <c r="M595" s="76"/>
      <c r="N595" s="76"/>
      <c r="O595" s="71"/>
      <c r="P595" s="70"/>
      <c r="Q595" s="71"/>
      <c r="R595" s="71"/>
      <c r="S595" s="70"/>
      <c r="T595" s="71"/>
      <c r="U595" s="71"/>
      <c r="V595" s="75"/>
      <c r="W595" s="69"/>
      <c r="X595" s="69"/>
      <c r="Y595" s="69"/>
      <c r="Z595" s="69"/>
      <c r="AA595" s="69"/>
      <c r="AB595" s="69"/>
      <c r="AC595" s="69"/>
      <c r="AD595" s="69"/>
      <c r="AE595" s="76"/>
      <c r="AF595" s="71"/>
      <c r="AG595" s="71"/>
      <c r="AH595" s="71"/>
      <c r="AI595" s="71"/>
      <c r="AJ595" s="71"/>
      <c r="AK595" s="71"/>
      <c r="AL595" s="71"/>
      <c r="AM595" s="71"/>
      <c r="AN595" s="68"/>
      <c r="AO595" s="68"/>
      <c r="AP595" s="70"/>
      <c r="AQ595" s="71"/>
      <c r="AR595" s="77"/>
      <c r="AS595" s="70"/>
      <c r="AT595" s="68"/>
      <c r="AU595" s="70"/>
      <c r="AV595" s="70"/>
      <c r="AW595" s="71"/>
      <c r="AX595" s="71"/>
      <c r="AY595" s="70"/>
      <c r="AZ595" s="76"/>
      <c r="BA595" s="76"/>
      <c r="BB595" s="76"/>
      <c r="BC595" s="78"/>
    </row>
    <row r="596" spans="1:55" x14ac:dyDescent="0.25">
      <c r="A596" s="68"/>
      <c r="B596" s="68"/>
      <c r="C596" s="68"/>
      <c r="D596" s="70"/>
      <c r="E596" s="70"/>
      <c r="F596" s="70"/>
      <c r="G596" s="72"/>
      <c r="H596" s="74"/>
      <c r="I596" s="74"/>
      <c r="J596" s="75"/>
      <c r="K596" s="81"/>
      <c r="L596" s="76"/>
      <c r="M596" s="76"/>
      <c r="N596" s="76"/>
      <c r="O596" s="71"/>
      <c r="P596" s="70"/>
      <c r="Q596" s="71"/>
      <c r="R596" s="71"/>
      <c r="S596" s="70"/>
      <c r="T596" s="71"/>
      <c r="U596" s="71"/>
      <c r="V596" s="75"/>
      <c r="W596" s="69"/>
      <c r="X596" s="69"/>
      <c r="Y596" s="69"/>
      <c r="Z596" s="69"/>
      <c r="AA596" s="69"/>
      <c r="AB596" s="69"/>
      <c r="AC596" s="69"/>
      <c r="AD596" s="69"/>
      <c r="AE596" s="76"/>
      <c r="AF596" s="71"/>
      <c r="AG596" s="71"/>
      <c r="AH596" s="71"/>
      <c r="AI596" s="71"/>
      <c r="AJ596" s="71"/>
      <c r="AK596" s="71"/>
      <c r="AL596" s="71"/>
      <c r="AM596" s="71"/>
      <c r="AN596" s="68"/>
      <c r="AO596" s="68"/>
      <c r="AP596" s="70"/>
      <c r="AQ596" s="71"/>
      <c r="AR596" s="77"/>
      <c r="AS596" s="70"/>
      <c r="AT596" s="68"/>
      <c r="AU596" s="70"/>
      <c r="AV596" s="70"/>
      <c r="AW596" s="71"/>
      <c r="AX596" s="71"/>
      <c r="AY596" s="70"/>
      <c r="AZ596" s="76"/>
      <c r="BA596" s="76"/>
      <c r="BB596" s="76"/>
      <c r="BC596" s="78"/>
    </row>
    <row r="597" spans="1:55" x14ac:dyDescent="0.25">
      <c r="A597" s="68"/>
      <c r="B597" s="68"/>
      <c r="C597" s="68"/>
      <c r="D597" s="70"/>
      <c r="E597" s="70"/>
      <c r="F597" s="70"/>
      <c r="G597" s="72"/>
      <c r="H597" s="74"/>
      <c r="I597" s="74"/>
      <c r="J597" s="75"/>
      <c r="K597" s="81"/>
      <c r="L597" s="76"/>
      <c r="M597" s="76"/>
      <c r="N597" s="76"/>
      <c r="O597" s="71"/>
      <c r="P597" s="70"/>
      <c r="Q597" s="71"/>
      <c r="R597" s="71"/>
      <c r="S597" s="70"/>
      <c r="T597" s="71"/>
      <c r="U597" s="71"/>
      <c r="V597" s="75"/>
      <c r="W597" s="69"/>
      <c r="X597" s="69"/>
      <c r="Y597" s="69"/>
      <c r="Z597" s="69"/>
      <c r="AA597" s="69"/>
      <c r="AB597" s="69"/>
      <c r="AC597" s="69"/>
      <c r="AD597" s="69"/>
      <c r="AE597" s="76"/>
      <c r="AF597" s="71"/>
      <c r="AG597" s="71"/>
      <c r="AH597" s="71"/>
      <c r="AI597" s="71"/>
      <c r="AJ597" s="71"/>
      <c r="AK597" s="71"/>
      <c r="AL597" s="71"/>
      <c r="AM597" s="71"/>
      <c r="AN597" s="68"/>
      <c r="AO597" s="68"/>
      <c r="AP597" s="70"/>
      <c r="AQ597" s="71"/>
      <c r="AR597" s="77"/>
      <c r="AS597" s="70"/>
      <c r="AT597" s="68"/>
      <c r="AU597" s="70"/>
      <c r="AV597" s="70"/>
      <c r="AW597" s="71"/>
      <c r="AX597" s="71"/>
      <c r="AY597" s="70"/>
      <c r="AZ597" s="76"/>
      <c r="BA597" s="76"/>
      <c r="BB597" s="76"/>
      <c r="BC597" s="78"/>
    </row>
    <row r="598" spans="1:55" x14ac:dyDescent="0.25">
      <c r="A598" s="68"/>
      <c r="B598" s="68"/>
      <c r="C598" s="68"/>
      <c r="D598" s="70"/>
      <c r="E598" s="70"/>
      <c r="F598" s="70"/>
      <c r="G598" s="72"/>
      <c r="H598" s="74"/>
      <c r="I598" s="74"/>
      <c r="J598" s="75"/>
      <c r="K598" s="81"/>
      <c r="L598" s="76"/>
      <c r="M598" s="76"/>
      <c r="N598" s="76"/>
      <c r="O598" s="71"/>
      <c r="P598" s="70"/>
      <c r="Q598" s="71"/>
      <c r="R598" s="71"/>
      <c r="S598" s="70"/>
      <c r="T598" s="71"/>
      <c r="U598" s="71"/>
      <c r="V598" s="75"/>
      <c r="W598" s="69"/>
      <c r="X598" s="69"/>
      <c r="Y598" s="69"/>
      <c r="Z598" s="69"/>
      <c r="AA598" s="69"/>
      <c r="AB598" s="69"/>
      <c r="AC598" s="69"/>
      <c r="AD598" s="69"/>
      <c r="AE598" s="76"/>
      <c r="AF598" s="71"/>
      <c r="AG598" s="71"/>
      <c r="AH598" s="71"/>
      <c r="AI598" s="71"/>
      <c r="AJ598" s="71"/>
      <c r="AK598" s="71"/>
      <c r="AL598" s="71"/>
      <c r="AM598" s="71"/>
      <c r="AN598" s="68"/>
      <c r="AO598" s="68"/>
      <c r="AP598" s="70"/>
      <c r="AQ598" s="71"/>
      <c r="AR598" s="77"/>
      <c r="AS598" s="70"/>
      <c r="AT598" s="68"/>
      <c r="AU598" s="70"/>
      <c r="AV598" s="70"/>
      <c r="AW598" s="71"/>
      <c r="AX598" s="71"/>
      <c r="AY598" s="70"/>
      <c r="AZ598" s="76"/>
      <c r="BA598" s="76"/>
      <c r="BB598" s="76"/>
      <c r="BC598" s="78"/>
    </row>
    <row r="599" spans="1:55" x14ac:dyDescent="0.25">
      <c r="A599" s="68"/>
      <c r="B599" s="68"/>
      <c r="C599" s="68"/>
      <c r="D599" s="70"/>
      <c r="E599" s="70"/>
      <c r="F599" s="70"/>
      <c r="G599" s="72"/>
      <c r="H599" s="74"/>
      <c r="I599" s="74"/>
      <c r="J599" s="75"/>
      <c r="K599" s="81"/>
      <c r="L599" s="76"/>
      <c r="M599" s="76"/>
      <c r="N599" s="76"/>
      <c r="O599" s="71"/>
      <c r="P599" s="70"/>
      <c r="Q599" s="71"/>
      <c r="R599" s="71"/>
      <c r="S599" s="70"/>
      <c r="T599" s="71"/>
      <c r="U599" s="71"/>
      <c r="V599" s="75"/>
      <c r="W599" s="69"/>
      <c r="X599" s="69"/>
      <c r="Y599" s="69"/>
      <c r="Z599" s="69"/>
      <c r="AA599" s="69"/>
      <c r="AB599" s="69"/>
      <c r="AC599" s="69"/>
      <c r="AD599" s="69"/>
      <c r="AE599" s="76"/>
      <c r="AF599" s="71"/>
      <c r="AG599" s="71"/>
      <c r="AH599" s="71"/>
      <c r="AI599" s="71"/>
      <c r="AJ599" s="71"/>
      <c r="AK599" s="71"/>
      <c r="AL599" s="71"/>
      <c r="AM599" s="71"/>
      <c r="AN599" s="68"/>
      <c r="AO599" s="68"/>
      <c r="AP599" s="70"/>
      <c r="AQ599" s="71"/>
      <c r="AR599" s="77"/>
      <c r="AS599" s="70"/>
      <c r="AT599" s="68"/>
      <c r="AU599" s="70"/>
      <c r="AV599" s="70"/>
      <c r="AW599" s="71"/>
      <c r="AX599" s="71"/>
      <c r="AY599" s="70"/>
      <c r="AZ599" s="76"/>
      <c r="BA599" s="76"/>
      <c r="BB599" s="76"/>
      <c r="BC599" s="78"/>
    </row>
    <row r="600" spans="1:55" x14ac:dyDescent="0.25">
      <c r="A600" s="68"/>
      <c r="B600" s="68"/>
      <c r="C600" s="68"/>
      <c r="D600" s="70"/>
      <c r="E600" s="70"/>
      <c r="F600" s="70"/>
      <c r="G600" s="72"/>
      <c r="H600" s="74"/>
      <c r="I600" s="74"/>
      <c r="J600" s="75"/>
      <c r="K600" s="81"/>
      <c r="L600" s="76"/>
      <c r="M600" s="76"/>
      <c r="N600" s="76"/>
      <c r="O600" s="71"/>
      <c r="P600" s="70"/>
      <c r="Q600" s="71"/>
      <c r="R600" s="71"/>
      <c r="S600" s="70"/>
      <c r="T600" s="71"/>
      <c r="U600" s="71"/>
      <c r="V600" s="75"/>
      <c r="W600" s="69"/>
      <c r="X600" s="69"/>
      <c r="Y600" s="69"/>
      <c r="Z600" s="69"/>
      <c r="AA600" s="69"/>
      <c r="AB600" s="69"/>
      <c r="AC600" s="69"/>
      <c r="AD600" s="69"/>
      <c r="AE600" s="76"/>
      <c r="AF600" s="71"/>
      <c r="AG600" s="71"/>
      <c r="AH600" s="71"/>
      <c r="AI600" s="71"/>
      <c r="AJ600" s="71"/>
      <c r="AK600" s="71"/>
      <c r="AL600" s="71"/>
      <c r="AM600" s="71"/>
      <c r="AN600" s="68"/>
      <c r="AO600" s="68"/>
      <c r="AP600" s="70"/>
      <c r="AQ600" s="71"/>
      <c r="AR600" s="77"/>
      <c r="AS600" s="70"/>
      <c r="AT600" s="68"/>
      <c r="AU600" s="70"/>
      <c r="AV600" s="70"/>
      <c r="AW600" s="71"/>
      <c r="AX600" s="71"/>
      <c r="AY600" s="70"/>
      <c r="AZ600" s="76"/>
      <c r="BA600" s="76"/>
      <c r="BB600" s="76"/>
      <c r="BC600" s="78"/>
    </row>
    <row r="601" spans="1:55" x14ac:dyDescent="0.25">
      <c r="A601" s="68"/>
      <c r="B601" s="68"/>
      <c r="C601" s="68"/>
      <c r="D601" s="70"/>
      <c r="E601" s="70"/>
      <c r="F601" s="70"/>
      <c r="G601" s="72"/>
      <c r="H601" s="74"/>
      <c r="I601" s="74"/>
      <c r="J601" s="75"/>
      <c r="K601" s="81"/>
      <c r="L601" s="76"/>
      <c r="M601" s="76"/>
      <c r="N601" s="76"/>
      <c r="O601" s="71"/>
      <c r="P601" s="70"/>
      <c r="Q601" s="71"/>
      <c r="R601" s="71"/>
      <c r="S601" s="70"/>
      <c r="T601" s="71"/>
      <c r="U601" s="71"/>
      <c r="V601" s="75"/>
      <c r="W601" s="69"/>
      <c r="X601" s="69"/>
      <c r="Y601" s="69"/>
      <c r="Z601" s="69"/>
      <c r="AA601" s="69"/>
      <c r="AB601" s="69"/>
      <c r="AC601" s="69"/>
      <c r="AD601" s="69"/>
      <c r="AE601" s="76"/>
      <c r="AF601" s="71"/>
      <c r="AG601" s="71"/>
      <c r="AH601" s="71"/>
      <c r="AI601" s="71"/>
      <c r="AJ601" s="71"/>
      <c r="AK601" s="71"/>
      <c r="AL601" s="71"/>
      <c r="AM601" s="71"/>
      <c r="AN601" s="68"/>
      <c r="AO601" s="68"/>
      <c r="AP601" s="70"/>
      <c r="AQ601" s="71"/>
      <c r="AR601" s="77"/>
      <c r="AS601" s="70"/>
      <c r="AT601" s="68"/>
      <c r="AU601" s="70"/>
      <c r="AV601" s="70"/>
      <c r="AW601" s="71"/>
      <c r="AX601" s="71"/>
      <c r="AY601" s="70"/>
      <c r="AZ601" s="76"/>
      <c r="BA601" s="76"/>
      <c r="BB601" s="76"/>
      <c r="BC601" s="78"/>
    </row>
    <row r="602" spans="1:55" x14ac:dyDescent="0.25">
      <c r="A602" s="68"/>
      <c r="B602" s="68"/>
      <c r="C602" s="68"/>
      <c r="D602" s="70"/>
      <c r="E602" s="70"/>
      <c r="F602" s="70"/>
      <c r="G602" s="72"/>
      <c r="H602" s="74"/>
      <c r="I602" s="74"/>
      <c r="J602" s="75"/>
      <c r="K602" s="81"/>
      <c r="L602" s="76"/>
      <c r="M602" s="76"/>
      <c r="N602" s="76"/>
      <c r="O602" s="71"/>
      <c r="P602" s="70"/>
      <c r="Q602" s="71"/>
      <c r="R602" s="71"/>
      <c r="S602" s="70"/>
      <c r="T602" s="71"/>
      <c r="U602" s="71"/>
      <c r="V602" s="75"/>
      <c r="W602" s="69"/>
      <c r="X602" s="69"/>
      <c r="Y602" s="69"/>
      <c r="Z602" s="69"/>
      <c r="AA602" s="69"/>
      <c r="AB602" s="69"/>
      <c r="AC602" s="69"/>
      <c r="AD602" s="69"/>
      <c r="AE602" s="76"/>
      <c r="AF602" s="71"/>
      <c r="AG602" s="71"/>
      <c r="AH602" s="71"/>
      <c r="AI602" s="71"/>
      <c r="AJ602" s="71"/>
      <c r="AK602" s="71"/>
      <c r="AL602" s="71"/>
      <c r="AM602" s="71"/>
      <c r="AN602" s="68"/>
      <c r="AO602" s="68"/>
      <c r="AP602" s="70"/>
      <c r="AQ602" s="71"/>
      <c r="AR602" s="77"/>
      <c r="AS602" s="70"/>
      <c r="AT602" s="68"/>
      <c r="AU602" s="70"/>
      <c r="AV602" s="70"/>
      <c r="AW602" s="71"/>
      <c r="AX602" s="71"/>
      <c r="AY602" s="70"/>
      <c r="AZ602" s="76"/>
      <c r="BA602" s="76"/>
      <c r="BB602" s="76"/>
      <c r="BC602" s="78"/>
    </row>
    <row r="603" spans="1:55" x14ac:dyDescent="0.25">
      <c r="A603" s="68"/>
      <c r="B603" s="68"/>
      <c r="C603" s="68"/>
      <c r="D603" s="70"/>
      <c r="E603" s="70"/>
      <c r="F603" s="70"/>
      <c r="G603" s="72"/>
      <c r="H603" s="74"/>
      <c r="I603" s="74"/>
      <c r="J603" s="75"/>
      <c r="K603" s="81"/>
      <c r="L603" s="76"/>
      <c r="M603" s="76"/>
      <c r="N603" s="76"/>
      <c r="O603" s="71"/>
      <c r="P603" s="70"/>
      <c r="Q603" s="71"/>
      <c r="R603" s="71"/>
      <c r="S603" s="70"/>
      <c r="T603" s="71"/>
      <c r="U603" s="71"/>
      <c r="V603" s="75"/>
      <c r="W603" s="69"/>
      <c r="X603" s="69"/>
      <c r="Y603" s="69"/>
      <c r="Z603" s="69"/>
      <c r="AA603" s="69"/>
      <c r="AB603" s="69"/>
      <c r="AC603" s="69"/>
      <c r="AD603" s="69"/>
      <c r="AE603" s="76"/>
      <c r="AF603" s="71"/>
      <c r="AG603" s="71"/>
      <c r="AH603" s="71"/>
      <c r="AI603" s="71"/>
      <c r="AJ603" s="71"/>
      <c r="AK603" s="71"/>
      <c r="AL603" s="71"/>
      <c r="AM603" s="71"/>
      <c r="AN603" s="68"/>
      <c r="AO603" s="68"/>
      <c r="AP603" s="70"/>
      <c r="AQ603" s="71"/>
      <c r="AR603" s="77"/>
      <c r="AS603" s="70"/>
      <c r="AT603" s="68"/>
      <c r="AU603" s="70"/>
      <c r="AV603" s="70"/>
      <c r="AW603" s="71"/>
      <c r="AX603" s="71"/>
      <c r="AY603" s="70"/>
      <c r="AZ603" s="76"/>
      <c r="BA603" s="76"/>
      <c r="BB603" s="76"/>
      <c r="BC603" s="78"/>
    </row>
    <row r="604" spans="1:55" x14ac:dyDescent="0.25">
      <c r="A604" s="68"/>
      <c r="B604" s="68"/>
      <c r="C604" s="68"/>
      <c r="D604" s="70"/>
      <c r="E604" s="70"/>
      <c r="F604" s="70"/>
      <c r="G604" s="72"/>
      <c r="H604" s="74"/>
      <c r="I604" s="74"/>
      <c r="J604" s="75"/>
      <c r="K604" s="81"/>
      <c r="L604" s="76"/>
      <c r="M604" s="76"/>
      <c r="N604" s="76"/>
      <c r="O604" s="71"/>
      <c r="P604" s="70"/>
      <c r="Q604" s="71"/>
      <c r="R604" s="71"/>
      <c r="S604" s="70"/>
      <c r="T604" s="71"/>
      <c r="U604" s="71"/>
      <c r="V604" s="75"/>
      <c r="W604" s="69"/>
      <c r="X604" s="69"/>
      <c r="Y604" s="69"/>
      <c r="Z604" s="69"/>
      <c r="AA604" s="69"/>
      <c r="AB604" s="69"/>
      <c r="AC604" s="69"/>
      <c r="AD604" s="69"/>
      <c r="AE604" s="76"/>
      <c r="AF604" s="71"/>
      <c r="AG604" s="71"/>
      <c r="AH604" s="71"/>
      <c r="AI604" s="71"/>
      <c r="AJ604" s="71"/>
      <c r="AK604" s="71"/>
      <c r="AL604" s="71"/>
      <c r="AM604" s="71"/>
      <c r="AN604" s="68"/>
      <c r="AO604" s="68"/>
      <c r="AP604" s="70"/>
      <c r="AQ604" s="71"/>
      <c r="AR604" s="77"/>
      <c r="AS604" s="70"/>
      <c r="AT604" s="68"/>
      <c r="AU604" s="70"/>
      <c r="AV604" s="70"/>
      <c r="AW604" s="71"/>
      <c r="AX604" s="71"/>
      <c r="AY604" s="70"/>
      <c r="AZ604" s="76"/>
      <c r="BA604" s="76"/>
      <c r="BB604" s="76"/>
      <c r="BC604" s="78"/>
    </row>
    <row r="605" spans="1:55" x14ac:dyDescent="0.25">
      <c r="A605" s="68"/>
      <c r="B605" s="68"/>
      <c r="C605" s="68"/>
      <c r="D605" s="70"/>
      <c r="E605" s="70"/>
      <c r="F605" s="70"/>
      <c r="G605" s="72"/>
      <c r="H605" s="74"/>
      <c r="I605" s="74"/>
      <c r="J605" s="75"/>
      <c r="K605" s="81"/>
      <c r="L605" s="76"/>
      <c r="M605" s="76"/>
      <c r="N605" s="76"/>
      <c r="O605" s="71"/>
      <c r="P605" s="70"/>
      <c r="Q605" s="71"/>
      <c r="R605" s="71"/>
      <c r="S605" s="70"/>
      <c r="T605" s="71"/>
      <c r="U605" s="71"/>
      <c r="V605" s="75"/>
      <c r="W605" s="69"/>
      <c r="X605" s="69"/>
      <c r="Y605" s="69"/>
      <c r="Z605" s="69"/>
      <c r="AA605" s="69"/>
      <c r="AB605" s="69"/>
      <c r="AC605" s="69"/>
      <c r="AD605" s="69"/>
      <c r="AE605" s="76"/>
      <c r="AF605" s="71"/>
      <c r="AG605" s="71"/>
      <c r="AH605" s="71"/>
      <c r="AI605" s="71"/>
      <c r="AJ605" s="71"/>
      <c r="AK605" s="71"/>
      <c r="AL605" s="71"/>
      <c r="AM605" s="71"/>
      <c r="AN605" s="68"/>
      <c r="AO605" s="68"/>
      <c r="AP605" s="70"/>
      <c r="AQ605" s="71"/>
      <c r="AR605" s="77"/>
      <c r="AS605" s="70"/>
      <c r="AT605" s="68"/>
      <c r="AU605" s="70"/>
      <c r="AV605" s="70"/>
      <c r="AW605" s="71"/>
      <c r="AX605" s="71"/>
      <c r="AY605" s="70"/>
      <c r="AZ605" s="76"/>
      <c r="BA605" s="76"/>
      <c r="BB605" s="76"/>
      <c r="BC605" s="78"/>
    </row>
    <row r="606" spans="1:55" x14ac:dyDescent="0.25">
      <c r="A606" s="68"/>
      <c r="B606" s="68"/>
      <c r="C606" s="68"/>
      <c r="D606" s="70"/>
      <c r="E606" s="70"/>
      <c r="F606" s="70"/>
      <c r="G606" s="72"/>
      <c r="H606" s="74"/>
      <c r="I606" s="74"/>
      <c r="J606" s="75"/>
      <c r="K606" s="81"/>
      <c r="L606" s="76"/>
      <c r="M606" s="76"/>
      <c r="N606" s="76"/>
      <c r="O606" s="71"/>
      <c r="P606" s="70"/>
      <c r="Q606" s="71"/>
      <c r="R606" s="71"/>
      <c r="S606" s="70"/>
      <c r="T606" s="71"/>
      <c r="U606" s="71"/>
      <c r="V606" s="75"/>
      <c r="W606" s="69"/>
      <c r="X606" s="69"/>
      <c r="Y606" s="69"/>
      <c r="Z606" s="69"/>
      <c r="AA606" s="69"/>
      <c r="AB606" s="69"/>
      <c r="AC606" s="69"/>
      <c r="AD606" s="69"/>
      <c r="AE606" s="76"/>
      <c r="AF606" s="71"/>
      <c r="AG606" s="71"/>
      <c r="AH606" s="71"/>
      <c r="AI606" s="71"/>
      <c r="AJ606" s="71"/>
      <c r="AK606" s="71"/>
      <c r="AL606" s="71"/>
      <c r="AM606" s="71"/>
      <c r="AN606" s="68"/>
      <c r="AO606" s="68"/>
      <c r="AP606" s="70"/>
      <c r="AQ606" s="71"/>
      <c r="AR606" s="77"/>
      <c r="AS606" s="70"/>
      <c r="AT606" s="68"/>
      <c r="AU606" s="70"/>
      <c r="AV606" s="70"/>
      <c r="AW606" s="71"/>
      <c r="AX606" s="71"/>
      <c r="AY606" s="70"/>
      <c r="AZ606" s="76"/>
      <c r="BA606" s="76"/>
      <c r="BB606" s="76"/>
      <c r="BC606" s="78"/>
    </row>
    <row r="607" spans="1:55" x14ac:dyDescent="0.25">
      <c r="A607" s="68"/>
      <c r="B607" s="68"/>
      <c r="C607" s="68"/>
      <c r="D607" s="70"/>
      <c r="E607" s="70"/>
      <c r="F607" s="70"/>
      <c r="G607" s="72"/>
      <c r="H607" s="74"/>
      <c r="I607" s="74"/>
      <c r="J607" s="75"/>
      <c r="K607" s="81"/>
      <c r="L607" s="76"/>
      <c r="M607" s="76"/>
      <c r="N607" s="76"/>
      <c r="O607" s="71"/>
      <c r="P607" s="70"/>
      <c r="Q607" s="71"/>
      <c r="R607" s="71"/>
      <c r="S607" s="70"/>
      <c r="T607" s="71"/>
      <c r="U607" s="71"/>
      <c r="V607" s="75"/>
      <c r="W607" s="69"/>
      <c r="X607" s="69"/>
      <c r="Y607" s="69"/>
      <c r="Z607" s="69"/>
      <c r="AA607" s="69"/>
      <c r="AB607" s="69"/>
      <c r="AC607" s="69"/>
      <c r="AD607" s="69"/>
      <c r="AE607" s="76"/>
      <c r="AF607" s="71"/>
      <c r="AG607" s="71"/>
      <c r="AH607" s="71"/>
      <c r="AI607" s="71"/>
      <c r="AJ607" s="71"/>
      <c r="AK607" s="71"/>
      <c r="AL607" s="71"/>
      <c r="AM607" s="71"/>
      <c r="AN607" s="68"/>
      <c r="AO607" s="68"/>
      <c r="AP607" s="70"/>
      <c r="AQ607" s="71"/>
      <c r="AR607" s="77"/>
      <c r="AS607" s="70"/>
      <c r="AT607" s="68"/>
      <c r="AU607" s="70"/>
      <c r="AV607" s="70"/>
      <c r="AW607" s="71"/>
      <c r="AX607" s="71"/>
      <c r="AY607" s="70"/>
      <c r="AZ607" s="76"/>
      <c r="BA607" s="76"/>
      <c r="BB607" s="76"/>
      <c r="BC607" s="78"/>
    </row>
    <row r="608" spans="1:55" x14ac:dyDescent="0.25">
      <c r="A608" s="68"/>
      <c r="B608" s="68"/>
      <c r="C608" s="68"/>
      <c r="D608" s="70"/>
      <c r="E608" s="70"/>
      <c r="F608" s="70"/>
      <c r="G608" s="72"/>
      <c r="H608" s="74"/>
      <c r="I608" s="74"/>
      <c r="J608" s="75"/>
      <c r="K608" s="81"/>
      <c r="L608" s="76"/>
      <c r="M608" s="76"/>
      <c r="N608" s="76"/>
      <c r="O608" s="71"/>
      <c r="P608" s="70"/>
      <c r="Q608" s="71"/>
      <c r="R608" s="71"/>
      <c r="S608" s="70"/>
      <c r="T608" s="71"/>
      <c r="U608" s="71"/>
      <c r="V608" s="75"/>
      <c r="W608" s="69"/>
      <c r="X608" s="69"/>
      <c r="Y608" s="69"/>
      <c r="Z608" s="69"/>
      <c r="AA608" s="69"/>
      <c r="AB608" s="69"/>
      <c r="AC608" s="69"/>
      <c r="AD608" s="69"/>
      <c r="AE608" s="76"/>
      <c r="AF608" s="71"/>
      <c r="AG608" s="71"/>
      <c r="AH608" s="71"/>
      <c r="AI608" s="71"/>
      <c r="AJ608" s="71"/>
      <c r="AK608" s="71"/>
      <c r="AL608" s="71"/>
      <c r="AM608" s="71"/>
      <c r="AN608" s="68"/>
      <c r="AO608" s="68"/>
      <c r="AP608" s="70"/>
      <c r="AQ608" s="71"/>
      <c r="AR608" s="77"/>
      <c r="AS608" s="70"/>
      <c r="AT608" s="68"/>
      <c r="AU608" s="70"/>
      <c r="AV608" s="70"/>
      <c r="AW608" s="71"/>
      <c r="AX608" s="71"/>
      <c r="AY608" s="70"/>
      <c r="AZ608" s="76"/>
      <c r="BA608" s="76"/>
      <c r="BB608" s="76"/>
      <c r="BC608" s="78"/>
    </row>
    <row r="609" spans="1:55" x14ac:dyDescent="0.25">
      <c r="A609" s="68"/>
      <c r="B609" s="68"/>
      <c r="C609" s="68"/>
      <c r="D609" s="70"/>
      <c r="E609" s="70"/>
      <c r="F609" s="70"/>
      <c r="G609" s="72"/>
      <c r="H609" s="74"/>
      <c r="I609" s="74"/>
      <c r="J609" s="75"/>
      <c r="K609" s="81"/>
      <c r="L609" s="76"/>
      <c r="M609" s="76"/>
      <c r="N609" s="76"/>
      <c r="O609" s="71"/>
      <c r="P609" s="70"/>
      <c r="Q609" s="71"/>
      <c r="R609" s="71"/>
      <c r="S609" s="70"/>
      <c r="T609" s="71"/>
      <c r="U609" s="71"/>
      <c r="V609" s="75"/>
      <c r="W609" s="69"/>
      <c r="X609" s="69"/>
      <c r="Y609" s="69"/>
      <c r="Z609" s="69"/>
      <c r="AA609" s="69"/>
      <c r="AB609" s="69"/>
      <c r="AC609" s="69"/>
      <c r="AD609" s="69"/>
      <c r="AE609" s="76"/>
      <c r="AF609" s="71"/>
      <c r="AG609" s="71"/>
      <c r="AH609" s="71"/>
      <c r="AI609" s="71"/>
      <c r="AJ609" s="71"/>
      <c r="AK609" s="71"/>
      <c r="AL609" s="71"/>
      <c r="AM609" s="71"/>
      <c r="AN609" s="68"/>
      <c r="AO609" s="68"/>
      <c r="AP609" s="70"/>
      <c r="AQ609" s="71"/>
      <c r="AR609" s="77"/>
      <c r="AS609" s="70"/>
      <c r="AT609" s="68"/>
      <c r="AU609" s="70"/>
      <c r="AV609" s="70"/>
      <c r="AW609" s="71"/>
      <c r="AX609" s="71"/>
      <c r="AY609" s="70"/>
      <c r="AZ609" s="76"/>
      <c r="BA609" s="76"/>
      <c r="BB609" s="76"/>
      <c r="BC609" s="78"/>
    </row>
    <row r="610" spans="1:55" x14ac:dyDescent="0.25">
      <c r="A610" s="68"/>
      <c r="B610" s="68"/>
      <c r="C610" s="68"/>
      <c r="D610" s="70"/>
      <c r="E610" s="70"/>
      <c r="F610" s="70"/>
      <c r="G610" s="72"/>
      <c r="H610" s="74"/>
      <c r="I610" s="74"/>
      <c r="J610" s="75"/>
      <c r="K610" s="81"/>
      <c r="L610" s="76"/>
      <c r="M610" s="76"/>
      <c r="N610" s="76"/>
      <c r="O610" s="71"/>
      <c r="P610" s="70"/>
      <c r="Q610" s="71"/>
      <c r="R610" s="71"/>
      <c r="S610" s="70"/>
      <c r="T610" s="71"/>
      <c r="U610" s="71"/>
      <c r="V610" s="75"/>
      <c r="W610" s="69"/>
      <c r="X610" s="69"/>
      <c r="Y610" s="69"/>
      <c r="Z610" s="69"/>
      <c r="AA610" s="69"/>
      <c r="AB610" s="69"/>
      <c r="AC610" s="69"/>
      <c r="AD610" s="69"/>
      <c r="AE610" s="76"/>
      <c r="AF610" s="71"/>
      <c r="AG610" s="71"/>
      <c r="AH610" s="71"/>
      <c r="AI610" s="71"/>
      <c r="AJ610" s="71"/>
      <c r="AK610" s="71"/>
      <c r="AL610" s="71"/>
      <c r="AM610" s="71"/>
      <c r="AN610" s="68"/>
      <c r="AO610" s="68"/>
      <c r="AP610" s="70"/>
      <c r="AQ610" s="71"/>
      <c r="AR610" s="77"/>
      <c r="AS610" s="70"/>
      <c r="AT610" s="68"/>
      <c r="AU610" s="70"/>
      <c r="AV610" s="70"/>
      <c r="AW610" s="71"/>
      <c r="AX610" s="71"/>
      <c r="AY610" s="70"/>
      <c r="AZ610" s="76"/>
      <c r="BA610" s="76"/>
      <c r="BB610" s="76"/>
      <c r="BC610" s="78"/>
    </row>
    <row r="611" spans="1:55" x14ac:dyDescent="0.25">
      <c r="A611" s="68"/>
      <c r="B611" s="68"/>
      <c r="C611" s="68"/>
      <c r="D611" s="70"/>
      <c r="E611" s="70"/>
      <c r="F611" s="70"/>
      <c r="G611" s="72"/>
      <c r="H611" s="74"/>
      <c r="I611" s="74"/>
      <c r="J611" s="75"/>
      <c r="K611" s="81"/>
      <c r="L611" s="76"/>
      <c r="M611" s="76"/>
      <c r="N611" s="76"/>
      <c r="O611" s="71"/>
      <c r="P611" s="70"/>
      <c r="Q611" s="71"/>
      <c r="R611" s="71"/>
      <c r="S611" s="70"/>
      <c r="T611" s="71"/>
      <c r="U611" s="71"/>
      <c r="V611" s="75"/>
      <c r="W611" s="69"/>
      <c r="X611" s="69"/>
      <c r="Y611" s="69"/>
      <c r="Z611" s="69"/>
      <c r="AA611" s="69"/>
      <c r="AB611" s="69"/>
      <c r="AC611" s="69"/>
      <c r="AD611" s="69"/>
      <c r="AE611" s="76"/>
      <c r="AF611" s="71"/>
      <c r="AG611" s="71"/>
      <c r="AH611" s="71"/>
      <c r="AI611" s="71"/>
      <c r="AJ611" s="71"/>
      <c r="AK611" s="71"/>
      <c r="AL611" s="71"/>
      <c r="AM611" s="71"/>
      <c r="AN611" s="68"/>
      <c r="AO611" s="68"/>
      <c r="AP611" s="70"/>
      <c r="AQ611" s="71"/>
      <c r="AR611" s="77"/>
      <c r="AS611" s="70"/>
      <c r="AT611" s="68"/>
      <c r="AU611" s="70"/>
      <c r="AV611" s="70"/>
      <c r="AW611" s="71"/>
      <c r="AX611" s="71"/>
      <c r="AY611" s="70"/>
      <c r="AZ611" s="76"/>
      <c r="BA611" s="76"/>
      <c r="BB611" s="76"/>
      <c r="BC611" s="78"/>
    </row>
    <row r="612" spans="1:55" x14ac:dyDescent="0.25">
      <c r="A612" s="68"/>
      <c r="B612" s="68"/>
      <c r="C612" s="68"/>
      <c r="D612" s="70"/>
      <c r="E612" s="70"/>
      <c r="F612" s="70"/>
      <c r="G612" s="72"/>
      <c r="H612" s="74"/>
      <c r="I612" s="74"/>
      <c r="J612" s="75"/>
      <c r="K612" s="81"/>
      <c r="L612" s="76"/>
      <c r="M612" s="76"/>
      <c r="N612" s="76"/>
      <c r="O612" s="71"/>
      <c r="P612" s="70"/>
      <c r="Q612" s="71"/>
      <c r="R612" s="71"/>
      <c r="S612" s="70"/>
      <c r="T612" s="71"/>
      <c r="U612" s="71"/>
      <c r="V612" s="75"/>
      <c r="W612" s="69"/>
      <c r="X612" s="69"/>
      <c r="Y612" s="69"/>
      <c r="Z612" s="69"/>
      <c r="AA612" s="69"/>
      <c r="AB612" s="69"/>
      <c r="AC612" s="69"/>
      <c r="AD612" s="69"/>
      <c r="AE612" s="76"/>
      <c r="AF612" s="71"/>
      <c r="AG612" s="71"/>
      <c r="AH612" s="71"/>
      <c r="AI612" s="71"/>
      <c r="AJ612" s="71"/>
      <c r="AK612" s="71"/>
      <c r="AL612" s="71"/>
      <c r="AM612" s="71"/>
      <c r="AN612" s="68"/>
      <c r="AO612" s="68"/>
      <c r="AP612" s="70"/>
      <c r="AQ612" s="71"/>
      <c r="AR612" s="77"/>
      <c r="AS612" s="70"/>
      <c r="AT612" s="68"/>
      <c r="AU612" s="70"/>
      <c r="AV612" s="70"/>
      <c r="AW612" s="71"/>
      <c r="AX612" s="71"/>
      <c r="AY612" s="70"/>
      <c r="AZ612" s="76"/>
      <c r="BA612" s="76"/>
      <c r="BB612" s="76"/>
      <c r="BC612" s="78"/>
    </row>
    <row r="613" spans="1:55" x14ac:dyDescent="0.25">
      <c r="A613" s="68"/>
      <c r="B613" s="68"/>
      <c r="C613" s="68"/>
      <c r="D613" s="70"/>
      <c r="E613" s="70"/>
      <c r="F613" s="70"/>
      <c r="G613" s="72"/>
      <c r="H613" s="74"/>
      <c r="I613" s="74"/>
      <c r="J613" s="75"/>
      <c r="K613" s="81"/>
      <c r="L613" s="76"/>
      <c r="M613" s="76"/>
      <c r="N613" s="76"/>
      <c r="O613" s="71"/>
      <c r="P613" s="70"/>
      <c r="Q613" s="71"/>
      <c r="R613" s="71"/>
      <c r="S613" s="70"/>
      <c r="T613" s="71"/>
      <c r="U613" s="71"/>
      <c r="V613" s="75"/>
      <c r="W613" s="69"/>
      <c r="X613" s="69"/>
      <c r="Y613" s="69"/>
      <c r="Z613" s="69"/>
      <c r="AA613" s="69"/>
      <c r="AB613" s="69"/>
      <c r="AC613" s="69"/>
      <c r="AD613" s="69"/>
      <c r="AE613" s="76"/>
      <c r="AF613" s="71"/>
      <c r="AG613" s="71"/>
      <c r="AH613" s="71"/>
      <c r="AI613" s="71"/>
      <c r="AJ613" s="71"/>
      <c r="AK613" s="71"/>
      <c r="AL613" s="71"/>
      <c r="AM613" s="71"/>
      <c r="AN613" s="68"/>
      <c r="AO613" s="68"/>
      <c r="AP613" s="70"/>
      <c r="AQ613" s="71"/>
      <c r="AR613" s="77"/>
      <c r="AS613" s="70"/>
      <c r="AT613" s="68"/>
      <c r="AU613" s="70"/>
      <c r="AV613" s="70"/>
      <c r="AW613" s="71"/>
      <c r="AX613" s="71"/>
      <c r="AY613" s="70"/>
      <c r="AZ613" s="76"/>
      <c r="BA613" s="76"/>
      <c r="BB613" s="76"/>
      <c r="BC613" s="78"/>
    </row>
    <row r="614" spans="1:55" x14ac:dyDescent="0.25">
      <c r="A614" s="68"/>
      <c r="B614" s="68"/>
      <c r="C614" s="68"/>
      <c r="D614" s="70"/>
      <c r="E614" s="70"/>
      <c r="F614" s="70"/>
      <c r="G614" s="72"/>
      <c r="H614" s="74"/>
      <c r="I614" s="74"/>
      <c r="J614" s="75"/>
      <c r="K614" s="81"/>
      <c r="L614" s="76"/>
      <c r="M614" s="76"/>
      <c r="N614" s="76"/>
      <c r="O614" s="71"/>
      <c r="P614" s="70"/>
      <c r="Q614" s="71"/>
      <c r="R614" s="71"/>
      <c r="S614" s="70"/>
      <c r="T614" s="71"/>
      <c r="U614" s="71"/>
      <c r="V614" s="75"/>
      <c r="W614" s="69"/>
      <c r="X614" s="69"/>
      <c r="Y614" s="69"/>
      <c r="Z614" s="69"/>
      <c r="AA614" s="69"/>
      <c r="AB614" s="69"/>
      <c r="AC614" s="69"/>
      <c r="AD614" s="69"/>
      <c r="AE614" s="76"/>
      <c r="AF614" s="71"/>
      <c r="AG614" s="71"/>
      <c r="AH614" s="71"/>
      <c r="AI614" s="71"/>
      <c r="AJ614" s="71"/>
      <c r="AK614" s="71"/>
      <c r="AL614" s="71"/>
      <c r="AM614" s="71"/>
      <c r="AN614" s="68"/>
      <c r="AO614" s="68"/>
      <c r="AP614" s="70"/>
      <c r="AQ614" s="71"/>
      <c r="AR614" s="77"/>
      <c r="AS614" s="70"/>
      <c r="AT614" s="68"/>
      <c r="AU614" s="70"/>
      <c r="AV614" s="70"/>
      <c r="AW614" s="71"/>
      <c r="AX614" s="71"/>
      <c r="AY614" s="70"/>
      <c r="AZ614" s="76"/>
      <c r="BA614" s="76"/>
      <c r="BB614" s="76"/>
      <c r="BC614" s="78"/>
    </row>
    <row r="615" spans="1:55" x14ac:dyDescent="0.25">
      <c r="A615" s="68"/>
      <c r="B615" s="68"/>
      <c r="C615" s="68"/>
      <c r="D615" s="70"/>
      <c r="E615" s="70"/>
      <c r="F615" s="70"/>
      <c r="G615" s="72"/>
      <c r="H615" s="74"/>
      <c r="I615" s="74"/>
      <c r="J615" s="75"/>
      <c r="K615" s="81"/>
      <c r="L615" s="76"/>
      <c r="M615" s="76"/>
      <c r="N615" s="76"/>
      <c r="O615" s="71"/>
      <c r="P615" s="70"/>
      <c r="Q615" s="71"/>
      <c r="R615" s="71"/>
      <c r="S615" s="70"/>
      <c r="T615" s="71"/>
      <c r="U615" s="71"/>
      <c r="V615" s="75"/>
      <c r="W615" s="69"/>
      <c r="X615" s="69"/>
      <c r="Y615" s="69"/>
      <c r="Z615" s="69"/>
      <c r="AA615" s="69"/>
      <c r="AB615" s="69"/>
      <c r="AC615" s="69"/>
      <c r="AD615" s="69"/>
      <c r="AE615" s="76"/>
      <c r="AF615" s="71"/>
      <c r="AG615" s="71"/>
      <c r="AH615" s="71"/>
      <c r="AI615" s="71"/>
      <c r="AJ615" s="71"/>
      <c r="AK615" s="71"/>
      <c r="AL615" s="71"/>
      <c r="AM615" s="71"/>
      <c r="AN615" s="68"/>
      <c r="AO615" s="68"/>
      <c r="AP615" s="70"/>
      <c r="AQ615" s="71"/>
      <c r="AR615" s="77"/>
      <c r="AS615" s="70"/>
      <c r="AT615" s="68"/>
      <c r="AU615" s="70"/>
      <c r="AV615" s="70"/>
      <c r="AW615" s="71"/>
      <c r="AX615" s="71"/>
      <c r="AY615" s="70"/>
      <c r="AZ615" s="76"/>
      <c r="BA615" s="76"/>
      <c r="BB615" s="76"/>
      <c r="BC615" s="78"/>
    </row>
    <row r="616" spans="1:55" x14ac:dyDescent="0.25">
      <c r="A616" s="68"/>
      <c r="B616" s="68"/>
      <c r="C616" s="68"/>
      <c r="D616" s="70"/>
      <c r="E616" s="70"/>
      <c r="F616" s="70"/>
      <c r="G616" s="72"/>
      <c r="H616" s="74"/>
      <c r="I616" s="74"/>
      <c r="J616" s="75"/>
      <c r="K616" s="81"/>
      <c r="L616" s="76"/>
      <c r="M616" s="76"/>
      <c r="N616" s="76"/>
      <c r="O616" s="71"/>
      <c r="P616" s="70"/>
      <c r="Q616" s="71"/>
      <c r="R616" s="71"/>
      <c r="S616" s="70"/>
      <c r="T616" s="71"/>
      <c r="U616" s="71"/>
      <c r="V616" s="75"/>
      <c r="W616" s="69"/>
      <c r="X616" s="69"/>
      <c r="Y616" s="69"/>
      <c r="Z616" s="69"/>
      <c r="AA616" s="69"/>
      <c r="AB616" s="69"/>
      <c r="AC616" s="69"/>
      <c r="AD616" s="69"/>
      <c r="AE616" s="76"/>
      <c r="AF616" s="71"/>
      <c r="AG616" s="71"/>
      <c r="AH616" s="71"/>
      <c r="AI616" s="71"/>
      <c r="AJ616" s="71"/>
      <c r="AK616" s="71"/>
      <c r="AL616" s="71"/>
      <c r="AM616" s="71"/>
      <c r="AN616" s="68"/>
      <c r="AO616" s="68"/>
      <c r="AP616" s="70"/>
      <c r="AQ616" s="71"/>
      <c r="AR616" s="77"/>
      <c r="AS616" s="70"/>
      <c r="AT616" s="68"/>
      <c r="AU616" s="70"/>
      <c r="AV616" s="70"/>
      <c r="AW616" s="71"/>
      <c r="AX616" s="71"/>
      <c r="AY616" s="70"/>
      <c r="AZ616" s="76"/>
      <c r="BA616" s="76"/>
      <c r="BB616" s="76"/>
      <c r="BC616" s="78"/>
    </row>
    <row r="617" spans="1:55" x14ac:dyDescent="0.25">
      <c r="A617" s="68"/>
      <c r="B617" s="68"/>
      <c r="C617" s="68"/>
      <c r="D617" s="70"/>
      <c r="E617" s="70"/>
      <c r="F617" s="70"/>
      <c r="G617" s="72"/>
      <c r="H617" s="74"/>
      <c r="I617" s="74"/>
      <c r="J617" s="75"/>
      <c r="K617" s="81"/>
      <c r="L617" s="76"/>
      <c r="M617" s="76"/>
      <c r="N617" s="76"/>
      <c r="O617" s="71"/>
      <c r="P617" s="70"/>
      <c r="Q617" s="71"/>
      <c r="R617" s="71"/>
      <c r="S617" s="70"/>
      <c r="T617" s="71"/>
      <c r="U617" s="71"/>
      <c r="V617" s="75"/>
      <c r="W617" s="69"/>
      <c r="X617" s="69"/>
      <c r="Y617" s="69"/>
      <c r="Z617" s="69"/>
      <c r="AA617" s="69"/>
      <c r="AB617" s="69"/>
      <c r="AC617" s="69"/>
      <c r="AD617" s="69"/>
      <c r="AE617" s="76"/>
      <c r="AF617" s="71"/>
      <c r="AG617" s="71"/>
      <c r="AH617" s="71"/>
      <c r="AI617" s="71"/>
      <c r="AJ617" s="71"/>
      <c r="AK617" s="71"/>
      <c r="AL617" s="71"/>
      <c r="AM617" s="71"/>
      <c r="AN617" s="68"/>
      <c r="AO617" s="68"/>
      <c r="AP617" s="70"/>
      <c r="AQ617" s="71"/>
      <c r="AR617" s="77"/>
      <c r="AS617" s="70"/>
      <c r="AT617" s="68"/>
      <c r="AU617" s="70"/>
      <c r="AV617" s="70"/>
      <c r="AW617" s="71"/>
      <c r="AX617" s="71"/>
      <c r="AY617" s="70"/>
      <c r="AZ617" s="76"/>
      <c r="BA617" s="76"/>
      <c r="BB617" s="76"/>
      <c r="BC617" s="78"/>
    </row>
    <row r="618" spans="1:55" x14ac:dyDescent="0.25">
      <c r="A618" s="68"/>
      <c r="B618" s="68"/>
      <c r="C618" s="68"/>
      <c r="D618" s="70"/>
      <c r="E618" s="70"/>
      <c r="F618" s="70"/>
      <c r="G618" s="72"/>
      <c r="H618" s="74"/>
      <c r="I618" s="74"/>
      <c r="J618" s="75"/>
      <c r="K618" s="81"/>
      <c r="L618" s="76"/>
      <c r="M618" s="76"/>
      <c r="N618" s="76"/>
      <c r="O618" s="71"/>
      <c r="P618" s="70"/>
      <c r="Q618" s="71"/>
      <c r="R618" s="71"/>
      <c r="S618" s="70"/>
      <c r="T618" s="71"/>
      <c r="U618" s="71"/>
      <c r="V618" s="75"/>
      <c r="W618" s="69"/>
      <c r="X618" s="69"/>
      <c r="Y618" s="69"/>
      <c r="Z618" s="69"/>
      <c r="AA618" s="69"/>
      <c r="AB618" s="69"/>
      <c r="AC618" s="69"/>
      <c r="AD618" s="69"/>
      <c r="AE618" s="76"/>
      <c r="AF618" s="71"/>
      <c r="AG618" s="71"/>
      <c r="AH618" s="71"/>
      <c r="AI618" s="71"/>
      <c r="AJ618" s="71"/>
      <c r="AK618" s="71"/>
      <c r="AL618" s="71"/>
      <c r="AM618" s="71"/>
      <c r="AN618" s="68"/>
      <c r="AO618" s="68"/>
      <c r="AP618" s="70"/>
      <c r="AQ618" s="71"/>
      <c r="AR618" s="77"/>
      <c r="AS618" s="70"/>
      <c r="AT618" s="68"/>
      <c r="AU618" s="70"/>
      <c r="AV618" s="70"/>
      <c r="AW618" s="71"/>
      <c r="AX618" s="71"/>
      <c r="AY618" s="70"/>
      <c r="AZ618" s="76"/>
      <c r="BA618" s="76"/>
      <c r="BB618" s="76"/>
      <c r="BC618" s="78"/>
    </row>
    <row r="619" spans="1:55" x14ac:dyDescent="0.25">
      <c r="A619" s="68"/>
      <c r="B619" s="68"/>
      <c r="C619" s="68"/>
      <c r="D619" s="70"/>
      <c r="E619" s="70"/>
      <c r="F619" s="70"/>
      <c r="G619" s="72"/>
      <c r="H619" s="74"/>
      <c r="I619" s="74"/>
      <c r="J619" s="75"/>
      <c r="K619" s="81"/>
      <c r="L619" s="76"/>
      <c r="M619" s="76"/>
      <c r="N619" s="76"/>
      <c r="O619" s="71"/>
      <c r="P619" s="70"/>
      <c r="Q619" s="71"/>
      <c r="R619" s="71"/>
      <c r="S619" s="70"/>
      <c r="T619" s="71"/>
      <c r="U619" s="71"/>
      <c r="V619" s="75"/>
      <c r="W619" s="69"/>
      <c r="X619" s="69"/>
      <c r="Y619" s="69"/>
      <c r="Z619" s="69"/>
      <c r="AA619" s="69"/>
      <c r="AB619" s="69"/>
      <c r="AC619" s="69"/>
      <c r="AD619" s="69"/>
      <c r="AE619" s="76"/>
      <c r="AF619" s="71"/>
      <c r="AG619" s="71"/>
      <c r="AH619" s="71"/>
      <c r="AI619" s="71"/>
      <c r="AJ619" s="71"/>
      <c r="AK619" s="71"/>
      <c r="AL619" s="71"/>
      <c r="AM619" s="71"/>
      <c r="AN619" s="68"/>
      <c r="AO619" s="68"/>
      <c r="AP619" s="70"/>
      <c r="AQ619" s="71"/>
      <c r="AR619" s="77"/>
      <c r="AS619" s="70"/>
      <c r="AT619" s="68"/>
      <c r="AU619" s="70"/>
      <c r="AV619" s="70"/>
      <c r="AW619" s="71"/>
      <c r="AX619" s="71"/>
      <c r="AY619" s="70"/>
      <c r="AZ619" s="76"/>
      <c r="BA619" s="76"/>
      <c r="BB619" s="76"/>
      <c r="BC619" s="78"/>
    </row>
    <row r="620" spans="1:55" x14ac:dyDescent="0.25">
      <c r="A620" s="68"/>
      <c r="B620" s="68"/>
      <c r="C620" s="68"/>
      <c r="D620" s="70"/>
      <c r="E620" s="70"/>
      <c r="F620" s="70"/>
      <c r="G620" s="72"/>
      <c r="H620" s="74"/>
      <c r="I620" s="74"/>
      <c r="J620" s="75"/>
      <c r="K620" s="81"/>
      <c r="L620" s="76"/>
      <c r="M620" s="76"/>
      <c r="N620" s="76"/>
      <c r="O620" s="71"/>
      <c r="P620" s="70"/>
      <c r="Q620" s="71"/>
      <c r="R620" s="71"/>
      <c r="S620" s="70"/>
      <c r="T620" s="71"/>
      <c r="U620" s="71"/>
      <c r="V620" s="75"/>
      <c r="W620" s="69"/>
      <c r="X620" s="69"/>
      <c r="Y620" s="69"/>
      <c r="Z620" s="69"/>
      <c r="AA620" s="69"/>
      <c r="AB620" s="69"/>
      <c r="AC620" s="69"/>
      <c r="AD620" s="69"/>
      <c r="AE620" s="76"/>
      <c r="AF620" s="71"/>
      <c r="AG620" s="71"/>
      <c r="AH620" s="71"/>
      <c r="AI620" s="71"/>
      <c r="AJ620" s="71"/>
      <c r="AK620" s="71"/>
      <c r="AL620" s="71"/>
      <c r="AM620" s="71"/>
      <c r="AN620" s="68"/>
      <c r="AO620" s="68"/>
      <c r="AP620" s="70"/>
      <c r="AQ620" s="71"/>
      <c r="AR620" s="77"/>
      <c r="AS620" s="70"/>
      <c r="AT620" s="68"/>
      <c r="AU620" s="70"/>
      <c r="AV620" s="70"/>
      <c r="AW620" s="71"/>
      <c r="AX620" s="71"/>
      <c r="AY620" s="70"/>
      <c r="AZ620" s="76"/>
      <c r="BA620" s="76"/>
      <c r="BB620" s="76"/>
      <c r="BC620" s="78"/>
    </row>
    <row r="621" spans="1:55" x14ac:dyDescent="0.25">
      <c r="A621" s="68"/>
      <c r="B621" s="68"/>
      <c r="C621" s="68"/>
      <c r="D621" s="70"/>
      <c r="E621" s="70"/>
      <c r="F621" s="70"/>
      <c r="G621" s="72"/>
      <c r="H621" s="74"/>
      <c r="I621" s="74"/>
      <c r="J621" s="75"/>
      <c r="K621" s="81"/>
      <c r="L621" s="76"/>
      <c r="M621" s="76"/>
      <c r="N621" s="76"/>
      <c r="O621" s="71"/>
      <c r="P621" s="70"/>
      <c r="Q621" s="71"/>
      <c r="R621" s="71"/>
      <c r="S621" s="70"/>
      <c r="T621" s="71"/>
      <c r="U621" s="71"/>
      <c r="V621" s="75"/>
      <c r="W621" s="69"/>
      <c r="X621" s="69"/>
      <c r="Y621" s="69"/>
      <c r="Z621" s="69"/>
      <c r="AA621" s="69"/>
      <c r="AB621" s="69"/>
      <c r="AC621" s="69"/>
      <c r="AD621" s="69"/>
      <c r="AE621" s="76"/>
      <c r="AF621" s="71"/>
      <c r="AG621" s="71"/>
      <c r="AH621" s="71"/>
      <c r="AI621" s="71"/>
      <c r="AJ621" s="71"/>
      <c r="AK621" s="71"/>
      <c r="AL621" s="71"/>
      <c r="AM621" s="71"/>
      <c r="AN621" s="68"/>
      <c r="AO621" s="68"/>
      <c r="AP621" s="70"/>
      <c r="AQ621" s="71"/>
      <c r="AR621" s="77"/>
      <c r="AS621" s="70"/>
      <c r="AT621" s="68"/>
      <c r="AU621" s="70"/>
      <c r="AV621" s="70"/>
      <c r="AW621" s="71"/>
      <c r="AX621" s="71"/>
      <c r="AY621" s="70"/>
      <c r="AZ621" s="76"/>
      <c r="BA621" s="76"/>
      <c r="BB621" s="76"/>
      <c r="BC621" s="78"/>
    </row>
    <row r="622" spans="1:55" x14ac:dyDescent="0.25">
      <c r="A622" s="68"/>
      <c r="B622" s="68"/>
      <c r="C622" s="68"/>
      <c r="D622" s="70"/>
      <c r="E622" s="70"/>
      <c r="F622" s="70"/>
      <c r="G622" s="72"/>
      <c r="H622" s="74"/>
      <c r="I622" s="74"/>
      <c r="J622" s="75"/>
      <c r="K622" s="81"/>
      <c r="L622" s="76"/>
      <c r="M622" s="76"/>
      <c r="N622" s="76"/>
      <c r="O622" s="71"/>
      <c r="P622" s="70"/>
      <c r="Q622" s="71"/>
      <c r="R622" s="71"/>
      <c r="S622" s="70"/>
      <c r="T622" s="71"/>
      <c r="U622" s="71"/>
      <c r="V622" s="75"/>
      <c r="W622" s="69"/>
      <c r="X622" s="69"/>
      <c r="Y622" s="69"/>
      <c r="Z622" s="69"/>
      <c r="AA622" s="69"/>
      <c r="AB622" s="69"/>
      <c r="AC622" s="69"/>
      <c r="AD622" s="69"/>
      <c r="AE622" s="76"/>
      <c r="AF622" s="71"/>
      <c r="AG622" s="71"/>
      <c r="AH622" s="71"/>
      <c r="AI622" s="71"/>
      <c r="AJ622" s="71"/>
      <c r="AK622" s="71"/>
      <c r="AL622" s="71"/>
      <c r="AM622" s="71"/>
      <c r="AN622" s="68"/>
      <c r="AO622" s="68"/>
      <c r="AP622" s="70"/>
      <c r="AQ622" s="71"/>
      <c r="AR622" s="77"/>
      <c r="AS622" s="70"/>
      <c r="AT622" s="68"/>
      <c r="AU622" s="70"/>
      <c r="AV622" s="70"/>
      <c r="AW622" s="71"/>
      <c r="AX622" s="71"/>
      <c r="AY622" s="70"/>
      <c r="AZ622" s="76"/>
      <c r="BA622" s="76"/>
      <c r="BB622" s="76"/>
      <c r="BC622" s="78"/>
    </row>
    <row r="623" spans="1:55" x14ac:dyDescent="0.25">
      <c r="A623" s="68"/>
      <c r="B623" s="68"/>
      <c r="C623" s="68"/>
      <c r="D623" s="70"/>
      <c r="E623" s="70"/>
      <c r="F623" s="70"/>
      <c r="G623" s="72"/>
      <c r="H623" s="74"/>
      <c r="I623" s="74"/>
      <c r="J623" s="75"/>
      <c r="K623" s="81"/>
      <c r="L623" s="76"/>
      <c r="M623" s="76"/>
      <c r="N623" s="76"/>
      <c r="O623" s="71"/>
      <c r="P623" s="70"/>
      <c r="Q623" s="71"/>
      <c r="R623" s="71"/>
      <c r="S623" s="70"/>
      <c r="T623" s="71"/>
      <c r="U623" s="71"/>
      <c r="V623" s="75"/>
      <c r="W623" s="69"/>
      <c r="X623" s="69"/>
      <c r="Y623" s="69"/>
      <c r="Z623" s="69"/>
      <c r="AA623" s="69"/>
      <c r="AB623" s="69"/>
      <c r="AC623" s="69"/>
      <c r="AD623" s="69"/>
      <c r="AE623" s="76"/>
      <c r="AF623" s="71"/>
      <c r="AG623" s="71"/>
      <c r="AH623" s="71"/>
      <c r="AI623" s="71"/>
      <c r="AJ623" s="71"/>
      <c r="AK623" s="71"/>
      <c r="AL623" s="71"/>
      <c r="AM623" s="71"/>
      <c r="AN623" s="68"/>
      <c r="AO623" s="68"/>
      <c r="AP623" s="70"/>
      <c r="AQ623" s="71"/>
      <c r="AR623" s="77"/>
      <c r="AS623" s="70"/>
      <c r="AT623" s="68"/>
      <c r="AU623" s="70"/>
      <c r="AV623" s="70"/>
      <c r="AW623" s="71"/>
      <c r="AX623" s="71"/>
      <c r="AY623" s="70"/>
      <c r="AZ623" s="76"/>
      <c r="BA623" s="76"/>
      <c r="BB623" s="76"/>
      <c r="BC623" s="78"/>
    </row>
    <row r="624" spans="1:55" x14ac:dyDescent="0.25">
      <c r="A624" s="68"/>
      <c r="B624" s="68"/>
      <c r="C624" s="68"/>
      <c r="D624" s="70"/>
      <c r="E624" s="70"/>
      <c r="F624" s="70"/>
      <c r="G624" s="72"/>
      <c r="H624" s="74"/>
      <c r="I624" s="74"/>
      <c r="J624" s="75"/>
      <c r="K624" s="81"/>
      <c r="L624" s="76"/>
      <c r="M624" s="76"/>
      <c r="N624" s="76"/>
      <c r="O624" s="71"/>
      <c r="P624" s="70"/>
      <c r="Q624" s="71"/>
      <c r="R624" s="71"/>
      <c r="S624" s="70"/>
      <c r="T624" s="71"/>
      <c r="U624" s="71"/>
      <c r="V624" s="75"/>
      <c r="W624" s="69"/>
      <c r="X624" s="69"/>
      <c r="Y624" s="69"/>
      <c r="Z624" s="69"/>
      <c r="AA624" s="69"/>
      <c r="AB624" s="69"/>
      <c r="AC624" s="69"/>
      <c r="AD624" s="69"/>
      <c r="AE624" s="76"/>
      <c r="AF624" s="71"/>
      <c r="AG624" s="71"/>
      <c r="AH624" s="71"/>
      <c r="AI624" s="71"/>
      <c r="AJ624" s="71"/>
      <c r="AK624" s="71"/>
      <c r="AL624" s="71"/>
      <c r="AM624" s="71"/>
      <c r="AN624" s="68"/>
      <c r="AO624" s="68"/>
      <c r="AP624" s="70"/>
      <c r="AQ624" s="71"/>
      <c r="AR624" s="77"/>
      <c r="AS624" s="70"/>
      <c r="AT624" s="68"/>
      <c r="AU624" s="70"/>
      <c r="AV624" s="70"/>
      <c r="AW624" s="71"/>
      <c r="AX624" s="71"/>
      <c r="AY624" s="70"/>
      <c r="AZ624" s="76"/>
      <c r="BA624" s="76"/>
      <c r="BB624" s="76"/>
      <c r="BC624" s="78"/>
    </row>
    <row r="625" spans="1:55" x14ac:dyDescent="0.25">
      <c r="A625" s="68"/>
      <c r="B625" s="68"/>
      <c r="C625" s="68"/>
      <c r="D625" s="70"/>
      <c r="E625" s="70"/>
      <c r="F625" s="70"/>
      <c r="G625" s="72"/>
      <c r="H625" s="74"/>
      <c r="I625" s="74"/>
      <c r="J625" s="75"/>
      <c r="K625" s="81"/>
      <c r="L625" s="76"/>
      <c r="M625" s="76"/>
      <c r="N625" s="76"/>
      <c r="O625" s="71"/>
      <c r="P625" s="70"/>
      <c r="Q625" s="71"/>
      <c r="R625" s="71"/>
      <c r="S625" s="70"/>
      <c r="T625" s="71"/>
      <c r="U625" s="71"/>
      <c r="V625" s="75"/>
      <c r="W625" s="69"/>
      <c r="X625" s="69"/>
      <c r="Y625" s="69"/>
      <c r="Z625" s="69"/>
      <c r="AA625" s="69"/>
      <c r="AB625" s="69"/>
      <c r="AC625" s="69"/>
      <c r="AD625" s="69"/>
      <c r="AE625" s="76"/>
      <c r="AF625" s="71"/>
      <c r="AG625" s="71"/>
      <c r="AH625" s="71"/>
      <c r="AI625" s="71"/>
      <c r="AJ625" s="71"/>
      <c r="AK625" s="71"/>
      <c r="AL625" s="71"/>
      <c r="AM625" s="71"/>
      <c r="AN625" s="68"/>
      <c r="AO625" s="68"/>
      <c r="AP625" s="70"/>
      <c r="AQ625" s="71"/>
      <c r="AR625" s="77"/>
      <c r="AS625" s="70"/>
      <c r="AT625" s="68"/>
      <c r="AU625" s="70"/>
      <c r="AV625" s="70"/>
      <c r="AW625" s="71"/>
      <c r="AX625" s="71"/>
      <c r="AY625" s="70"/>
      <c r="AZ625" s="76"/>
      <c r="BA625" s="76"/>
      <c r="BB625" s="76"/>
      <c r="BC625" s="78"/>
    </row>
    <row r="626" spans="1:55" x14ac:dyDescent="0.25">
      <c r="A626" s="68"/>
      <c r="B626" s="68"/>
      <c r="C626" s="68"/>
      <c r="D626" s="70"/>
      <c r="E626" s="70"/>
      <c r="F626" s="70"/>
      <c r="G626" s="72"/>
      <c r="H626" s="74"/>
      <c r="I626" s="74"/>
      <c r="J626" s="75"/>
      <c r="K626" s="81"/>
      <c r="L626" s="76"/>
      <c r="M626" s="76"/>
      <c r="N626" s="76"/>
      <c r="O626" s="71"/>
      <c r="P626" s="70"/>
      <c r="Q626" s="71"/>
      <c r="R626" s="71"/>
      <c r="S626" s="70"/>
      <c r="T626" s="71"/>
      <c r="U626" s="71"/>
      <c r="V626" s="75"/>
      <c r="W626" s="69"/>
      <c r="X626" s="69"/>
      <c r="Y626" s="69"/>
      <c r="Z626" s="69"/>
      <c r="AA626" s="69"/>
      <c r="AB626" s="69"/>
      <c r="AC626" s="69"/>
      <c r="AD626" s="69"/>
      <c r="AE626" s="76"/>
      <c r="AF626" s="71"/>
      <c r="AG626" s="71"/>
      <c r="AH626" s="71"/>
      <c r="AI626" s="71"/>
      <c r="AJ626" s="71"/>
      <c r="AK626" s="71"/>
      <c r="AL626" s="71"/>
      <c r="AM626" s="71"/>
      <c r="AN626" s="68"/>
      <c r="AO626" s="68"/>
      <c r="AP626" s="70"/>
      <c r="AQ626" s="71"/>
      <c r="AR626" s="77"/>
      <c r="AS626" s="70"/>
      <c r="AT626" s="68"/>
      <c r="AU626" s="70"/>
      <c r="AV626" s="70"/>
      <c r="AW626" s="71"/>
      <c r="AX626" s="71"/>
      <c r="AY626" s="70"/>
      <c r="AZ626" s="76"/>
      <c r="BA626" s="76"/>
      <c r="BB626" s="76"/>
      <c r="BC626" s="78"/>
    </row>
    <row r="627" spans="1:55" x14ac:dyDescent="0.25">
      <c r="A627" s="68"/>
      <c r="B627" s="68"/>
      <c r="C627" s="68"/>
      <c r="D627" s="70"/>
      <c r="E627" s="70"/>
      <c r="F627" s="70"/>
      <c r="G627" s="72"/>
      <c r="H627" s="74"/>
      <c r="I627" s="74"/>
      <c r="J627" s="75"/>
      <c r="K627" s="81"/>
      <c r="L627" s="76"/>
      <c r="M627" s="76"/>
      <c r="N627" s="76"/>
      <c r="O627" s="71"/>
      <c r="P627" s="70"/>
      <c r="Q627" s="71"/>
      <c r="R627" s="71"/>
      <c r="S627" s="70"/>
      <c r="T627" s="71"/>
      <c r="U627" s="71"/>
      <c r="V627" s="75"/>
      <c r="W627" s="69"/>
      <c r="X627" s="69"/>
      <c r="Y627" s="69"/>
      <c r="Z627" s="69"/>
      <c r="AA627" s="69"/>
      <c r="AB627" s="69"/>
      <c r="AC627" s="69"/>
      <c r="AD627" s="69"/>
      <c r="AE627" s="76"/>
      <c r="AF627" s="71"/>
      <c r="AG627" s="71"/>
      <c r="AH627" s="71"/>
      <c r="AI627" s="71"/>
      <c r="AJ627" s="71"/>
      <c r="AK627" s="71"/>
      <c r="AL627" s="71"/>
      <c r="AM627" s="71"/>
      <c r="AN627" s="68"/>
      <c r="AO627" s="68"/>
      <c r="AP627" s="70"/>
      <c r="AQ627" s="71"/>
      <c r="AR627" s="77"/>
      <c r="AS627" s="70"/>
      <c r="AT627" s="68"/>
      <c r="AU627" s="70"/>
      <c r="AV627" s="70"/>
      <c r="AW627" s="71"/>
      <c r="AX627" s="71"/>
      <c r="AY627" s="70"/>
      <c r="AZ627" s="76"/>
      <c r="BA627" s="76"/>
      <c r="BB627" s="76"/>
      <c r="BC627" s="78"/>
    </row>
    <row r="628" spans="1:55" x14ac:dyDescent="0.25">
      <c r="A628" s="68"/>
      <c r="B628" s="68"/>
      <c r="C628" s="68"/>
      <c r="D628" s="70"/>
      <c r="E628" s="70"/>
      <c r="F628" s="70"/>
      <c r="G628" s="72"/>
      <c r="H628" s="74"/>
      <c r="I628" s="74"/>
      <c r="J628" s="75"/>
      <c r="K628" s="81"/>
      <c r="L628" s="76"/>
      <c r="M628" s="76"/>
      <c r="N628" s="76"/>
      <c r="O628" s="71"/>
      <c r="P628" s="70"/>
      <c r="Q628" s="71"/>
      <c r="R628" s="71"/>
      <c r="S628" s="70"/>
      <c r="T628" s="71"/>
      <c r="U628" s="71"/>
      <c r="V628" s="75"/>
      <c r="W628" s="69"/>
      <c r="X628" s="69"/>
      <c r="Y628" s="69"/>
      <c r="Z628" s="69"/>
      <c r="AA628" s="69"/>
      <c r="AB628" s="69"/>
      <c r="AC628" s="69"/>
      <c r="AD628" s="69"/>
      <c r="AE628" s="76"/>
      <c r="AF628" s="71"/>
      <c r="AG628" s="71"/>
      <c r="AH628" s="71"/>
      <c r="AI628" s="71"/>
      <c r="AJ628" s="71"/>
      <c r="AK628" s="71"/>
      <c r="AL628" s="71"/>
      <c r="AM628" s="71"/>
      <c r="AN628" s="68"/>
      <c r="AO628" s="68"/>
      <c r="AP628" s="70"/>
      <c r="AQ628" s="71"/>
      <c r="AR628" s="77"/>
      <c r="AS628" s="70"/>
      <c r="AT628" s="68"/>
      <c r="AU628" s="70"/>
      <c r="AV628" s="70"/>
      <c r="AW628" s="71"/>
      <c r="AX628" s="71"/>
      <c r="AY628" s="70"/>
      <c r="AZ628" s="76"/>
      <c r="BA628" s="76"/>
      <c r="BB628" s="76"/>
      <c r="BC628" s="78"/>
    </row>
    <row r="629" spans="1:55" x14ac:dyDescent="0.25">
      <c r="A629" s="68"/>
      <c r="B629" s="68"/>
      <c r="C629" s="68"/>
      <c r="D629" s="70"/>
      <c r="E629" s="70"/>
      <c r="F629" s="70"/>
      <c r="G629" s="72"/>
      <c r="H629" s="74"/>
      <c r="I629" s="74"/>
      <c r="J629" s="75"/>
      <c r="K629" s="81"/>
      <c r="L629" s="76"/>
      <c r="M629" s="76"/>
      <c r="N629" s="76"/>
      <c r="O629" s="71"/>
      <c r="P629" s="70"/>
      <c r="Q629" s="71"/>
      <c r="R629" s="71"/>
      <c r="S629" s="70"/>
      <c r="T629" s="71"/>
      <c r="U629" s="71"/>
      <c r="V629" s="75"/>
      <c r="W629" s="69"/>
      <c r="X629" s="69"/>
      <c r="Y629" s="69"/>
      <c r="Z629" s="69"/>
      <c r="AA629" s="69"/>
      <c r="AB629" s="69"/>
      <c r="AC629" s="69"/>
      <c r="AD629" s="69"/>
      <c r="AE629" s="76"/>
      <c r="AF629" s="71"/>
      <c r="AG629" s="71"/>
      <c r="AH629" s="71"/>
      <c r="AI629" s="71"/>
      <c r="AJ629" s="71"/>
      <c r="AK629" s="71"/>
      <c r="AL629" s="71"/>
      <c r="AM629" s="71"/>
      <c r="AN629" s="68"/>
      <c r="AO629" s="68"/>
      <c r="AP629" s="70"/>
      <c r="AQ629" s="71"/>
      <c r="AR629" s="77"/>
      <c r="AS629" s="70"/>
      <c r="AT629" s="68"/>
      <c r="AU629" s="70"/>
      <c r="AV629" s="70"/>
      <c r="AW629" s="71"/>
      <c r="AX629" s="71"/>
      <c r="AY629" s="70"/>
      <c r="AZ629" s="76"/>
      <c r="BA629" s="76"/>
      <c r="BB629" s="76"/>
      <c r="BC629" s="78"/>
    </row>
    <row r="630" spans="1:55" x14ac:dyDescent="0.25">
      <c r="A630" s="68"/>
      <c r="B630" s="68"/>
      <c r="C630" s="68"/>
      <c r="D630" s="70"/>
      <c r="E630" s="70"/>
      <c r="F630" s="70"/>
      <c r="G630" s="72"/>
      <c r="H630" s="74"/>
      <c r="I630" s="74"/>
      <c r="J630" s="75"/>
      <c r="K630" s="81"/>
      <c r="L630" s="76"/>
      <c r="M630" s="76"/>
      <c r="N630" s="76"/>
      <c r="O630" s="71"/>
      <c r="P630" s="70"/>
      <c r="Q630" s="71"/>
      <c r="R630" s="71"/>
      <c r="S630" s="70"/>
      <c r="T630" s="71"/>
      <c r="U630" s="71"/>
      <c r="V630" s="75"/>
      <c r="W630" s="69"/>
      <c r="X630" s="69"/>
      <c r="Y630" s="69"/>
      <c r="Z630" s="69"/>
      <c r="AA630" s="69"/>
      <c r="AB630" s="69"/>
      <c r="AC630" s="69"/>
      <c r="AD630" s="69"/>
      <c r="AE630" s="76"/>
      <c r="AF630" s="71"/>
      <c r="AG630" s="71"/>
      <c r="AH630" s="71"/>
      <c r="AI630" s="71"/>
      <c r="AJ630" s="71"/>
      <c r="AK630" s="71"/>
      <c r="AL630" s="71"/>
      <c r="AM630" s="71"/>
      <c r="AN630" s="68"/>
      <c r="AO630" s="68"/>
      <c r="AP630" s="70"/>
      <c r="AQ630" s="71"/>
      <c r="AR630" s="77"/>
      <c r="AS630" s="70"/>
      <c r="AT630" s="68"/>
      <c r="AU630" s="70"/>
      <c r="AV630" s="70"/>
      <c r="AW630" s="71"/>
      <c r="AX630" s="71"/>
      <c r="AY630" s="70"/>
      <c r="AZ630" s="76"/>
      <c r="BA630" s="76"/>
      <c r="BB630" s="76"/>
      <c r="BC630" s="78"/>
    </row>
    <row r="631" spans="1:55" x14ac:dyDescent="0.25">
      <c r="A631" s="68"/>
      <c r="B631" s="68"/>
      <c r="C631" s="68"/>
      <c r="D631" s="70"/>
      <c r="E631" s="70"/>
      <c r="F631" s="70"/>
      <c r="G631" s="72"/>
      <c r="H631" s="74"/>
      <c r="I631" s="74"/>
      <c r="J631" s="75"/>
      <c r="K631" s="81"/>
      <c r="L631" s="76"/>
      <c r="M631" s="76"/>
      <c r="N631" s="76"/>
      <c r="O631" s="71"/>
      <c r="P631" s="70"/>
      <c r="Q631" s="71"/>
      <c r="R631" s="71"/>
      <c r="S631" s="70"/>
      <c r="T631" s="71"/>
      <c r="U631" s="71"/>
      <c r="V631" s="75"/>
      <c r="W631" s="69"/>
      <c r="X631" s="69"/>
      <c r="Y631" s="69"/>
      <c r="Z631" s="69"/>
      <c r="AA631" s="69"/>
      <c r="AB631" s="69"/>
      <c r="AC631" s="69"/>
      <c r="AD631" s="69"/>
      <c r="AE631" s="76"/>
      <c r="AF631" s="71"/>
      <c r="AG631" s="71"/>
      <c r="AH631" s="71"/>
      <c r="AI631" s="71"/>
      <c r="AJ631" s="71"/>
      <c r="AK631" s="71"/>
      <c r="AL631" s="71"/>
      <c r="AM631" s="71"/>
      <c r="AN631" s="68"/>
      <c r="AO631" s="68"/>
      <c r="AP631" s="70"/>
      <c r="AQ631" s="71"/>
      <c r="AR631" s="77"/>
      <c r="AS631" s="70"/>
      <c r="AT631" s="68"/>
      <c r="AU631" s="70"/>
      <c r="AV631" s="70"/>
      <c r="AW631" s="71"/>
      <c r="AX631" s="71"/>
      <c r="AY631" s="70"/>
      <c r="AZ631" s="76"/>
      <c r="BA631" s="76"/>
      <c r="BB631" s="76"/>
      <c r="BC631" s="78"/>
    </row>
    <row r="632" spans="1:55" x14ac:dyDescent="0.25">
      <c r="A632" s="68"/>
      <c r="B632" s="68"/>
      <c r="C632" s="68"/>
      <c r="D632" s="70"/>
      <c r="E632" s="70"/>
      <c r="F632" s="70"/>
      <c r="G632" s="72"/>
      <c r="H632" s="74"/>
      <c r="I632" s="74"/>
      <c r="J632" s="75"/>
      <c r="K632" s="81"/>
      <c r="L632" s="76"/>
      <c r="M632" s="76"/>
      <c r="N632" s="76"/>
      <c r="O632" s="71"/>
      <c r="P632" s="70"/>
      <c r="Q632" s="71"/>
      <c r="R632" s="71"/>
      <c r="S632" s="70"/>
      <c r="T632" s="71"/>
      <c r="U632" s="71"/>
      <c r="V632" s="75"/>
      <c r="W632" s="69"/>
      <c r="X632" s="69"/>
      <c r="Y632" s="69"/>
      <c r="Z632" s="69"/>
      <c r="AA632" s="69"/>
      <c r="AB632" s="69"/>
      <c r="AC632" s="69"/>
      <c r="AD632" s="69"/>
      <c r="AE632" s="76"/>
      <c r="AF632" s="71"/>
      <c r="AG632" s="71"/>
      <c r="AH632" s="71"/>
      <c r="AI632" s="71"/>
      <c r="AJ632" s="71"/>
      <c r="AK632" s="71"/>
      <c r="AL632" s="71"/>
      <c r="AM632" s="71"/>
      <c r="AN632" s="68"/>
      <c r="AO632" s="68"/>
      <c r="AP632" s="70"/>
      <c r="AQ632" s="71"/>
      <c r="AR632" s="77"/>
      <c r="AS632" s="70"/>
      <c r="AT632" s="68"/>
      <c r="AU632" s="70"/>
      <c r="AV632" s="70"/>
      <c r="AW632" s="71"/>
      <c r="AX632" s="71"/>
      <c r="AY632" s="70"/>
      <c r="AZ632" s="76"/>
      <c r="BA632" s="76"/>
      <c r="BB632" s="76"/>
      <c r="BC632" s="78"/>
    </row>
    <row r="633" spans="1:55" x14ac:dyDescent="0.25">
      <c r="A633" s="68"/>
      <c r="B633" s="68"/>
      <c r="C633" s="68"/>
      <c r="D633" s="70"/>
      <c r="E633" s="70"/>
      <c r="F633" s="70"/>
      <c r="G633" s="72"/>
      <c r="H633" s="74"/>
      <c r="I633" s="74"/>
      <c r="J633" s="75"/>
      <c r="K633" s="81"/>
      <c r="L633" s="76"/>
      <c r="M633" s="76"/>
      <c r="N633" s="76"/>
      <c r="O633" s="71"/>
      <c r="P633" s="70"/>
      <c r="Q633" s="71"/>
      <c r="R633" s="71"/>
      <c r="S633" s="70"/>
      <c r="T633" s="71"/>
      <c r="U633" s="71"/>
      <c r="V633" s="75"/>
      <c r="W633" s="69"/>
      <c r="X633" s="69"/>
      <c r="Y633" s="69"/>
      <c r="Z633" s="69"/>
      <c r="AA633" s="69"/>
      <c r="AB633" s="69"/>
      <c r="AC633" s="69"/>
      <c r="AD633" s="69"/>
      <c r="AE633" s="76"/>
      <c r="AF633" s="71"/>
      <c r="AG633" s="71"/>
      <c r="AH633" s="71"/>
      <c r="AI633" s="71"/>
      <c r="AJ633" s="71"/>
      <c r="AK633" s="71"/>
      <c r="AL633" s="71"/>
      <c r="AM633" s="71"/>
      <c r="AN633" s="68"/>
      <c r="AO633" s="68"/>
      <c r="AP633" s="70"/>
      <c r="AQ633" s="71"/>
      <c r="AR633" s="77"/>
      <c r="AS633" s="70"/>
      <c r="AT633" s="68"/>
      <c r="AU633" s="70"/>
      <c r="AV633" s="70"/>
      <c r="AW633" s="71"/>
      <c r="AX633" s="71"/>
      <c r="AY633" s="70"/>
      <c r="AZ633" s="76"/>
      <c r="BA633" s="76"/>
      <c r="BB633" s="76"/>
      <c r="BC633" s="78"/>
    </row>
    <row r="634" spans="1:55" x14ac:dyDescent="0.25">
      <c r="A634" s="68"/>
      <c r="B634" s="68"/>
      <c r="C634" s="68"/>
      <c r="D634" s="70"/>
      <c r="E634" s="70"/>
      <c r="F634" s="70"/>
      <c r="G634" s="72"/>
      <c r="H634" s="74"/>
      <c r="I634" s="74"/>
      <c r="J634" s="75"/>
      <c r="K634" s="81"/>
      <c r="L634" s="76"/>
      <c r="M634" s="76"/>
      <c r="N634" s="76"/>
      <c r="O634" s="71"/>
      <c r="P634" s="70"/>
      <c r="Q634" s="71"/>
      <c r="R634" s="71"/>
      <c r="S634" s="70"/>
      <c r="T634" s="71"/>
      <c r="U634" s="71"/>
      <c r="V634" s="75"/>
      <c r="W634" s="69"/>
      <c r="X634" s="69"/>
      <c r="Y634" s="69"/>
      <c r="Z634" s="69"/>
      <c r="AA634" s="69"/>
      <c r="AB634" s="69"/>
      <c r="AC634" s="69"/>
      <c r="AD634" s="69"/>
      <c r="AE634" s="76"/>
      <c r="AF634" s="71"/>
      <c r="AG634" s="71"/>
      <c r="AH634" s="71"/>
      <c r="AI634" s="71"/>
      <c r="AJ634" s="71"/>
      <c r="AK634" s="71"/>
      <c r="AL634" s="71"/>
      <c r="AM634" s="71"/>
      <c r="AN634" s="68"/>
      <c r="AO634" s="68"/>
      <c r="AP634" s="70"/>
      <c r="AQ634" s="71"/>
      <c r="AR634" s="77"/>
      <c r="AS634" s="70"/>
      <c r="AT634" s="68"/>
      <c r="AU634" s="70"/>
      <c r="AV634" s="70"/>
      <c r="AW634" s="71"/>
      <c r="AX634" s="71"/>
      <c r="AY634" s="70"/>
      <c r="AZ634" s="76"/>
      <c r="BA634" s="76"/>
      <c r="BB634" s="76"/>
      <c r="BC634" s="78"/>
    </row>
    <row r="635" spans="1:55" x14ac:dyDescent="0.25">
      <c r="A635" s="68"/>
      <c r="B635" s="68"/>
      <c r="C635" s="68"/>
      <c r="D635" s="70"/>
      <c r="E635" s="70"/>
      <c r="F635" s="70"/>
      <c r="G635" s="72"/>
      <c r="H635" s="74"/>
      <c r="I635" s="74"/>
      <c r="J635" s="75"/>
      <c r="K635" s="81"/>
      <c r="L635" s="76"/>
      <c r="M635" s="76"/>
      <c r="N635" s="76"/>
      <c r="O635" s="71"/>
      <c r="P635" s="70"/>
      <c r="Q635" s="71"/>
      <c r="R635" s="71"/>
      <c r="S635" s="70"/>
      <c r="T635" s="71"/>
      <c r="U635" s="71"/>
      <c r="V635" s="75"/>
      <c r="W635" s="69"/>
      <c r="X635" s="69"/>
      <c r="Y635" s="69"/>
      <c r="Z635" s="69"/>
      <c r="AA635" s="69"/>
      <c r="AB635" s="69"/>
      <c r="AC635" s="69"/>
      <c r="AD635" s="69"/>
      <c r="AE635" s="76"/>
      <c r="AF635" s="71"/>
      <c r="AG635" s="71"/>
      <c r="AH635" s="71"/>
      <c r="AI635" s="71"/>
      <c r="AJ635" s="71"/>
      <c r="AK635" s="71"/>
      <c r="AL635" s="71"/>
      <c r="AM635" s="71"/>
      <c r="AN635" s="68"/>
      <c r="AO635" s="68"/>
      <c r="AP635" s="70"/>
      <c r="AQ635" s="71"/>
      <c r="AR635" s="77"/>
      <c r="AS635" s="70"/>
      <c r="AT635" s="68"/>
      <c r="AU635" s="70"/>
      <c r="AV635" s="70"/>
      <c r="AW635" s="71"/>
      <c r="AX635" s="71"/>
      <c r="AY635" s="70"/>
      <c r="AZ635" s="76"/>
      <c r="BA635" s="76"/>
      <c r="BB635" s="76"/>
      <c r="BC635" s="78"/>
    </row>
    <row r="636" spans="1:55" x14ac:dyDescent="0.25">
      <c r="A636" s="68"/>
      <c r="B636" s="68"/>
      <c r="C636" s="68"/>
      <c r="D636" s="70"/>
      <c r="E636" s="70"/>
      <c r="F636" s="70"/>
      <c r="G636" s="72"/>
      <c r="H636" s="74"/>
      <c r="I636" s="74"/>
      <c r="J636" s="75"/>
      <c r="K636" s="81"/>
      <c r="L636" s="76"/>
      <c r="M636" s="76"/>
      <c r="N636" s="76"/>
      <c r="O636" s="71"/>
      <c r="P636" s="70"/>
      <c r="Q636" s="71"/>
      <c r="R636" s="71"/>
      <c r="S636" s="70"/>
      <c r="T636" s="71"/>
      <c r="U636" s="71"/>
      <c r="V636" s="75"/>
      <c r="W636" s="69"/>
      <c r="X636" s="69"/>
      <c r="Y636" s="69"/>
      <c r="Z636" s="69"/>
      <c r="AA636" s="69"/>
      <c r="AB636" s="69"/>
      <c r="AC636" s="69"/>
      <c r="AD636" s="69"/>
      <c r="AE636" s="76"/>
      <c r="AF636" s="71"/>
      <c r="AG636" s="71"/>
      <c r="AH636" s="71"/>
      <c r="AI636" s="71"/>
      <c r="AJ636" s="71"/>
      <c r="AK636" s="71"/>
      <c r="AL636" s="71"/>
      <c r="AM636" s="71"/>
      <c r="AN636" s="68"/>
      <c r="AO636" s="68"/>
      <c r="AP636" s="70"/>
      <c r="AQ636" s="71"/>
      <c r="AR636" s="77"/>
      <c r="AS636" s="70"/>
      <c r="AT636" s="68"/>
      <c r="AU636" s="70"/>
      <c r="AV636" s="70"/>
      <c r="AW636" s="71"/>
      <c r="AX636" s="71"/>
      <c r="AY636" s="70"/>
      <c r="AZ636" s="76"/>
      <c r="BA636" s="76"/>
      <c r="BB636" s="76"/>
      <c r="BC636" s="78"/>
    </row>
    <row r="637" spans="1:55" x14ac:dyDescent="0.25">
      <c r="A637" s="68"/>
      <c r="B637" s="68"/>
      <c r="C637" s="68"/>
      <c r="D637" s="70"/>
      <c r="E637" s="70"/>
      <c r="F637" s="70"/>
      <c r="G637" s="72"/>
      <c r="H637" s="74"/>
      <c r="I637" s="74"/>
      <c r="J637" s="75"/>
      <c r="K637" s="81"/>
      <c r="L637" s="76"/>
      <c r="M637" s="76"/>
      <c r="N637" s="76"/>
      <c r="O637" s="71"/>
      <c r="P637" s="70"/>
      <c r="Q637" s="71"/>
      <c r="R637" s="71"/>
      <c r="S637" s="70"/>
      <c r="T637" s="71"/>
      <c r="U637" s="71"/>
      <c r="V637" s="75"/>
      <c r="W637" s="69"/>
      <c r="X637" s="69"/>
      <c r="Y637" s="69"/>
      <c r="Z637" s="69"/>
      <c r="AA637" s="69"/>
      <c r="AB637" s="69"/>
      <c r="AC637" s="69"/>
      <c r="AD637" s="69"/>
      <c r="AE637" s="76"/>
      <c r="AF637" s="71"/>
      <c r="AG637" s="71"/>
      <c r="AH637" s="71"/>
      <c r="AI637" s="71"/>
      <c r="AJ637" s="71"/>
      <c r="AK637" s="71"/>
      <c r="AL637" s="71"/>
      <c r="AM637" s="71"/>
      <c r="AN637" s="68"/>
      <c r="AO637" s="68"/>
      <c r="AP637" s="70"/>
      <c r="AQ637" s="71"/>
      <c r="AR637" s="77"/>
      <c r="AS637" s="70"/>
      <c r="AT637" s="68"/>
      <c r="AU637" s="70"/>
      <c r="AV637" s="70"/>
      <c r="AW637" s="71"/>
      <c r="AX637" s="71"/>
      <c r="AY637" s="70"/>
      <c r="AZ637" s="76"/>
      <c r="BA637" s="76"/>
      <c r="BB637" s="76"/>
      <c r="BC637" s="78"/>
    </row>
    <row r="638" spans="1:55" x14ac:dyDescent="0.25">
      <c r="A638" s="68"/>
      <c r="B638" s="68"/>
      <c r="C638" s="68"/>
      <c r="D638" s="70"/>
      <c r="E638" s="70"/>
      <c r="F638" s="70"/>
      <c r="G638" s="72"/>
      <c r="H638" s="74"/>
      <c r="I638" s="74"/>
      <c r="J638" s="75"/>
      <c r="K638" s="81"/>
      <c r="L638" s="76"/>
      <c r="M638" s="76"/>
      <c r="N638" s="76"/>
      <c r="O638" s="71"/>
      <c r="P638" s="70"/>
      <c r="Q638" s="71"/>
      <c r="R638" s="71"/>
      <c r="S638" s="70"/>
      <c r="T638" s="71"/>
      <c r="U638" s="71"/>
      <c r="V638" s="75"/>
      <c r="W638" s="69"/>
      <c r="X638" s="69"/>
      <c r="Y638" s="69"/>
      <c r="Z638" s="69"/>
      <c r="AA638" s="69"/>
      <c r="AB638" s="69"/>
      <c r="AC638" s="69"/>
      <c r="AD638" s="69"/>
      <c r="AE638" s="76"/>
      <c r="AF638" s="71"/>
      <c r="AG638" s="71"/>
      <c r="AH638" s="71"/>
      <c r="AI638" s="71"/>
      <c r="AJ638" s="71"/>
      <c r="AK638" s="71"/>
      <c r="AL638" s="71"/>
      <c r="AM638" s="71"/>
      <c r="AN638" s="68"/>
      <c r="AO638" s="68"/>
      <c r="AP638" s="70"/>
      <c r="AQ638" s="71"/>
      <c r="AR638" s="77"/>
      <c r="AS638" s="70"/>
      <c r="AT638" s="68"/>
      <c r="AU638" s="70"/>
      <c r="AV638" s="70"/>
      <c r="AW638" s="71"/>
      <c r="AX638" s="71"/>
      <c r="AY638" s="70"/>
      <c r="AZ638" s="76"/>
      <c r="BA638" s="76"/>
      <c r="BB638" s="76"/>
      <c r="BC638" s="78"/>
    </row>
    <row r="639" spans="1:55" x14ac:dyDescent="0.25">
      <c r="A639" s="68"/>
      <c r="B639" s="68"/>
      <c r="C639" s="68"/>
      <c r="D639" s="70"/>
      <c r="E639" s="70"/>
      <c r="F639" s="70"/>
      <c r="G639" s="72"/>
      <c r="H639" s="74"/>
      <c r="I639" s="74"/>
      <c r="J639" s="75"/>
      <c r="K639" s="81"/>
      <c r="L639" s="76"/>
      <c r="M639" s="76"/>
      <c r="N639" s="76"/>
      <c r="O639" s="71"/>
      <c r="P639" s="70"/>
      <c r="Q639" s="71"/>
      <c r="R639" s="71"/>
      <c r="S639" s="70"/>
      <c r="T639" s="71"/>
      <c r="U639" s="71"/>
      <c r="V639" s="75"/>
      <c r="W639" s="69"/>
      <c r="X639" s="69"/>
      <c r="Y639" s="69"/>
      <c r="Z639" s="69"/>
      <c r="AA639" s="69"/>
      <c r="AB639" s="69"/>
      <c r="AC639" s="69"/>
      <c r="AD639" s="69"/>
      <c r="AE639" s="76"/>
      <c r="AF639" s="71"/>
      <c r="AG639" s="71"/>
      <c r="AH639" s="71"/>
      <c r="AI639" s="71"/>
      <c r="AJ639" s="71"/>
      <c r="AK639" s="71"/>
      <c r="AL639" s="71"/>
      <c r="AM639" s="71"/>
      <c r="AN639" s="68"/>
      <c r="AO639" s="68"/>
      <c r="AP639" s="70"/>
      <c r="AQ639" s="71"/>
      <c r="AR639" s="77"/>
      <c r="AS639" s="70"/>
      <c r="AT639" s="68"/>
      <c r="AU639" s="70"/>
      <c r="AV639" s="70"/>
      <c r="AW639" s="71"/>
      <c r="AX639" s="71"/>
      <c r="AY639" s="70"/>
      <c r="AZ639" s="76"/>
      <c r="BA639" s="76"/>
      <c r="BB639" s="76"/>
      <c r="BC639" s="78"/>
    </row>
    <row r="640" spans="1:55" x14ac:dyDescent="0.25">
      <c r="A640" s="68"/>
      <c r="B640" s="68"/>
      <c r="C640" s="68"/>
      <c r="D640" s="70"/>
      <c r="E640" s="70"/>
      <c r="F640" s="70"/>
      <c r="G640" s="72"/>
      <c r="H640" s="74"/>
      <c r="I640" s="74"/>
      <c r="J640" s="75"/>
      <c r="K640" s="81"/>
      <c r="L640" s="76"/>
      <c r="M640" s="76"/>
      <c r="N640" s="76"/>
      <c r="O640" s="71"/>
      <c r="P640" s="70"/>
      <c r="Q640" s="71"/>
      <c r="R640" s="71"/>
      <c r="S640" s="70"/>
      <c r="T640" s="71"/>
      <c r="U640" s="71"/>
      <c r="V640" s="75"/>
      <c r="W640" s="69"/>
      <c r="X640" s="69"/>
      <c r="Y640" s="69"/>
      <c r="Z640" s="69"/>
      <c r="AA640" s="69"/>
      <c r="AB640" s="69"/>
      <c r="AC640" s="69"/>
      <c r="AD640" s="69"/>
      <c r="AE640" s="76"/>
      <c r="AF640" s="71"/>
      <c r="AG640" s="71"/>
      <c r="AH640" s="71"/>
      <c r="AI640" s="71"/>
      <c r="AJ640" s="71"/>
      <c r="AK640" s="71"/>
      <c r="AL640" s="71"/>
      <c r="AM640" s="71"/>
      <c r="AN640" s="68"/>
      <c r="AO640" s="68"/>
      <c r="AP640" s="70"/>
      <c r="AQ640" s="71"/>
      <c r="AR640" s="77"/>
      <c r="AS640" s="70"/>
      <c r="AT640" s="68"/>
      <c r="AU640" s="70"/>
      <c r="AV640" s="70"/>
      <c r="AW640" s="71"/>
      <c r="AX640" s="71"/>
      <c r="AY640" s="70"/>
      <c r="AZ640" s="76"/>
      <c r="BA640" s="76"/>
      <c r="BB640" s="76"/>
      <c r="BC640" s="78"/>
    </row>
    <row r="641" spans="1:55" x14ac:dyDescent="0.25">
      <c r="A641" s="68"/>
      <c r="B641" s="68"/>
      <c r="C641" s="68"/>
      <c r="D641" s="70"/>
      <c r="E641" s="70"/>
      <c r="F641" s="70"/>
      <c r="G641" s="72"/>
      <c r="H641" s="74"/>
      <c r="I641" s="74"/>
      <c r="J641" s="75"/>
      <c r="K641" s="81"/>
      <c r="L641" s="76"/>
      <c r="M641" s="76"/>
      <c r="N641" s="76"/>
      <c r="O641" s="71"/>
      <c r="P641" s="70"/>
      <c r="Q641" s="71"/>
      <c r="R641" s="71"/>
      <c r="S641" s="70"/>
      <c r="T641" s="71"/>
      <c r="U641" s="71"/>
      <c r="V641" s="75"/>
      <c r="W641" s="69"/>
      <c r="X641" s="69"/>
      <c r="Y641" s="69"/>
      <c r="Z641" s="69"/>
      <c r="AA641" s="69"/>
      <c r="AB641" s="69"/>
      <c r="AC641" s="69"/>
      <c r="AD641" s="69"/>
      <c r="AE641" s="76"/>
      <c r="AF641" s="71"/>
      <c r="AG641" s="71"/>
      <c r="AH641" s="71"/>
      <c r="AI641" s="71"/>
      <c r="AJ641" s="71"/>
      <c r="AK641" s="71"/>
      <c r="AL641" s="71"/>
      <c r="AM641" s="71"/>
      <c r="AN641" s="68"/>
      <c r="AO641" s="68"/>
      <c r="AP641" s="70"/>
      <c r="AQ641" s="71"/>
      <c r="AR641" s="77"/>
      <c r="AS641" s="70"/>
      <c r="AT641" s="68"/>
      <c r="AU641" s="70"/>
      <c r="AV641" s="70"/>
      <c r="AW641" s="71"/>
      <c r="AX641" s="71"/>
      <c r="AY641" s="70"/>
      <c r="AZ641" s="76"/>
      <c r="BA641" s="76"/>
      <c r="BB641" s="76"/>
      <c r="BC641" s="78"/>
    </row>
    <row r="642" spans="1:55" x14ac:dyDescent="0.25">
      <c r="A642" s="68"/>
      <c r="B642" s="68"/>
      <c r="C642" s="68"/>
      <c r="D642" s="70"/>
      <c r="E642" s="70"/>
      <c r="F642" s="70"/>
      <c r="G642" s="72"/>
      <c r="H642" s="74"/>
      <c r="I642" s="74"/>
      <c r="J642" s="75"/>
      <c r="K642" s="81"/>
      <c r="L642" s="76"/>
      <c r="M642" s="76"/>
      <c r="N642" s="76"/>
      <c r="O642" s="71"/>
      <c r="P642" s="70"/>
      <c r="Q642" s="71"/>
      <c r="R642" s="71"/>
      <c r="S642" s="70"/>
      <c r="T642" s="71"/>
      <c r="U642" s="71"/>
      <c r="V642" s="75"/>
      <c r="W642" s="69"/>
      <c r="X642" s="69"/>
      <c r="Y642" s="69"/>
      <c r="Z642" s="69"/>
      <c r="AA642" s="69"/>
      <c r="AB642" s="69"/>
      <c r="AC642" s="69"/>
      <c r="AD642" s="69"/>
      <c r="AE642" s="76"/>
      <c r="AF642" s="71"/>
      <c r="AG642" s="71"/>
      <c r="AH642" s="71"/>
      <c r="AI642" s="71"/>
      <c r="AJ642" s="71"/>
      <c r="AK642" s="71"/>
      <c r="AL642" s="71"/>
      <c r="AM642" s="71"/>
      <c r="AN642" s="68"/>
      <c r="AO642" s="68"/>
      <c r="AP642" s="70"/>
      <c r="AQ642" s="71"/>
      <c r="AR642" s="77"/>
      <c r="AS642" s="70"/>
      <c r="AT642" s="68"/>
      <c r="AU642" s="70"/>
      <c r="AV642" s="70"/>
      <c r="AW642" s="71"/>
      <c r="AX642" s="71"/>
      <c r="AY642" s="70"/>
      <c r="AZ642" s="76"/>
      <c r="BA642" s="76"/>
      <c r="BB642" s="76"/>
      <c r="BC642" s="78"/>
    </row>
    <row r="643" spans="1:55" x14ac:dyDescent="0.25">
      <c r="A643" s="68"/>
      <c r="B643" s="68"/>
      <c r="C643" s="68"/>
      <c r="D643" s="70"/>
      <c r="E643" s="70"/>
      <c r="F643" s="70"/>
      <c r="G643" s="72"/>
      <c r="H643" s="74"/>
      <c r="I643" s="74"/>
      <c r="J643" s="75"/>
      <c r="K643" s="81"/>
      <c r="L643" s="76"/>
      <c r="M643" s="76"/>
      <c r="N643" s="76"/>
      <c r="O643" s="71"/>
      <c r="P643" s="70"/>
      <c r="Q643" s="71"/>
      <c r="R643" s="71"/>
      <c r="S643" s="70"/>
      <c r="T643" s="71"/>
      <c r="U643" s="71"/>
      <c r="V643" s="75"/>
      <c r="W643" s="69"/>
      <c r="X643" s="69"/>
      <c r="Y643" s="69"/>
      <c r="Z643" s="69"/>
      <c r="AA643" s="69"/>
      <c r="AB643" s="69"/>
      <c r="AC643" s="69"/>
      <c r="AD643" s="69"/>
      <c r="AE643" s="76"/>
      <c r="AF643" s="71"/>
      <c r="AG643" s="71"/>
      <c r="AH643" s="71"/>
      <c r="AI643" s="71"/>
      <c r="AJ643" s="71"/>
      <c r="AK643" s="71"/>
      <c r="AL643" s="71"/>
      <c r="AM643" s="71"/>
      <c r="AN643" s="68"/>
      <c r="AO643" s="68"/>
      <c r="AP643" s="70"/>
      <c r="AQ643" s="71"/>
      <c r="AR643" s="77"/>
      <c r="AS643" s="70"/>
      <c r="AT643" s="68"/>
      <c r="AU643" s="70"/>
      <c r="AV643" s="70"/>
      <c r="AW643" s="71"/>
      <c r="AX643" s="71"/>
      <c r="AY643" s="70"/>
      <c r="AZ643" s="76"/>
      <c r="BA643" s="76"/>
      <c r="BB643" s="76"/>
      <c r="BC643" s="78"/>
    </row>
    <row r="644" spans="1:55" x14ac:dyDescent="0.25">
      <c r="A644" s="68"/>
      <c r="B644" s="68"/>
      <c r="C644" s="68"/>
      <c r="D644" s="70"/>
      <c r="E644" s="70"/>
      <c r="F644" s="70"/>
      <c r="G644" s="72"/>
      <c r="H644" s="74"/>
      <c r="I644" s="74"/>
      <c r="J644" s="75"/>
      <c r="K644" s="81"/>
      <c r="L644" s="76"/>
      <c r="M644" s="76"/>
      <c r="N644" s="76"/>
      <c r="O644" s="71"/>
      <c r="P644" s="70"/>
      <c r="Q644" s="71"/>
      <c r="R644" s="71"/>
      <c r="S644" s="70"/>
      <c r="T644" s="71"/>
      <c r="U644" s="71"/>
      <c r="V644" s="75"/>
      <c r="W644" s="69"/>
      <c r="X644" s="69"/>
      <c r="Y644" s="69"/>
      <c r="Z644" s="69"/>
      <c r="AA644" s="69"/>
      <c r="AB644" s="69"/>
      <c r="AC644" s="69"/>
      <c r="AD644" s="69"/>
      <c r="AE644" s="76"/>
      <c r="AF644" s="71"/>
      <c r="AG644" s="71"/>
      <c r="AH644" s="71"/>
      <c r="AI644" s="71"/>
      <c r="AJ644" s="71"/>
      <c r="AK644" s="71"/>
      <c r="AL644" s="71"/>
      <c r="AM644" s="71"/>
      <c r="AN644" s="68"/>
      <c r="AO644" s="68"/>
      <c r="AP644" s="70"/>
      <c r="AQ644" s="71"/>
      <c r="AR644" s="77"/>
      <c r="AS644" s="70"/>
      <c r="AT644" s="68"/>
      <c r="AU644" s="70"/>
      <c r="AV644" s="70"/>
      <c r="AW644" s="71"/>
      <c r="AX644" s="71"/>
      <c r="AY644" s="70"/>
      <c r="AZ644" s="76"/>
      <c r="BA644" s="76"/>
      <c r="BB644" s="76"/>
      <c r="BC644" s="78"/>
    </row>
    <row r="645" spans="1:55" x14ac:dyDescent="0.25">
      <c r="A645" s="68"/>
      <c r="B645" s="68"/>
      <c r="C645" s="68"/>
      <c r="D645" s="70"/>
      <c r="E645" s="70"/>
      <c r="F645" s="70"/>
      <c r="G645" s="72"/>
      <c r="H645" s="74"/>
      <c r="I645" s="74"/>
      <c r="J645" s="75"/>
      <c r="K645" s="81"/>
      <c r="L645" s="76"/>
      <c r="M645" s="76"/>
      <c r="N645" s="76"/>
      <c r="O645" s="71"/>
      <c r="P645" s="70"/>
      <c r="Q645" s="71"/>
      <c r="R645" s="71"/>
      <c r="S645" s="70"/>
      <c r="T645" s="71"/>
      <c r="U645" s="71"/>
      <c r="V645" s="75"/>
      <c r="W645" s="69"/>
      <c r="X645" s="69"/>
      <c r="Y645" s="69"/>
      <c r="Z645" s="69"/>
      <c r="AA645" s="69"/>
      <c r="AB645" s="69"/>
      <c r="AC645" s="69"/>
      <c r="AD645" s="69"/>
      <c r="AE645" s="76"/>
      <c r="AF645" s="71"/>
      <c r="AG645" s="71"/>
      <c r="AH645" s="71"/>
      <c r="AI645" s="71"/>
      <c r="AJ645" s="71"/>
      <c r="AK645" s="71"/>
      <c r="AL645" s="71"/>
      <c r="AM645" s="71"/>
      <c r="AN645" s="68"/>
      <c r="AO645" s="68"/>
      <c r="AP645" s="70"/>
      <c r="AQ645" s="71"/>
      <c r="AR645" s="77"/>
      <c r="AS645" s="70"/>
      <c r="AT645" s="68"/>
      <c r="AU645" s="70"/>
      <c r="AV645" s="70"/>
      <c r="AW645" s="71"/>
      <c r="AX645" s="71"/>
      <c r="AY645" s="70"/>
      <c r="AZ645" s="76"/>
      <c r="BA645" s="76"/>
      <c r="BB645" s="76"/>
      <c r="BC645" s="78"/>
    </row>
    <row r="646" spans="1:55" x14ac:dyDescent="0.25">
      <c r="A646" s="68"/>
      <c r="B646" s="68"/>
      <c r="C646" s="68"/>
      <c r="D646" s="70"/>
      <c r="E646" s="70"/>
      <c r="F646" s="70"/>
      <c r="G646" s="72"/>
      <c r="H646" s="74"/>
      <c r="I646" s="74"/>
      <c r="J646" s="75"/>
      <c r="K646" s="81"/>
      <c r="L646" s="76"/>
      <c r="M646" s="76"/>
      <c r="N646" s="76"/>
      <c r="O646" s="71"/>
      <c r="P646" s="70"/>
      <c r="Q646" s="71"/>
      <c r="R646" s="71"/>
      <c r="S646" s="70"/>
      <c r="T646" s="71"/>
      <c r="U646" s="71"/>
      <c r="V646" s="75"/>
      <c r="W646" s="69"/>
      <c r="X646" s="69"/>
      <c r="Y646" s="69"/>
      <c r="Z646" s="69"/>
      <c r="AA646" s="69"/>
      <c r="AB646" s="69"/>
      <c r="AC646" s="69"/>
      <c r="AD646" s="69"/>
      <c r="AE646" s="76"/>
      <c r="AF646" s="71"/>
      <c r="AG646" s="71"/>
      <c r="AH646" s="71"/>
      <c r="AI646" s="71"/>
      <c r="AJ646" s="71"/>
      <c r="AK646" s="71"/>
      <c r="AL646" s="71"/>
      <c r="AM646" s="71"/>
      <c r="AN646" s="68"/>
      <c r="AO646" s="68"/>
      <c r="AP646" s="70"/>
      <c r="AQ646" s="71"/>
      <c r="AR646" s="77"/>
      <c r="AS646" s="70"/>
      <c r="AT646" s="68"/>
      <c r="AU646" s="70"/>
      <c r="AV646" s="70"/>
      <c r="AW646" s="71"/>
      <c r="AX646" s="71"/>
      <c r="AY646" s="70"/>
      <c r="AZ646" s="76"/>
      <c r="BA646" s="76"/>
      <c r="BB646" s="76"/>
      <c r="BC646" s="78"/>
    </row>
    <row r="647" spans="1:55" x14ac:dyDescent="0.25">
      <c r="A647" s="68"/>
      <c r="B647" s="68"/>
      <c r="C647" s="68"/>
      <c r="D647" s="70"/>
      <c r="E647" s="70"/>
      <c r="F647" s="70"/>
      <c r="G647" s="72"/>
      <c r="H647" s="74"/>
      <c r="I647" s="74"/>
      <c r="J647" s="75"/>
      <c r="K647" s="81"/>
      <c r="L647" s="76"/>
      <c r="M647" s="76"/>
      <c r="N647" s="76"/>
      <c r="O647" s="71"/>
      <c r="P647" s="70"/>
      <c r="Q647" s="71"/>
      <c r="R647" s="71"/>
      <c r="S647" s="70"/>
      <c r="T647" s="71"/>
      <c r="U647" s="71"/>
      <c r="V647" s="75"/>
      <c r="W647" s="69"/>
      <c r="X647" s="69"/>
      <c r="Y647" s="69"/>
      <c r="Z647" s="69"/>
      <c r="AA647" s="69"/>
      <c r="AB647" s="69"/>
      <c r="AC647" s="69"/>
      <c r="AD647" s="69"/>
      <c r="AE647" s="76"/>
      <c r="AF647" s="71"/>
      <c r="AG647" s="71"/>
      <c r="AH647" s="71"/>
      <c r="AI647" s="71"/>
      <c r="AJ647" s="71"/>
      <c r="AK647" s="71"/>
      <c r="AL647" s="71"/>
      <c r="AM647" s="71"/>
      <c r="AN647" s="68"/>
      <c r="AO647" s="68"/>
      <c r="AP647" s="70"/>
      <c r="AQ647" s="71"/>
      <c r="AR647" s="77"/>
      <c r="AS647" s="70"/>
      <c r="AT647" s="68"/>
      <c r="AU647" s="70"/>
      <c r="AV647" s="70"/>
      <c r="AW647" s="71"/>
      <c r="AX647" s="71"/>
      <c r="AY647" s="70"/>
      <c r="AZ647" s="76"/>
      <c r="BA647" s="76"/>
      <c r="BB647" s="76"/>
      <c r="BC647" s="78"/>
    </row>
    <row r="648" spans="1:55" x14ac:dyDescent="0.25">
      <c r="A648" s="68"/>
      <c r="B648" s="68"/>
      <c r="C648" s="68"/>
      <c r="D648" s="70"/>
      <c r="E648" s="70"/>
      <c r="F648" s="70"/>
      <c r="G648" s="72"/>
      <c r="H648" s="74"/>
      <c r="I648" s="74"/>
      <c r="J648" s="75"/>
      <c r="K648" s="81"/>
      <c r="L648" s="76"/>
      <c r="M648" s="76"/>
      <c r="N648" s="76"/>
      <c r="O648" s="71"/>
      <c r="P648" s="70"/>
      <c r="Q648" s="71"/>
      <c r="R648" s="71"/>
      <c r="S648" s="70"/>
      <c r="T648" s="71"/>
      <c r="U648" s="71"/>
      <c r="V648" s="75"/>
      <c r="W648" s="69"/>
      <c r="X648" s="69"/>
      <c r="Y648" s="69"/>
      <c r="Z648" s="69"/>
      <c r="AA648" s="69"/>
      <c r="AB648" s="69"/>
      <c r="AC648" s="69"/>
      <c r="AD648" s="69"/>
      <c r="AE648" s="76"/>
      <c r="AF648" s="71"/>
      <c r="AG648" s="71"/>
      <c r="AH648" s="71"/>
      <c r="AI648" s="71"/>
      <c r="AJ648" s="71"/>
      <c r="AK648" s="71"/>
      <c r="AL648" s="71"/>
      <c r="AM648" s="71"/>
      <c r="AN648" s="68"/>
      <c r="AO648" s="68"/>
      <c r="AP648" s="70"/>
      <c r="AQ648" s="71"/>
      <c r="AR648" s="77"/>
      <c r="AS648" s="70"/>
      <c r="AT648" s="68"/>
      <c r="AU648" s="70"/>
      <c r="AV648" s="70"/>
      <c r="AW648" s="71"/>
      <c r="AX648" s="71"/>
      <c r="AY648" s="70"/>
      <c r="AZ648" s="76"/>
      <c r="BA648" s="76"/>
      <c r="BB648" s="76"/>
      <c r="BC648" s="78"/>
    </row>
    <row r="649" spans="1:55" x14ac:dyDescent="0.25">
      <c r="A649" s="68"/>
      <c r="B649" s="68"/>
      <c r="C649" s="68"/>
      <c r="D649" s="70"/>
      <c r="E649" s="70"/>
      <c r="F649" s="70"/>
      <c r="G649" s="72"/>
      <c r="H649" s="74"/>
      <c r="I649" s="74"/>
      <c r="J649" s="75"/>
      <c r="K649" s="81"/>
      <c r="L649" s="76"/>
      <c r="M649" s="76"/>
      <c r="N649" s="76"/>
      <c r="O649" s="71"/>
      <c r="P649" s="70"/>
      <c r="Q649" s="71"/>
      <c r="R649" s="71"/>
      <c r="S649" s="70"/>
      <c r="T649" s="71"/>
      <c r="U649" s="71"/>
      <c r="V649" s="75"/>
      <c r="W649" s="69"/>
      <c r="X649" s="69"/>
      <c r="Y649" s="69"/>
      <c r="Z649" s="69"/>
      <c r="AA649" s="69"/>
      <c r="AB649" s="69"/>
      <c r="AC649" s="69"/>
      <c r="AD649" s="69"/>
      <c r="AE649" s="76"/>
      <c r="AF649" s="71"/>
      <c r="AG649" s="71"/>
      <c r="AH649" s="71"/>
      <c r="AI649" s="71"/>
      <c r="AJ649" s="71"/>
      <c r="AK649" s="71"/>
      <c r="AL649" s="71"/>
      <c r="AM649" s="71"/>
      <c r="AN649" s="68"/>
      <c r="AO649" s="68"/>
      <c r="AP649" s="70"/>
      <c r="AQ649" s="71"/>
      <c r="AR649" s="77"/>
      <c r="AS649" s="70"/>
      <c r="AT649" s="68"/>
      <c r="AU649" s="70"/>
      <c r="AV649" s="70"/>
      <c r="AW649" s="71"/>
      <c r="AX649" s="71"/>
      <c r="AY649" s="70"/>
      <c r="AZ649" s="76"/>
      <c r="BA649" s="76"/>
      <c r="BB649" s="76"/>
      <c r="BC649" s="78"/>
    </row>
    <row r="650" spans="1:55" x14ac:dyDescent="0.25">
      <c r="A650" s="68"/>
      <c r="B650" s="68"/>
      <c r="C650" s="68"/>
      <c r="D650" s="70"/>
      <c r="E650" s="70"/>
      <c r="F650" s="70"/>
      <c r="G650" s="72"/>
      <c r="H650" s="74"/>
      <c r="I650" s="74"/>
      <c r="J650" s="75"/>
      <c r="K650" s="81"/>
      <c r="L650" s="76"/>
      <c r="M650" s="76"/>
      <c r="N650" s="76"/>
      <c r="O650" s="71"/>
      <c r="P650" s="70"/>
      <c r="Q650" s="71"/>
      <c r="R650" s="71"/>
      <c r="S650" s="70"/>
      <c r="T650" s="71"/>
      <c r="U650" s="71"/>
      <c r="V650" s="75"/>
      <c r="W650" s="69"/>
      <c r="X650" s="69"/>
      <c r="Y650" s="69"/>
      <c r="Z650" s="69"/>
      <c r="AA650" s="69"/>
      <c r="AB650" s="69"/>
      <c r="AC650" s="69"/>
      <c r="AD650" s="69"/>
      <c r="AE650" s="76"/>
      <c r="AF650" s="71"/>
      <c r="AG650" s="71"/>
      <c r="AH650" s="71"/>
      <c r="AI650" s="71"/>
      <c r="AJ650" s="71"/>
      <c r="AK650" s="71"/>
      <c r="AL650" s="71"/>
      <c r="AM650" s="71"/>
      <c r="AN650" s="68"/>
      <c r="AO650" s="68"/>
      <c r="AP650" s="70"/>
      <c r="AQ650" s="71"/>
      <c r="AR650" s="77"/>
      <c r="AS650" s="70"/>
      <c r="AT650" s="68"/>
      <c r="AU650" s="70"/>
      <c r="AV650" s="70"/>
      <c r="AW650" s="71"/>
      <c r="AX650" s="71"/>
      <c r="AY650" s="70"/>
      <c r="AZ650" s="76"/>
      <c r="BA650" s="76"/>
      <c r="BB650" s="76"/>
      <c r="BC650" s="78"/>
    </row>
    <row r="651" spans="1:55" x14ac:dyDescent="0.25">
      <c r="A651" s="68"/>
      <c r="B651" s="68"/>
      <c r="C651" s="68"/>
      <c r="D651" s="70"/>
      <c r="E651" s="70"/>
      <c r="F651" s="70"/>
      <c r="G651" s="72"/>
      <c r="H651" s="74"/>
      <c r="I651" s="74"/>
      <c r="J651" s="75"/>
      <c r="K651" s="81"/>
      <c r="L651" s="76"/>
      <c r="M651" s="76"/>
      <c r="N651" s="76"/>
      <c r="O651" s="71"/>
      <c r="P651" s="70"/>
      <c r="Q651" s="71"/>
      <c r="R651" s="71"/>
      <c r="S651" s="70"/>
      <c r="T651" s="71"/>
      <c r="U651" s="71"/>
      <c r="V651" s="75"/>
      <c r="W651" s="69"/>
      <c r="X651" s="69"/>
      <c r="Y651" s="69"/>
      <c r="Z651" s="69"/>
      <c r="AA651" s="69"/>
      <c r="AB651" s="69"/>
      <c r="AC651" s="69"/>
      <c r="AD651" s="69"/>
      <c r="AE651" s="76"/>
      <c r="AF651" s="71"/>
      <c r="AG651" s="71"/>
      <c r="AH651" s="71"/>
      <c r="AI651" s="71"/>
      <c r="AJ651" s="71"/>
      <c r="AK651" s="71"/>
      <c r="AL651" s="71"/>
      <c r="AM651" s="71"/>
      <c r="AN651" s="68"/>
      <c r="AO651" s="68"/>
      <c r="AP651" s="70"/>
      <c r="AQ651" s="71"/>
      <c r="AR651" s="77"/>
      <c r="AS651" s="70"/>
      <c r="AT651" s="68"/>
      <c r="AU651" s="70"/>
      <c r="AV651" s="70"/>
      <c r="AW651" s="71"/>
      <c r="AX651" s="71"/>
      <c r="AY651" s="70"/>
      <c r="AZ651" s="76"/>
      <c r="BA651" s="76"/>
      <c r="BB651" s="76"/>
      <c r="BC651" s="78"/>
    </row>
    <row r="652" spans="1:55" x14ac:dyDescent="0.25">
      <c r="A652" s="68"/>
      <c r="B652" s="68"/>
      <c r="C652" s="68"/>
      <c r="D652" s="70"/>
      <c r="E652" s="70"/>
      <c r="F652" s="70"/>
      <c r="G652" s="72"/>
      <c r="H652" s="74"/>
      <c r="I652" s="74"/>
      <c r="J652" s="75"/>
      <c r="K652" s="81"/>
      <c r="L652" s="76"/>
      <c r="M652" s="76"/>
      <c r="N652" s="76"/>
      <c r="O652" s="71"/>
      <c r="P652" s="70"/>
      <c r="Q652" s="71"/>
      <c r="R652" s="71"/>
      <c r="S652" s="70"/>
      <c r="T652" s="71"/>
      <c r="U652" s="71"/>
      <c r="V652" s="75"/>
      <c r="W652" s="69"/>
      <c r="X652" s="69"/>
      <c r="Y652" s="69"/>
      <c r="Z652" s="69"/>
      <c r="AA652" s="69"/>
      <c r="AB652" s="69"/>
      <c r="AC652" s="69"/>
      <c r="AD652" s="69"/>
      <c r="AE652" s="76"/>
      <c r="AF652" s="71"/>
      <c r="AG652" s="71"/>
      <c r="AH652" s="71"/>
      <c r="AI652" s="71"/>
      <c r="AJ652" s="71"/>
      <c r="AK652" s="71"/>
      <c r="AL652" s="71"/>
      <c r="AM652" s="71"/>
      <c r="AN652" s="68"/>
      <c r="AO652" s="68"/>
      <c r="AP652" s="70"/>
      <c r="AQ652" s="71"/>
      <c r="AR652" s="77"/>
      <c r="AS652" s="70"/>
      <c r="AT652" s="68"/>
      <c r="AU652" s="70"/>
      <c r="AV652" s="70"/>
      <c r="AW652" s="71"/>
      <c r="AX652" s="71"/>
      <c r="AY652" s="70"/>
      <c r="AZ652" s="76"/>
      <c r="BA652" s="76"/>
      <c r="BB652" s="76"/>
      <c r="BC652" s="78"/>
    </row>
    <row r="653" spans="1:55" x14ac:dyDescent="0.25">
      <c r="A653" s="68"/>
      <c r="B653" s="68"/>
      <c r="C653" s="68"/>
      <c r="D653" s="70"/>
      <c r="E653" s="70"/>
      <c r="F653" s="70"/>
      <c r="G653" s="72"/>
      <c r="H653" s="74"/>
      <c r="I653" s="74"/>
      <c r="J653" s="75"/>
      <c r="K653" s="81"/>
      <c r="L653" s="76"/>
      <c r="M653" s="76"/>
      <c r="N653" s="76"/>
      <c r="O653" s="71"/>
      <c r="P653" s="70"/>
      <c r="Q653" s="71"/>
      <c r="R653" s="71"/>
      <c r="S653" s="70"/>
      <c r="T653" s="71"/>
      <c r="U653" s="71"/>
      <c r="V653" s="75"/>
      <c r="W653" s="69"/>
      <c r="X653" s="69"/>
      <c r="Y653" s="69"/>
      <c r="Z653" s="69"/>
      <c r="AA653" s="69"/>
      <c r="AB653" s="69"/>
      <c r="AC653" s="69"/>
      <c r="AD653" s="69"/>
      <c r="AE653" s="76"/>
      <c r="AF653" s="71"/>
      <c r="AG653" s="71"/>
      <c r="AH653" s="71"/>
      <c r="AI653" s="71"/>
      <c r="AJ653" s="71"/>
      <c r="AK653" s="71"/>
      <c r="AL653" s="71"/>
      <c r="AM653" s="71"/>
      <c r="AN653" s="68"/>
      <c r="AO653" s="68"/>
      <c r="AP653" s="70"/>
      <c r="AQ653" s="71"/>
      <c r="AR653" s="77"/>
      <c r="AS653" s="70"/>
      <c r="AT653" s="68"/>
      <c r="AU653" s="70"/>
      <c r="AV653" s="70"/>
      <c r="AW653" s="71"/>
      <c r="AX653" s="71"/>
      <c r="AY653" s="70"/>
      <c r="AZ653" s="76"/>
      <c r="BA653" s="76"/>
      <c r="BB653" s="76"/>
      <c r="BC653" s="78"/>
    </row>
    <row r="654" spans="1:55" x14ac:dyDescent="0.25">
      <c r="A654" s="68"/>
      <c r="B654" s="68"/>
      <c r="C654" s="68"/>
      <c r="D654" s="70"/>
      <c r="E654" s="70"/>
      <c r="F654" s="70"/>
      <c r="G654" s="72"/>
      <c r="H654" s="74"/>
      <c r="I654" s="74"/>
      <c r="J654" s="75"/>
      <c r="K654" s="81"/>
      <c r="L654" s="76"/>
      <c r="M654" s="76"/>
      <c r="N654" s="76"/>
      <c r="O654" s="71"/>
      <c r="P654" s="70"/>
      <c r="Q654" s="71"/>
      <c r="R654" s="71"/>
      <c r="S654" s="70"/>
      <c r="T654" s="71"/>
      <c r="U654" s="71"/>
      <c r="V654" s="75"/>
      <c r="W654" s="69"/>
      <c r="X654" s="69"/>
      <c r="Y654" s="69"/>
      <c r="Z654" s="69"/>
      <c r="AA654" s="69"/>
      <c r="AB654" s="69"/>
      <c r="AC654" s="69"/>
      <c r="AD654" s="69"/>
      <c r="AE654" s="76"/>
      <c r="AF654" s="71"/>
      <c r="AG654" s="71"/>
      <c r="AH654" s="71"/>
      <c r="AI654" s="71"/>
      <c r="AJ654" s="71"/>
      <c r="AK654" s="71"/>
      <c r="AL654" s="71"/>
      <c r="AM654" s="71"/>
      <c r="AN654" s="68"/>
      <c r="AO654" s="68"/>
      <c r="AP654" s="70"/>
      <c r="AQ654" s="71"/>
      <c r="AR654" s="77"/>
      <c r="AS654" s="70"/>
      <c r="AT654" s="68"/>
      <c r="AU654" s="70"/>
      <c r="AV654" s="70"/>
      <c r="AW654" s="71"/>
      <c r="AX654" s="71"/>
      <c r="AY654" s="70"/>
      <c r="AZ654" s="76"/>
      <c r="BA654" s="76"/>
      <c r="BB654" s="76"/>
      <c r="BC654" s="78"/>
    </row>
    <row r="655" spans="1:55" x14ac:dyDescent="0.25">
      <c r="A655" s="68"/>
      <c r="B655" s="68"/>
      <c r="C655" s="68"/>
      <c r="D655" s="70"/>
      <c r="E655" s="70"/>
      <c r="F655" s="70"/>
      <c r="G655" s="72"/>
      <c r="H655" s="74"/>
      <c r="I655" s="74"/>
      <c r="J655" s="75"/>
      <c r="K655" s="81"/>
      <c r="L655" s="76"/>
      <c r="M655" s="76"/>
      <c r="N655" s="76"/>
      <c r="O655" s="71"/>
      <c r="P655" s="70"/>
      <c r="Q655" s="71"/>
      <c r="R655" s="71"/>
      <c r="S655" s="70"/>
      <c r="T655" s="71"/>
      <c r="U655" s="71"/>
      <c r="V655" s="75"/>
      <c r="W655" s="69"/>
      <c r="X655" s="69"/>
      <c r="Y655" s="69"/>
      <c r="Z655" s="69"/>
      <c r="AA655" s="69"/>
      <c r="AB655" s="69"/>
      <c r="AC655" s="69"/>
      <c r="AD655" s="69"/>
      <c r="AE655" s="76"/>
      <c r="AF655" s="71"/>
      <c r="AG655" s="71"/>
      <c r="AH655" s="71"/>
      <c r="AI655" s="71"/>
      <c r="AJ655" s="71"/>
      <c r="AK655" s="71"/>
      <c r="AL655" s="71"/>
      <c r="AM655" s="71"/>
      <c r="AN655" s="68"/>
      <c r="AO655" s="68"/>
      <c r="AP655" s="70"/>
      <c r="AQ655" s="71"/>
      <c r="AR655" s="77"/>
      <c r="AS655" s="70"/>
      <c r="AT655" s="68"/>
      <c r="AU655" s="70"/>
      <c r="AV655" s="70"/>
      <c r="AW655" s="71"/>
      <c r="AX655" s="71"/>
      <c r="AY655" s="70"/>
      <c r="AZ655" s="76"/>
      <c r="BA655" s="76"/>
      <c r="BB655" s="76"/>
      <c r="BC655" s="78"/>
    </row>
    <row r="656" spans="1:55" x14ac:dyDescent="0.25">
      <c r="A656" s="68"/>
      <c r="B656" s="68"/>
      <c r="C656" s="68"/>
      <c r="D656" s="70"/>
      <c r="E656" s="70"/>
      <c r="F656" s="70"/>
      <c r="G656" s="72"/>
      <c r="H656" s="74"/>
      <c r="I656" s="74"/>
      <c r="J656" s="75"/>
      <c r="K656" s="81"/>
      <c r="L656" s="76"/>
      <c r="M656" s="76"/>
      <c r="N656" s="76"/>
      <c r="O656" s="71"/>
      <c r="P656" s="70"/>
      <c r="Q656" s="71"/>
      <c r="R656" s="71"/>
      <c r="S656" s="70"/>
      <c r="T656" s="71"/>
      <c r="U656" s="71"/>
      <c r="V656" s="75"/>
      <c r="W656" s="69"/>
      <c r="X656" s="69"/>
      <c r="Y656" s="69"/>
      <c r="Z656" s="69"/>
      <c r="AA656" s="69"/>
      <c r="AB656" s="69"/>
      <c r="AC656" s="69"/>
      <c r="AD656" s="69"/>
      <c r="AE656" s="76"/>
      <c r="AF656" s="71"/>
      <c r="AG656" s="71"/>
      <c r="AH656" s="71"/>
      <c r="AI656" s="71"/>
      <c r="AJ656" s="71"/>
      <c r="AK656" s="71"/>
      <c r="AL656" s="71"/>
      <c r="AM656" s="71"/>
      <c r="AN656" s="68"/>
      <c r="AO656" s="68"/>
      <c r="AP656" s="70"/>
      <c r="AQ656" s="71"/>
      <c r="AR656" s="77"/>
      <c r="AS656" s="70"/>
      <c r="AT656" s="68"/>
      <c r="AU656" s="70"/>
      <c r="AV656" s="70"/>
      <c r="AW656" s="71"/>
      <c r="AX656" s="71"/>
      <c r="AY656" s="70"/>
      <c r="AZ656" s="76"/>
      <c r="BA656" s="76"/>
      <c r="BB656" s="76"/>
      <c r="BC656" s="78"/>
    </row>
    <row r="657" spans="1:55" x14ac:dyDescent="0.25">
      <c r="A657" s="68"/>
      <c r="B657" s="68"/>
      <c r="C657" s="68"/>
      <c r="D657" s="70"/>
      <c r="E657" s="70"/>
      <c r="F657" s="70"/>
      <c r="G657" s="72"/>
      <c r="H657" s="74"/>
      <c r="I657" s="74"/>
      <c r="J657" s="75"/>
      <c r="K657" s="81"/>
      <c r="L657" s="76"/>
      <c r="M657" s="76"/>
      <c r="N657" s="76"/>
      <c r="O657" s="71"/>
      <c r="P657" s="70"/>
      <c r="Q657" s="71"/>
      <c r="R657" s="71"/>
      <c r="S657" s="70"/>
      <c r="T657" s="71"/>
      <c r="U657" s="71"/>
      <c r="V657" s="75"/>
      <c r="W657" s="69"/>
      <c r="X657" s="69"/>
      <c r="Y657" s="69"/>
      <c r="Z657" s="69"/>
      <c r="AA657" s="69"/>
      <c r="AB657" s="69"/>
      <c r="AC657" s="69"/>
      <c r="AD657" s="69"/>
      <c r="AE657" s="76"/>
      <c r="AF657" s="71"/>
      <c r="AG657" s="71"/>
      <c r="AH657" s="71"/>
      <c r="AI657" s="71"/>
      <c r="AJ657" s="71"/>
      <c r="AK657" s="71"/>
      <c r="AL657" s="71"/>
      <c r="AM657" s="71"/>
      <c r="AN657" s="68"/>
      <c r="AO657" s="68"/>
      <c r="AP657" s="70"/>
      <c r="AQ657" s="71"/>
      <c r="AR657" s="77"/>
      <c r="AS657" s="70"/>
      <c r="AT657" s="68"/>
      <c r="AU657" s="70"/>
      <c r="AV657" s="70"/>
      <c r="AW657" s="71"/>
      <c r="AX657" s="71"/>
      <c r="AY657" s="70"/>
      <c r="AZ657" s="76"/>
      <c r="BA657" s="76"/>
      <c r="BB657" s="76"/>
      <c r="BC657" s="78"/>
    </row>
    <row r="658" spans="1:55" x14ac:dyDescent="0.25">
      <c r="A658" s="68"/>
      <c r="B658" s="68"/>
      <c r="C658" s="68"/>
      <c r="D658" s="70"/>
      <c r="E658" s="70"/>
      <c r="F658" s="70"/>
      <c r="G658" s="72"/>
      <c r="H658" s="74"/>
      <c r="I658" s="74"/>
      <c r="J658" s="75"/>
      <c r="K658" s="81"/>
      <c r="L658" s="76"/>
      <c r="M658" s="76"/>
      <c r="N658" s="76"/>
      <c r="O658" s="71"/>
      <c r="P658" s="70"/>
      <c r="Q658" s="71"/>
      <c r="R658" s="71"/>
      <c r="S658" s="70"/>
      <c r="T658" s="71"/>
      <c r="U658" s="71"/>
      <c r="V658" s="75"/>
      <c r="W658" s="69"/>
      <c r="X658" s="69"/>
      <c r="Y658" s="69"/>
      <c r="Z658" s="69"/>
      <c r="AA658" s="69"/>
      <c r="AB658" s="69"/>
      <c r="AC658" s="69"/>
      <c r="AD658" s="69"/>
      <c r="AE658" s="76"/>
      <c r="AF658" s="71"/>
      <c r="AG658" s="71"/>
      <c r="AH658" s="71"/>
      <c r="AI658" s="71"/>
      <c r="AJ658" s="71"/>
      <c r="AK658" s="71"/>
      <c r="AL658" s="71"/>
      <c r="AM658" s="71"/>
      <c r="AN658" s="68"/>
      <c r="AO658" s="68"/>
      <c r="AP658" s="70"/>
      <c r="AQ658" s="71"/>
      <c r="AR658" s="77"/>
      <c r="AS658" s="70"/>
      <c r="AT658" s="68"/>
      <c r="AU658" s="70"/>
      <c r="AV658" s="70"/>
      <c r="AW658" s="71"/>
      <c r="AX658" s="71"/>
      <c r="AY658" s="70"/>
      <c r="AZ658" s="76"/>
      <c r="BA658" s="76"/>
      <c r="BB658" s="76"/>
      <c r="BC658" s="78"/>
    </row>
    <row r="659" spans="1:55" x14ac:dyDescent="0.25">
      <c r="A659" s="68"/>
      <c r="B659" s="68"/>
      <c r="C659" s="68"/>
      <c r="D659" s="70"/>
      <c r="E659" s="70"/>
      <c r="F659" s="70"/>
      <c r="G659" s="72"/>
      <c r="H659" s="74"/>
      <c r="I659" s="74"/>
      <c r="J659" s="75"/>
      <c r="K659" s="81"/>
      <c r="L659" s="76"/>
      <c r="M659" s="76"/>
      <c r="N659" s="76"/>
      <c r="O659" s="71"/>
      <c r="P659" s="70"/>
      <c r="Q659" s="71"/>
      <c r="R659" s="71"/>
      <c r="S659" s="70"/>
      <c r="T659" s="71"/>
      <c r="U659" s="71"/>
      <c r="V659" s="75"/>
      <c r="W659" s="69"/>
      <c r="X659" s="69"/>
      <c r="Y659" s="69"/>
      <c r="Z659" s="69"/>
      <c r="AA659" s="69"/>
      <c r="AB659" s="69"/>
      <c r="AC659" s="69"/>
      <c r="AD659" s="69"/>
      <c r="AE659" s="76"/>
      <c r="AF659" s="71"/>
      <c r="AG659" s="71"/>
      <c r="AH659" s="71"/>
      <c r="AI659" s="71"/>
      <c r="AJ659" s="71"/>
      <c r="AK659" s="71"/>
      <c r="AL659" s="71"/>
      <c r="AM659" s="71"/>
      <c r="AN659" s="68"/>
      <c r="AO659" s="68"/>
      <c r="AP659" s="70"/>
      <c r="AQ659" s="71"/>
      <c r="AR659" s="77"/>
      <c r="AS659" s="70"/>
      <c r="AT659" s="68"/>
      <c r="AU659" s="70"/>
      <c r="AV659" s="70"/>
      <c r="AW659" s="71"/>
      <c r="AX659" s="71"/>
      <c r="AY659" s="70"/>
      <c r="AZ659" s="76"/>
      <c r="BA659" s="76"/>
      <c r="BB659" s="76"/>
      <c r="BC659" s="78"/>
    </row>
    <row r="660" spans="1:55" x14ac:dyDescent="0.25">
      <c r="A660" s="68"/>
      <c r="B660" s="68"/>
      <c r="C660" s="68"/>
      <c r="D660" s="70"/>
      <c r="E660" s="70"/>
      <c r="F660" s="70"/>
      <c r="G660" s="72"/>
      <c r="H660" s="74"/>
      <c r="I660" s="74"/>
      <c r="J660" s="75"/>
      <c r="K660" s="81"/>
      <c r="L660" s="76"/>
      <c r="M660" s="76"/>
      <c r="N660" s="76"/>
      <c r="O660" s="71"/>
      <c r="P660" s="70"/>
      <c r="Q660" s="71"/>
      <c r="R660" s="71"/>
      <c r="S660" s="70"/>
      <c r="T660" s="71"/>
      <c r="U660" s="71"/>
      <c r="V660" s="75"/>
      <c r="W660" s="69"/>
      <c r="X660" s="69"/>
      <c r="Y660" s="69"/>
      <c r="Z660" s="69"/>
      <c r="AA660" s="69"/>
      <c r="AB660" s="69"/>
      <c r="AC660" s="69"/>
      <c r="AD660" s="69"/>
      <c r="AE660" s="76"/>
      <c r="AF660" s="71"/>
      <c r="AG660" s="71"/>
      <c r="AH660" s="71"/>
      <c r="AI660" s="71"/>
      <c r="AJ660" s="71"/>
      <c r="AK660" s="71"/>
      <c r="AL660" s="71"/>
      <c r="AM660" s="71"/>
      <c r="AN660" s="68"/>
      <c r="AO660" s="68"/>
      <c r="AP660" s="70"/>
      <c r="AQ660" s="71"/>
      <c r="AR660" s="77"/>
      <c r="AS660" s="70"/>
      <c r="AT660" s="68"/>
      <c r="AU660" s="70"/>
      <c r="AV660" s="70"/>
      <c r="AW660" s="71"/>
      <c r="AX660" s="71"/>
      <c r="AY660" s="70"/>
      <c r="AZ660" s="76"/>
      <c r="BA660" s="76"/>
      <c r="BB660" s="76"/>
      <c r="BC660" s="78"/>
    </row>
    <row r="661" spans="1:55" x14ac:dyDescent="0.25">
      <c r="A661" s="68"/>
      <c r="B661" s="68"/>
      <c r="C661" s="68"/>
      <c r="D661" s="70"/>
      <c r="E661" s="70"/>
      <c r="F661" s="70"/>
      <c r="G661" s="72"/>
      <c r="H661" s="74"/>
      <c r="I661" s="74"/>
      <c r="J661" s="75"/>
      <c r="K661" s="81"/>
      <c r="L661" s="76"/>
      <c r="M661" s="76"/>
      <c r="N661" s="76"/>
      <c r="O661" s="71"/>
      <c r="P661" s="70"/>
      <c r="Q661" s="71"/>
      <c r="R661" s="71"/>
      <c r="S661" s="70"/>
      <c r="T661" s="71"/>
      <c r="U661" s="71"/>
      <c r="V661" s="75"/>
      <c r="W661" s="69"/>
      <c r="X661" s="69"/>
      <c r="Y661" s="69"/>
      <c r="Z661" s="69"/>
      <c r="AA661" s="69"/>
      <c r="AB661" s="69"/>
      <c r="AC661" s="69"/>
      <c r="AD661" s="69"/>
      <c r="AE661" s="76"/>
      <c r="AF661" s="71"/>
      <c r="AG661" s="71"/>
      <c r="AH661" s="71"/>
      <c r="AI661" s="71"/>
      <c r="AJ661" s="71"/>
      <c r="AK661" s="71"/>
      <c r="AL661" s="71"/>
      <c r="AM661" s="71"/>
      <c r="AN661" s="68"/>
      <c r="AO661" s="68"/>
      <c r="AP661" s="70"/>
      <c r="AQ661" s="71"/>
      <c r="AR661" s="77"/>
      <c r="AS661" s="70"/>
      <c r="AT661" s="68"/>
      <c r="AU661" s="70"/>
      <c r="AV661" s="70"/>
      <c r="AW661" s="71"/>
      <c r="AX661" s="71"/>
      <c r="AY661" s="70"/>
      <c r="AZ661" s="76"/>
      <c r="BA661" s="76"/>
      <c r="BB661" s="76"/>
      <c r="BC661" s="78"/>
    </row>
    <row r="662" spans="1:55" x14ac:dyDescent="0.25">
      <c r="A662" s="68"/>
      <c r="B662" s="68"/>
      <c r="C662" s="68"/>
      <c r="D662" s="70"/>
      <c r="E662" s="70"/>
      <c r="F662" s="70"/>
      <c r="G662" s="72"/>
      <c r="H662" s="74"/>
      <c r="I662" s="74"/>
      <c r="J662" s="75"/>
      <c r="K662" s="81"/>
      <c r="L662" s="76"/>
      <c r="M662" s="76"/>
      <c r="N662" s="76"/>
      <c r="O662" s="71"/>
      <c r="P662" s="70"/>
      <c r="Q662" s="71"/>
      <c r="R662" s="71"/>
      <c r="S662" s="70"/>
      <c r="T662" s="71"/>
      <c r="U662" s="71"/>
      <c r="V662" s="75"/>
      <c r="W662" s="69"/>
      <c r="X662" s="69"/>
      <c r="Y662" s="69"/>
      <c r="Z662" s="69"/>
      <c r="AA662" s="69"/>
      <c r="AB662" s="69"/>
      <c r="AC662" s="69"/>
      <c r="AD662" s="69"/>
      <c r="AE662" s="76"/>
      <c r="AF662" s="71"/>
      <c r="AG662" s="71"/>
      <c r="AH662" s="71"/>
      <c r="AI662" s="71"/>
      <c r="AJ662" s="71"/>
      <c r="AK662" s="71"/>
      <c r="AL662" s="71"/>
      <c r="AM662" s="71"/>
      <c r="AN662" s="68"/>
      <c r="AO662" s="68"/>
      <c r="AP662" s="70"/>
      <c r="AQ662" s="71"/>
      <c r="AR662" s="77"/>
      <c r="AS662" s="70"/>
      <c r="AT662" s="68"/>
      <c r="AU662" s="70"/>
      <c r="AV662" s="70"/>
      <c r="AW662" s="71"/>
      <c r="AX662" s="71"/>
      <c r="AY662" s="70"/>
      <c r="AZ662" s="76"/>
      <c r="BA662" s="76"/>
      <c r="BB662" s="76"/>
      <c r="BC662" s="78"/>
    </row>
    <row r="663" spans="1:55" x14ac:dyDescent="0.25">
      <c r="A663" s="68"/>
      <c r="B663" s="68"/>
      <c r="C663" s="68"/>
      <c r="D663" s="70"/>
      <c r="E663" s="70"/>
      <c r="F663" s="70"/>
      <c r="G663" s="72"/>
      <c r="H663" s="74"/>
      <c r="I663" s="74"/>
      <c r="J663" s="75"/>
      <c r="K663" s="81"/>
      <c r="L663" s="76"/>
      <c r="M663" s="76"/>
      <c r="N663" s="76"/>
      <c r="O663" s="71"/>
      <c r="P663" s="70"/>
      <c r="Q663" s="71"/>
      <c r="R663" s="71"/>
      <c r="S663" s="70"/>
      <c r="T663" s="71"/>
      <c r="U663" s="71"/>
      <c r="V663" s="75"/>
      <c r="W663" s="69"/>
      <c r="X663" s="69"/>
      <c r="Y663" s="69"/>
      <c r="Z663" s="69"/>
      <c r="AA663" s="69"/>
      <c r="AB663" s="69"/>
      <c r="AC663" s="69"/>
      <c r="AD663" s="69"/>
      <c r="AE663" s="76"/>
      <c r="AF663" s="71"/>
      <c r="AG663" s="71"/>
      <c r="AH663" s="71"/>
      <c r="AI663" s="71"/>
      <c r="AJ663" s="71"/>
      <c r="AK663" s="71"/>
      <c r="AL663" s="71"/>
      <c r="AM663" s="71"/>
      <c r="AN663" s="68"/>
      <c r="AO663" s="68"/>
      <c r="AP663" s="70"/>
      <c r="AQ663" s="71"/>
      <c r="AR663" s="77"/>
      <c r="AS663" s="70"/>
      <c r="AT663" s="68"/>
      <c r="AU663" s="70"/>
      <c r="AV663" s="70"/>
      <c r="AW663" s="71"/>
      <c r="AX663" s="71"/>
      <c r="AY663" s="70"/>
      <c r="AZ663" s="76"/>
      <c r="BA663" s="76"/>
      <c r="BB663" s="76"/>
      <c r="BC663" s="78"/>
    </row>
    <row r="664" spans="1:55" x14ac:dyDescent="0.25">
      <c r="A664" s="68"/>
      <c r="B664" s="68"/>
      <c r="C664" s="68"/>
      <c r="D664" s="70"/>
      <c r="E664" s="70"/>
      <c r="F664" s="70"/>
      <c r="G664" s="72"/>
      <c r="H664" s="74"/>
      <c r="I664" s="74"/>
      <c r="J664" s="75"/>
      <c r="K664" s="81"/>
      <c r="L664" s="76"/>
      <c r="M664" s="76"/>
      <c r="N664" s="76"/>
      <c r="O664" s="71"/>
      <c r="P664" s="70"/>
      <c r="Q664" s="71"/>
      <c r="R664" s="71"/>
      <c r="S664" s="70"/>
      <c r="T664" s="71"/>
      <c r="U664" s="71"/>
      <c r="V664" s="75"/>
      <c r="W664" s="69"/>
      <c r="X664" s="69"/>
      <c r="Y664" s="69"/>
      <c r="Z664" s="69"/>
      <c r="AA664" s="69"/>
      <c r="AB664" s="69"/>
      <c r="AC664" s="69"/>
      <c r="AD664" s="69"/>
      <c r="AE664" s="76"/>
      <c r="AF664" s="71"/>
      <c r="AG664" s="71"/>
      <c r="AH664" s="71"/>
      <c r="AI664" s="71"/>
      <c r="AJ664" s="71"/>
      <c r="AK664" s="71"/>
      <c r="AL664" s="71"/>
      <c r="AM664" s="71"/>
      <c r="AN664" s="68"/>
      <c r="AO664" s="68"/>
      <c r="AP664" s="70"/>
      <c r="AQ664" s="71"/>
      <c r="AR664" s="77"/>
      <c r="AS664" s="70"/>
      <c r="AT664" s="68"/>
      <c r="AU664" s="70"/>
      <c r="AV664" s="70"/>
      <c r="AW664" s="71"/>
      <c r="AX664" s="71"/>
      <c r="AY664" s="70"/>
      <c r="AZ664" s="76"/>
      <c r="BA664" s="76"/>
      <c r="BB664" s="76"/>
      <c r="BC664" s="78"/>
    </row>
    <row r="665" spans="1:55" x14ac:dyDescent="0.25">
      <c r="A665" s="68"/>
      <c r="B665" s="68"/>
      <c r="C665" s="68"/>
      <c r="D665" s="70"/>
      <c r="E665" s="70"/>
      <c r="F665" s="70"/>
      <c r="G665" s="72"/>
      <c r="H665" s="74"/>
      <c r="I665" s="74"/>
      <c r="J665" s="75"/>
      <c r="K665" s="81"/>
      <c r="L665" s="76"/>
      <c r="M665" s="76"/>
      <c r="N665" s="76"/>
      <c r="O665" s="71"/>
      <c r="P665" s="70"/>
      <c r="Q665" s="71"/>
      <c r="R665" s="71"/>
      <c r="S665" s="70"/>
      <c r="T665" s="71"/>
      <c r="U665" s="71"/>
      <c r="V665" s="75"/>
      <c r="W665" s="69"/>
      <c r="X665" s="69"/>
      <c r="Y665" s="69"/>
      <c r="Z665" s="69"/>
      <c r="AA665" s="69"/>
      <c r="AB665" s="69"/>
      <c r="AC665" s="69"/>
      <c r="AD665" s="69"/>
      <c r="AE665" s="76"/>
      <c r="AF665" s="71"/>
      <c r="AG665" s="71"/>
      <c r="AH665" s="71"/>
      <c r="AI665" s="71"/>
      <c r="AJ665" s="71"/>
      <c r="AK665" s="71"/>
      <c r="AL665" s="71"/>
      <c r="AM665" s="71"/>
      <c r="AN665" s="68"/>
      <c r="AO665" s="68"/>
      <c r="AP665" s="70"/>
      <c r="AQ665" s="71"/>
      <c r="AR665" s="77"/>
      <c r="AS665" s="70"/>
      <c r="AT665" s="68"/>
      <c r="AU665" s="70"/>
      <c r="AV665" s="70"/>
      <c r="AW665" s="71"/>
      <c r="AX665" s="71"/>
      <c r="AY665" s="70"/>
      <c r="AZ665" s="76"/>
      <c r="BA665" s="76"/>
      <c r="BB665" s="76"/>
      <c r="BC665" s="78"/>
    </row>
    <row r="666" spans="1:55" x14ac:dyDescent="0.25">
      <c r="A666" s="68"/>
      <c r="B666" s="68"/>
      <c r="C666" s="68"/>
      <c r="D666" s="70"/>
      <c r="E666" s="70"/>
      <c r="F666" s="70"/>
      <c r="G666" s="72"/>
      <c r="H666" s="74"/>
      <c r="I666" s="74"/>
      <c r="J666" s="75"/>
      <c r="K666" s="81"/>
      <c r="L666" s="76"/>
      <c r="M666" s="76"/>
      <c r="N666" s="76"/>
      <c r="O666" s="71"/>
      <c r="P666" s="70"/>
      <c r="Q666" s="71"/>
      <c r="R666" s="71"/>
      <c r="S666" s="70"/>
      <c r="T666" s="71"/>
      <c r="U666" s="71"/>
      <c r="V666" s="75"/>
      <c r="W666" s="69"/>
      <c r="X666" s="69"/>
      <c r="Y666" s="69"/>
      <c r="Z666" s="69"/>
      <c r="AA666" s="69"/>
      <c r="AB666" s="69"/>
      <c r="AC666" s="69"/>
      <c r="AD666" s="69"/>
      <c r="AE666" s="76"/>
      <c r="AF666" s="71"/>
      <c r="AG666" s="71"/>
      <c r="AH666" s="71"/>
      <c r="AI666" s="71"/>
      <c r="AJ666" s="71"/>
      <c r="AK666" s="71"/>
      <c r="AL666" s="71"/>
      <c r="AM666" s="71"/>
      <c r="AN666" s="68"/>
      <c r="AO666" s="68"/>
      <c r="AP666" s="70"/>
      <c r="AQ666" s="71"/>
      <c r="AR666" s="77"/>
      <c r="AS666" s="70"/>
      <c r="AT666" s="68"/>
      <c r="AU666" s="70"/>
      <c r="AV666" s="70"/>
      <c r="AW666" s="71"/>
      <c r="AX666" s="71"/>
      <c r="AY666" s="70"/>
      <c r="AZ666" s="76"/>
      <c r="BA666" s="76"/>
      <c r="BB666" s="76"/>
      <c r="BC666" s="78"/>
    </row>
    <row r="667" spans="1:55" x14ac:dyDescent="0.25">
      <c r="A667" s="68"/>
      <c r="B667" s="68"/>
      <c r="C667" s="68"/>
      <c r="D667" s="70"/>
      <c r="E667" s="70"/>
      <c r="F667" s="70"/>
      <c r="G667" s="72"/>
      <c r="H667" s="74"/>
      <c r="I667" s="74"/>
      <c r="J667" s="75"/>
      <c r="K667" s="81"/>
      <c r="L667" s="76"/>
      <c r="M667" s="76"/>
      <c r="N667" s="76"/>
      <c r="O667" s="71"/>
      <c r="P667" s="70"/>
      <c r="Q667" s="71"/>
      <c r="R667" s="71"/>
      <c r="S667" s="70"/>
      <c r="T667" s="71"/>
      <c r="U667" s="71"/>
      <c r="V667" s="75"/>
      <c r="W667" s="69"/>
      <c r="X667" s="69"/>
      <c r="Y667" s="69"/>
      <c r="Z667" s="69"/>
      <c r="AA667" s="69"/>
      <c r="AB667" s="69"/>
      <c r="AC667" s="69"/>
      <c r="AD667" s="69"/>
      <c r="AE667" s="76"/>
      <c r="AF667" s="71"/>
      <c r="AG667" s="71"/>
      <c r="AH667" s="71"/>
      <c r="AI667" s="71"/>
      <c r="AJ667" s="71"/>
      <c r="AK667" s="71"/>
      <c r="AL667" s="71"/>
      <c r="AM667" s="71"/>
      <c r="AN667" s="68"/>
      <c r="AO667" s="68"/>
      <c r="AP667" s="70"/>
      <c r="AQ667" s="71"/>
      <c r="AR667" s="77"/>
      <c r="AS667" s="70"/>
      <c r="AT667" s="68"/>
      <c r="AU667" s="70"/>
      <c r="AV667" s="70"/>
      <c r="AW667" s="71"/>
      <c r="AX667" s="71"/>
      <c r="AY667" s="70"/>
      <c r="AZ667" s="76"/>
      <c r="BA667" s="76"/>
      <c r="BB667" s="76"/>
      <c r="BC667" s="78"/>
    </row>
    <row r="668" spans="1:55" x14ac:dyDescent="0.25">
      <c r="A668" s="68"/>
      <c r="B668" s="68"/>
      <c r="C668" s="68"/>
      <c r="D668" s="70"/>
      <c r="E668" s="70"/>
      <c r="F668" s="70"/>
      <c r="G668" s="72"/>
      <c r="H668" s="74"/>
      <c r="I668" s="74"/>
      <c r="J668" s="75"/>
      <c r="K668" s="81"/>
      <c r="L668" s="76"/>
      <c r="M668" s="76"/>
      <c r="N668" s="76"/>
      <c r="O668" s="71"/>
      <c r="P668" s="70"/>
      <c r="Q668" s="71"/>
      <c r="R668" s="71"/>
      <c r="S668" s="70"/>
      <c r="T668" s="71"/>
      <c r="U668" s="71"/>
      <c r="V668" s="75"/>
      <c r="W668" s="69"/>
      <c r="X668" s="69"/>
      <c r="Y668" s="69"/>
      <c r="Z668" s="69"/>
      <c r="AA668" s="69"/>
      <c r="AB668" s="69"/>
      <c r="AC668" s="69"/>
      <c r="AD668" s="69"/>
      <c r="AE668" s="76"/>
      <c r="AF668" s="71"/>
      <c r="AG668" s="71"/>
      <c r="AH668" s="71"/>
      <c r="AI668" s="71"/>
      <c r="AJ668" s="71"/>
      <c r="AK668" s="71"/>
      <c r="AL668" s="71"/>
      <c r="AM668" s="71"/>
      <c r="AN668" s="68"/>
      <c r="AO668" s="68"/>
      <c r="AP668" s="70"/>
      <c r="AQ668" s="71"/>
      <c r="AR668" s="77"/>
      <c r="AS668" s="70"/>
      <c r="AT668" s="68"/>
      <c r="AU668" s="70"/>
      <c r="AV668" s="70"/>
      <c r="AW668" s="71"/>
      <c r="AX668" s="71"/>
      <c r="AY668" s="70"/>
      <c r="AZ668" s="76"/>
      <c r="BA668" s="76"/>
      <c r="BB668" s="76"/>
      <c r="BC668" s="78"/>
    </row>
    <row r="669" spans="1:55" x14ac:dyDescent="0.25">
      <c r="A669" s="68"/>
      <c r="B669" s="68"/>
      <c r="C669" s="68"/>
      <c r="D669" s="70"/>
      <c r="E669" s="70"/>
      <c r="F669" s="70"/>
      <c r="G669" s="72"/>
      <c r="H669" s="74"/>
      <c r="I669" s="74"/>
      <c r="J669" s="75"/>
      <c r="K669" s="81"/>
      <c r="L669" s="76"/>
      <c r="M669" s="76"/>
      <c r="N669" s="76"/>
      <c r="O669" s="71"/>
      <c r="P669" s="70"/>
      <c r="Q669" s="71"/>
      <c r="R669" s="71"/>
      <c r="S669" s="70"/>
      <c r="T669" s="71"/>
      <c r="U669" s="71"/>
      <c r="V669" s="75"/>
      <c r="W669" s="69"/>
      <c r="X669" s="69"/>
      <c r="Y669" s="69"/>
      <c r="Z669" s="69"/>
      <c r="AA669" s="69"/>
      <c r="AB669" s="69"/>
      <c r="AC669" s="69"/>
      <c r="AD669" s="69"/>
      <c r="AE669" s="76"/>
      <c r="AF669" s="71"/>
      <c r="AG669" s="71"/>
      <c r="AH669" s="71"/>
      <c r="AI669" s="71"/>
      <c r="AJ669" s="71"/>
      <c r="AK669" s="71"/>
      <c r="AL669" s="71"/>
      <c r="AM669" s="71"/>
      <c r="AN669" s="68"/>
      <c r="AO669" s="68"/>
      <c r="AP669" s="70"/>
      <c r="AQ669" s="71"/>
      <c r="AR669" s="77"/>
      <c r="AS669" s="70"/>
      <c r="AT669" s="68"/>
      <c r="AU669" s="70"/>
      <c r="AV669" s="70"/>
      <c r="AW669" s="71"/>
      <c r="AX669" s="71"/>
      <c r="AY669" s="70"/>
      <c r="AZ669" s="76"/>
      <c r="BA669" s="76"/>
      <c r="BB669" s="76"/>
      <c r="BC669" s="78"/>
    </row>
    <row r="670" spans="1:55" x14ac:dyDescent="0.25">
      <c r="A670" s="68"/>
      <c r="B670" s="68"/>
      <c r="C670" s="68"/>
      <c r="D670" s="70"/>
      <c r="E670" s="70"/>
      <c r="F670" s="70"/>
      <c r="G670" s="72"/>
      <c r="H670" s="74"/>
      <c r="I670" s="74"/>
      <c r="J670" s="75"/>
      <c r="K670" s="81"/>
      <c r="L670" s="76"/>
      <c r="M670" s="76"/>
      <c r="N670" s="76"/>
      <c r="O670" s="71"/>
      <c r="P670" s="70"/>
      <c r="Q670" s="71"/>
      <c r="R670" s="71"/>
      <c r="S670" s="70"/>
      <c r="T670" s="71"/>
      <c r="U670" s="71"/>
      <c r="V670" s="75"/>
      <c r="W670" s="69"/>
      <c r="X670" s="69"/>
      <c r="Y670" s="69"/>
      <c r="Z670" s="69"/>
      <c r="AA670" s="69"/>
      <c r="AB670" s="69"/>
      <c r="AC670" s="69"/>
      <c r="AD670" s="69"/>
      <c r="AE670" s="76"/>
      <c r="AF670" s="71"/>
      <c r="AG670" s="71"/>
      <c r="AH670" s="71"/>
      <c r="AI670" s="71"/>
      <c r="AJ670" s="71"/>
      <c r="AK670" s="71"/>
      <c r="AL670" s="71"/>
      <c r="AM670" s="71"/>
      <c r="AN670" s="68"/>
      <c r="AO670" s="68"/>
      <c r="AP670" s="70"/>
      <c r="AQ670" s="71"/>
      <c r="AR670" s="77"/>
      <c r="AS670" s="70"/>
      <c r="AT670" s="68"/>
      <c r="AU670" s="70"/>
      <c r="AV670" s="70"/>
      <c r="AW670" s="71"/>
      <c r="AX670" s="71"/>
      <c r="AY670" s="70"/>
      <c r="AZ670" s="76"/>
      <c r="BA670" s="76"/>
      <c r="BB670" s="76"/>
      <c r="BC670" s="78"/>
    </row>
    <row r="671" spans="1:55" x14ac:dyDescent="0.25">
      <c r="A671" s="68"/>
      <c r="B671" s="68"/>
      <c r="C671" s="68"/>
      <c r="D671" s="70"/>
      <c r="E671" s="70"/>
      <c r="F671" s="70"/>
      <c r="G671" s="72"/>
      <c r="H671" s="74"/>
      <c r="I671" s="74"/>
      <c r="J671" s="75"/>
      <c r="K671" s="81"/>
      <c r="L671" s="76"/>
      <c r="M671" s="76"/>
      <c r="N671" s="76"/>
      <c r="O671" s="71"/>
      <c r="P671" s="70"/>
      <c r="Q671" s="71"/>
      <c r="R671" s="71"/>
      <c r="S671" s="70"/>
      <c r="T671" s="71"/>
      <c r="U671" s="71"/>
      <c r="V671" s="75"/>
      <c r="W671" s="69"/>
      <c r="X671" s="69"/>
      <c r="Y671" s="69"/>
      <c r="Z671" s="69"/>
      <c r="AA671" s="69"/>
      <c r="AB671" s="69"/>
      <c r="AC671" s="69"/>
      <c r="AD671" s="69"/>
      <c r="AE671" s="76"/>
      <c r="AF671" s="71"/>
      <c r="AG671" s="71"/>
      <c r="AH671" s="71"/>
      <c r="AI671" s="71"/>
      <c r="AJ671" s="71"/>
      <c r="AK671" s="71"/>
      <c r="AL671" s="71"/>
      <c r="AM671" s="71"/>
      <c r="AN671" s="68"/>
      <c r="AO671" s="68"/>
      <c r="AP671" s="70"/>
      <c r="AQ671" s="71"/>
      <c r="AR671" s="77"/>
      <c r="AS671" s="70"/>
      <c r="AT671" s="68"/>
      <c r="AU671" s="70"/>
      <c r="AV671" s="70"/>
      <c r="AW671" s="71"/>
      <c r="AX671" s="71"/>
      <c r="AY671" s="70"/>
      <c r="AZ671" s="76"/>
      <c r="BA671" s="76"/>
      <c r="BB671" s="76"/>
      <c r="BC671" s="78"/>
    </row>
    <row r="672" spans="1:55" x14ac:dyDescent="0.25">
      <c r="A672" s="68"/>
      <c r="B672" s="68"/>
      <c r="C672" s="68"/>
      <c r="D672" s="70"/>
      <c r="E672" s="70"/>
      <c r="F672" s="70"/>
      <c r="G672" s="72"/>
      <c r="H672" s="74"/>
      <c r="I672" s="74"/>
      <c r="J672" s="75"/>
      <c r="K672" s="81"/>
      <c r="L672" s="76"/>
      <c r="M672" s="76"/>
      <c r="N672" s="76"/>
      <c r="O672" s="71"/>
      <c r="P672" s="70"/>
      <c r="Q672" s="71"/>
      <c r="R672" s="71"/>
      <c r="S672" s="70"/>
      <c r="T672" s="71"/>
      <c r="U672" s="71"/>
      <c r="V672" s="75"/>
      <c r="W672" s="69"/>
      <c r="X672" s="69"/>
      <c r="Y672" s="69"/>
      <c r="Z672" s="69"/>
      <c r="AA672" s="69"/>
      <c r="AB672" s="69"/>
      <c r="AC672" s="69"/>
      <c r="AD672" s="69"/>
      <c r="AE672" s="76"/>
      <c r="AF672" s="71"/>
      <c r="AG672" s="71"/>
      <c r="AH672" s="71"/>
      <c r="AI672" s="71"/>
      <c r="AJ672" s="71"/>
      <c r="AK672" s="71"/>
      <c r="AL672" s="71"/>
      <c r="AM672" s="71"/>
      <c r="AN672" s="68"/>
      <c r="AO672" s="68"/>
      <c r="AP672" s="70"/>
      <c r="AQ672" s="71"/>
      <c r="AR672" s="77"/>
      <c r="AS672" s="70"/>
      <c r="AT672" s="68"/>
      <c r="AU672" s="70"/>
      <c r="AV672" s="70"/>
      <c r="AW672" s="71"/>
      <c r="AX672" s="71"/>
      <c r="AY672" s="70"/>
      <c r="AZ672" s="76"/>
      <c r="BA672" s="76"/>
      <c r="BB672" s="76"/>
      <c r="BC672" s="78"/>
    </row>
    <row r="673" spans="1:55" x14ac:dyDescent="0.25">
      <c r="A673" s="68"/>
      <c r="B673" s="68"/>
      <c r="C673" s="68"/>
      <c r="D673" s="70"/>
      <c r="E673" s="70"/>
      <c r="F673" s="70"/>
      <c r="G673" s="72"/>
      <c r="H673" s="74"/>
      <c r="I673" s="74"/>
      <c r="J673" s="75"/>
      <c r="K673" s="81"/>
      <c r="L673" s="76"/>
      <c r="M673" s="76"/>
      <c r="N673" s="76"/>
      <c r="O673" s="71"/>
      <c r="P673" s="70"/>
      <c r="Q673" s="71"/>
      <c r="R673" s="71"/>
      <c r="S673" s="70"/>
      <c r="T673" s="71"/>
      <c r="U673" s="71"/>
      <c r="V673" s="75"/>
      <c r="W673" s="69"/>
      <c r="X673" s="69"/>
      <c r="Y673" s="69"/>
      <c r="Z673" s="69"/>
      <c r="AA673" s="69"/>
      <c r="AB673" s="69"/>
      <c r="AC673" s="69"/>
      <c r="AD673" s="69"/>
      <c r="AE673" s="76"/>
      <c r="AF673" s="71"/>
      <c r="AG673" s="71"/>
      <c r="AH673" s="71"/>
      <c r="AI673" s="71"/>
      <c r="AJ673" s="71"/>
      <c r="AK673" s="71"/>
      <c r="AL673" s="71"/>
      <c r="AM673" s="71"/>
      <c r="AN673" s="68"/>
      <c r="AO673" s="68"/>
      <c r="AP673" s="70"/>
      <c r="AQ673" s="71"/>
      <c r="AR673" s="77"/>
      <c r="AS673" s="70"/>
      <c r="AT673" s="68"/>
      <c r="AU673" s="70"/>
      <c r="AV673" s="70"/>
      <c r="AW673" s="71"/>
      <c r="AX673" s="71"/>
      <c r="AY673" s="70"/>
      <c r="AZ673" s="76"/>
      <c r="BA673" s="76"/>
      <c r="BB673" s="76"/>
      <c r="BC673" s="78"/>
    </row>
    <row r="674" spans="1:55" x14ac:dyDescent="0.25">
      <c r="A674" s="68"/>
      <c r="B674" s="68"/>
      <c r="C674" s="68"/>
      <c r="D674" s="70"/>
      <c r="E674" s="70"/>
      <c r="F674" s="70"/>
      <c r="G674" s="72"/>
      <c r="H674" s="74"/>
      <c r="I674" s="74"/>
      <c r="J674" s="75"/>
      <c r="K674" s="81"/>
      <c r="L674" s="76"/>
      <c r="M674" s="76"/>
      <c r="N674" s="76"/>
      <c r="O674" s="71"/>
      <c r="P674" s="70"/>
      <c r="Q674" s="71"/>
      <c r="R674" s="71"/>
      <c r="S674" s="70"/>
      <c r="T674" s="71"/>
      <c r="U674" s="71"/>
      <c r="V674" s="75"/>
      <c r="W674" s="69"/>
      <c r="X674" s="69"/>
      <c r="Y674" s="69"/>
      <c r="Z674" s="69"/>
      <c r="AA674" s="69"/>
      <c r="AB674" s="69"/>
      <c r="AC674" s="69"/>
      <c r="AD674" s="69"/>
      <c r="AE674" s="76"/>
      <c r="AF674" s="71"/>
      <c r="AG674" s="71"/>
      <c r="AH674" s="71"/>
      <c r="AI674" s="71"/>
      <c r="AJ674" s="71"/>
      <c r="AK674" s="71"/>
      <c r="AL674" s="71"/>
      <c r="AM674" s="71"/>
      <c r="AN674" s="68"/>
      <c r="AO674" s="68"/>
      <c r="AP674" s="70"/>
      <c r="AQ674" s="71"/>
      <c r="AR674" s="77"/>
      <c r="AS674" s="70"/>
      <c r="AT674" s="68"/>
      <c r="AU674" s="70"/>
      <c r="AV674" s="70"/>
      <c r="AW674" s="71"/>
      <c r="AX674" s="71"/>
      <c r="AY674" s="70"/>
      <c r="AZ674" s="76"/>
      <c r="BA674" s="76"/>
      <c r="BB674" s="76"/>
      <c r="BC674" s="78"/>
    </row>
    <row r="675" spans="1:55" x14ac:dyDescent="0.25">
      <c r="A675" s="68"/>
      <c r="B675" s="68"/>
      <c r="C675" s="68"/>
      <c r="D675" s="70"/>
      <c r="E675" s="70"/>
      <c r="F675" s="70"/>
      <c r="G675" s="72"/>
      <c r="H675" s="74"/>
      <c r="I675" s="74"/>
      <c r="J675" s="75"/>
      <c r="K675" s="81"/>
      <c r="L675" s="76"/>
      <c r="M675" s="76"/>
      <c r="N675" s="76"/>
      <c r="O675" s="71"/>
      <c r="P675" s="70"/>
      <c r="Q675" s="71"/>
      <c r="R675" s="71"/>
      <c r="S675" s="70"/>
      <c r="T675" s="71"/>
      <c r="U675" s="71"/>
      <c r="V675" s="75"/>
      <c r="W675" s="69"/>
      <c r="X675" s="69"/>
      <c r="Y675" s="69"/>
      <c r="Z675" s="69"/>
      <c r="AA675" s="69"/>
      <c r="AB675" s="69"/>
      <c r="AC675" s="69"/>
      <c r="AD675" s="69"/>
      <c r="AE675" s="76"/>
      <c r="AF675" s="71"/>
      <c r="AG675" s="71"/>
      <c r="AH675" s="71"/>
      <c r="AI675" s="71"/>
      <c r="AJ675" s="71"/>
      <c r="AK675" s="71"/>
      <c r="AL675" s="71"/>
      <c r="AM675" s="71"/>
      <c r="AN675" s="68"/>
      <c r="AO675" s="68"/>
      <c r="AP675" s="70"/>
      <c r="AQ675" s="71"/>
      <c r="AR675" s="77"/>
      <c r="AS675" s="70"/>
      <c r="AT675" s="68"/>
      <c r="AU675" s="70"/>
      <c r="AV675" s="70"/>
      <c r="AW675" s="71"/>
      <c r="AX675" s="71"/>
      <c r="AY675" s="70"/>
      <c r="AZ675" s="76"/>
      <c r="BA675" s="76"/>
      <c r="BB675" s="76"/>
      <c r="BC675" s="78"/>
    </row>
    <row r="676" spans="1:55" x14ac:dyDescent="0.25">
      <c r="A676" s="68"/>
      <c r="B676" s="68"/>
      <c r="C676" s="68"/>
      <c r="D676" s="70"/>
      <c r="E676" s="70"/>
      <c r="F676" s="70"/>
      <c r="G676" s="72"/>
      <c r="H676" s="74"/>
      <c r="I676" s="74"/>
      <c r="J676" s="75"/>
      <c r="K676" s="81"/>
      <c r="L676" s="76"/>
      <c r="M676" s="76"/>
      <c r="N676" s="76"/>
      <c r="O676" s="71"/>
      <c r="P676" s="70"/>
      <c r="Q676" s="71"/>
      <c r="R676" s="71"/>
      <c r="S676" s="70"/>
      <c r="T676" s="71"/>
      <c r="U676" s="71"/>
      <c r="V676" s="75"/>
      <c r="W676" s="69"/>
      <c r="X676" s="69"/>
      <c r="Y676" s="69"/>
      <c r="Z676" s="69"/>
      <c r="AA676" s="69"/>
      <c r="AB676" s="69"/>
      <c r="AC676" s="69"/>
      <c r="AD676" s="69"/>
      <c r="AE676" s="76"/>
      <c r="AF676" s="71"/>
      <c r="AG676" s="71"/>
      <c r="AH676" s="71"/>
      <c r="AI676" s="71"/>
      <c r="AJ676" s="71"/>
      <c r="AK676" s="71"/>
      <c r="AL676" s="71"/>
      <c r="AM676" s="71"/>
      <c r="AN676" s="68"/>
      <c r="AO676" s="68"/>
      <c r="AP676" s="70"/>
      <c r="AQ676" s="71"/>
      <c r="AR676" s="77"/>
      <c r="AS676" s="70"/>
      <c r="AT676" s="68"/>
      <c r="AU676" s="70"/>
      <c r="AV676" s="70"/>
      <c r="AW676" s="71"/>
      <c r="AX676" s="71"/>
      <c r="AY676" s="70"/>
      <c r="AZ676" s="76"/>
      <c r="BA676" s="76"/>
      <c r="BB676" s="76"/>
      <c r="BC676" s="78"/>
    </row>
    <row r="677" spans="1:55" x14ac:dyDescent="0.25">
      <c r="A677" s="68"/>
      <c r="B677" s="68"/>
      <c r="C677" s="68"/>
      <c r="D677" s="70"/>
      <c r="E677" s="70"/>
      <c r="F677" s="70"/>
      <c r="G677" s="72"/>
      <c r="H677" s="74"/>
      <c r="I677" s="74"/>
      <c r="J677" s="75"/>
      <c r="K677" s="81"/>
      <c r="L677" s="76"/>
      <c r="M677" s="76"/>
      <c r="N677" s="76"/>
      <c r="O677" s="71"/>
      <c r="P677" s="70"/>
      <c r="Q677" s="71"/>
      <c r="R677" s="71"/>
      <c r="S677" s="70"/>
      <c r="T677" s="71"/>
      <c r="U677" s="71"/>
      <c r="V677" s="75"/>
      <c r="W677" s="69"/>
      <c r="X677" s="69"/>
      <c r="Y677" s="69"/>
      <c r="Z677" s="69"/>
      <c r="AA677" s="69"/>
      <c r="AB677" s="69"/>
      <c r="AC677" s="69"/>
      <c r="AD677" s="69"/>
      <c r="AE677" s="76"/>
      <c r="AF677" s="71"/>
      <c r="AG677" s="71"/>
      <c r="AH677" s="71"/>
      <c r="AI677" s="71"/>
      <c r="AJ677" s="71"/>
      <c r="AK677" s="71"/>
      <c r="AL677" s="71"/>
      <c r="AM677" s="71"/>
      <c r="AN677" s="68"/>
      <c r="AO677" s="68"/>
      <c r="AP677" s="70"/>
      <c r="AQ677" s="71"/>
      <c r="AR677" s="77"/>
      <c r="AS677" s="70"/>
      <c r="AT677" s="68"/>
      <c r="AU677" s="70"/>
      <c r="AV677" s="70"/>
      <c r="AW677" s="71"/>
      <c r="AX677" s="71"/>
      <c r="AY677" s="70"/>
      <c r="AZ677" s="76"/>
      <c r="BA677" s="76"/>
      <c r="BB677" s="76"/>
      <c r="BC677" s="78"/>
    </row>
    <row r="678" spans="1:55" x14ac:dyDescent="0.25">
      <c r="A678" s="68"/>
      <c r="B678" s="68"/>
      <c r="C678" s="68"/>
      <c r="D678" s="70"/>
      <c r="E678" s="70"/>
      <c r="F678" s="70"/>
      <c r="G678" s="72"/>
      <c r="H678" s="74"/>
      <c r="I678" s="74"/>
      <c r="J678" s="75"/>
      <c r="K678" s="81"/>
      <c r="L678" s="76"/>
      <c r="M678" s="76"/>
      <c r="N678" s="76"/>
      <c r="O678" s="71"/>
      <c r="P678" s="70"/>
      <c r="Q678" s="71"/>
      <c r="R678" s="71"/>
      <c r="S678" s="70"/>
      <c r="T678" s="71"/>
      <c r="U678" s="71"/>
      <c r="V678" s="75"/>
      <c r="W678" s="69"/>
      <c r="X678" s="69"/>
      <c r="Y678" s="69"/>
      <c r="Z678" s="69"/>
      <c r="AA678" s="69"/>
      <c r="AB678" s="69"/>
      <c r="AC678" s="69"/>
      <c r="AD678" s="69"/>
      <c r="AE678" s="76"/>
      <c r="AF678" s="71"/>
      <c r="AG678" s="71"/>
      <c r="AH678" s="71"/>
      <c r="AI678" s="71"/>
      <c r="AJ678" s="71"/>
      <c r="AK678" s="71"/>
      <c r="AL678" s="71"/>
      <c r="AM678" s="71"/>
      <c r="AN678" s="68"/>
      <c r="AO678" s="68"/>
      <c r="AP678" s="70"/>
      <c r="AQ678" s="71"/>
      <c r="AR678" s="77"/>
      <c r="AS678" s="70"/>
      <c r="AT678" s="68"/>
      <c r="AU678" s="70"/>
      <c r="AV678" s="70"/>
      <c r="AW678" s="71"/>
      <c r="AX678" s="71"/>
      <c r="AY678" s="70"/>
      <c r="AZ678" s="76"/>
      <c r="BA678" s="76"/>
      <c r="BB678" s="76"/>
      <c r="BC678" s="78"/>
    </row>
    <row r="679" spans="1:55" x14ac:dyDescent="0.25">
      <c r="A679" s="68"/>
      <c r="B679" s="68"/>
      <c r="C679" s="68"/>
      <c r="D679" s="70"/>
      <c r="E679" s="70"/>
      <c r="F679" s="70"/>
      <c r="G679" s="72"/>
      <c r="H679" s="74"/>
      <c r="I679" s="74"/>
      <c r="J679" s="75"/>
      <c r="K679" s="81"/>
      <c r="L679" s="76"/>
      <c r="M679" s="76"/>
      <c r="N679" s="76"/>
      <c r="O679" s="71"/>
      <c r="P679" s="70"/>
      <c r="Q679" s="71"/>
      <c r="R679" s="71"/>
      <c r="S679" s="70"/>
      <c r="T679" s="71"/>
      <c r="U679" s="71"/>
      <c r="V679" s="75"/>
      <c r="W679" s="69"/>
      <c r="X679" s="69"/>
      <c r="Y679" s="69"/>
      <c r="Z679" s="69"/>
      <c r="AA679" s="69"/>
      <c r="AB679" s="69"/>
      <c r="AC679" s="69"/>
      <c r="AD679" s="69"/>
      <c r="AE679" s="76"/>
      <c r="AF679" s="71"/>
      <c r="AG679" s="71"/>
      <c r="AH679" s="71"/>
      <c r="AI679" s="71"/>
      <c r="AJ679" s="71"/>
      <c r="AK679" s="71"/>
      <c r="AL679" s="71"/>
      <c r="AM679" s="71"/>
      <c r="AN679" s="68"/>
      <c r="AO679" s="68"/>
      <c r="AP679" s="70"/>
      <c r="AQ679" s="71"/>
      <c r="AR679" s="77"/>
      <c r="AS679" s="70"/>
      <c r="AT679" s="68"/>
      <c r="AU679" s="70"/>
      <c r="AV679" s="70"/>
      <c r="AW679" s="71"/>
      <c r="AX679" s="71"/>
      <c r="AY679" s="70"/>
      <c r="AZ679" s="76"/>
      <c r="BA679" s="76"/>
      <c r="BB679" s="76"/>
      <c r="BC679" s="78"/>
    </row>
    <row r="680" spans="1:55" x14ac:dyDescent="0.25">
      <c r="A680" s="68"/>
      <c r="B680" s="68"/>
      <c r="C680" s="68"/>
      <c r="D680" s="70"/>
      <c r="E680" s="70"/>
      <c r="F680" s="70"/>
      <c r="G680" s="72"/>
      <c r="H680" s="74"/>
      <c r="I680" s="74"/>
      <c r="J680" s="75"/>
      <c r="K680" s="81"/>
      <c r="L680" s="76"/>
      <c r="M680" s="76"/>
      <c r="N680" s="76"/>
      <c r="O680" s="71"/>
      <c r="P680" s="70"/>
      <c r="Q680" s="71"/>
      <c r="R680" s="71"/>
      <c r="S680" s="70"/>
      <c r="T680" s="71"/>
      <c r="U680" s="71"/>
      <c r="V680" s="75"/>
      <c r="W680" s="69"/>
      <c r="X680" s="69"/>
      <c r="Y680" s="69"/>
      <c r="Z680" s="69"/>
      <c r="AA680" s="69"/>
      <c r="AB680" s="69"/>
      <c r="AC680" s="69"/>
      <c r="AD680" s="69"/>
      <c r="AE680" s="76"/>
      <c r="AF680" s="71"/>
      <c r="AG680" s="71"/>
      <c r="AH680" s="71"/>
      <c r="AI680" s="71"/>
      <c r="AJ680" s="71"/>
      <c r="AK680" s="71"/>
      <c r="AL680" s="71"/>
      <c r="AM680" s="71"/>
      <c r="AN680" s="68"/>
      <c r="AO680" s="68"/>
      <c r="AP680" s="70"/>
      <c r="AQ680" s="71"/>
      <c r="AR680" s="77"/>
      <c r="AS680" s="70"/>
      <c r="AT680" s="68"/>
      <c r="AU680" s="70"/>
      <c r="AV680" s="70"/>
      <c r="AW680" s="71"/>
      <c r="AX680" s="71"/>
      <c r="AY680" s="70"/>
      <c r="AZ680" s="76"/>
      <c r="BA680" s="76"/>
      <c r="BB680" s="76"/>
      <c r="BC680" s="78"/>
    </row>
    <row r="681" spans="1:55" x14ac:dyDescent="0.25">
      <c r="A681" s="68"/>
      <c r="B681" s="68"/>
      <c r="C681" s="68"/>
      <c r="D681" s="70"/>
      <c r="E681" s="70"/>
      <c r="F681" s="70"/>
      <c r="G681" s="72"/>
      <c r="H681" s="74"/>
      <c r="I681" s="74"/>
      <c r="J681" s="75"/>
      <c r="K681" s="81"/>
      <c r="L681" s="76"/>
      <c r="M681" s="76"/>
      <c r="N681" s="76"/>
      <c r="O681" s="71"/>
      <c r="P681" s="70"/>
      <c r="Q681" s="71"/>
      <c r="R681" s="71"/>
      <c r="S681" s="70"/>
      <c r="T681" s="71"/>
      <c r="U681" s="71"/>
      <c r="V681" s="75"/>
      <c r="W681" s="69"/>
      <c r="X681" s="69"/>
      <c r="Y681" s="69"/>
      <c r="Z681" s="69"/>
      <c r="AA681" s="69"/>
      <c r="AB681" s="69"/>
      <c r="AC681" s="69"/>
      <c r="AD681" s="69"/>
      <c r="AE681" s="76"/>
      <c r="AF681" s="71"/>
      <c r="AG681" s="71"/>
      <c r="AH681" s="71"/>
      <c r="AI681" s="71"/>
      <c r="AJ681" s="71"/>
      <c r="AK681" s="71"/>
      <c r="AL681" s="71"/>
      <c r="AM681" s="71"/>
      <c r="AN681" s="68"/>
      <c r="AO681" s="68"/>
      <c r="AP681" s="70"/>
      <c r="AQ681" s="71"/>
      <c r="AR681" s="77"/>
      <c r="AS681" s="70"/>
      <c r="AT681" s="68"/>
      <c r="AU681" s="70"/>
      <c r="AV681" s="70"/>
      <c r="AW681" s="71"/>
      <c r="AX681" s="71"/>
      <c r="AY681" s="70"/>
      <c r="AZ681" s="76"/>
      <c r="BA681" s="76"/>
      <c r="BB681" s="76"/>
      <c r="BC681" s="78"/>
    </row>
    <row r="682" spans="1:55" x14ac:dyDescent="0.25">
      <c r="A682" s="68"/>
      <c r="B682" s="68"/>
      <c r="C682" s="68"/>
      <c r="D682" s="70"/>
      <c r="E682" s="70"/>
      <c r="F682" s="70"/>
      <c r="G682" s="72"/>
      <c r="H682" s="74"/>
      <c r="I682" s="74"/>
      <c r="J682" s="75"/>
      <c r="K682" s="81"/>
      <c r="L682" s="76"/>
      <c r="M682" s="76"/>
      <c r="N682" s="76"/>
      <c r="O682" s="71"/>
      <c r="P682" s="70"/>
      <c r="Q682" s="71"/>
      <c r="R682" s="71"/>
      <c r="S682" s="70"/>
      <c r="T682" s="71"/>
      <c r="U682" s="71"/>
      <c r="V682" s="75"/>
      <c r="W682" s="69"/>
      <c r="X682" s="69"/>
      <c r="Y682" s="69"/>
      <c r="Z682" s="69"/>
      <c r="AA682" s="69"/>
      <c r="AB682" s="69"/>
      <c r="AC682" s="69"/>
      <c r="AD682" s="69"/>
      <c r="AE682" s="76"/>
      <c r="AF682" s="71"/>
      <c r="AG682" s="71"/>
      <c r="AH682" s="71"/>
      <c r="AI682" s="71"/>
      <c r="AJ682" s="71"/>
      <c r="AK682" s="71"/>
      <c r="AL682" s="71"/>
      <c r="AM682" s="71"/>
      <c r="AN682" s="68"/>
      <c r="AO682" s="68"/>
      <c r="AP682" s="70"/>
      <c r="AQ682" s="71"/>
      <c r="AR682" s="77"/>
      <c r="AS682" s="70"/>
      <c r="AT682" s="68"/>
      <c r="AU682" s="70"/>
      <c r="AV682" s="70"/>
      <c r="AW682" s="71"/>
      <c r="AX682" s="71"/>
      <c r="AY682" s="70"/>
      <c r="AZ682" s="76"/>
      <c r="BA682" s="76"/>
      <c r="BB682" s="76"/>
      <c r="BC682" s="78"/>
    </row>
    <row r="683" spans="1:55" x14ac:dyDescent="0.25">
      <c r="A683" s="68"/>
      <c r="B683" s="68"/>
      <c r="C683" s="68"/>
      <c r="D683" s="70"/>
      <c r="E683" s="70"/>
      <c r="F683" s="70"/>
      <c r="G683" s="72"/>
      <c r="H683" s="74"/>
      <c r="I683" s="74"/>
      <c r="J683" s="75"/>
      <c r="K683" s="81"/>
      <c r="L683" s="76"/>
      <c r="M683" s="76"/>
      <c r="N683" s="76"/>
      <c r="O683" s="71"/>
      <c r="P683" s="70"/>
      <c r="Q683" s="71"/>
      <c r="R683" s="71"/>
      <c r="S683" s="70"/>
      <c r="T683" s="71"/>
      <c r="U683" s="71"/>
      <c r="V683" s="75"/>
      <c r="W683" s="69"/>
      <c r="X683" s="69"/>
      <c r="Y683" s="69"/>
      <c r="Z683" s="69"/>
      <c r="AA683" s="69"/>
      <c r="AB683" s="69"/>
      <c r="AC683" s="69"/>
      <c r="AD683" s="69"/>
      <c r="AE683" s="76"/>
      <c r="AF683" s="71"/>
      <c r="AG683" s="71"/>
      <c r="AH683" s="71"/>
      <c r="AI683" s="71"/>
      <c r="AJ683" s="71"/>
      <c r="AK683" s="71"/>
      <c r="AL683" s="71"/>
      <c r="AM683" s="71"/>
      <c r="AN683" s="68"/>
      <c r="AO683" s="68"/>
      <c r="AP683" s="70"/>
      <c r="AQ683" s="71"/>
      <c r="AR683" s="77"/>
      <c r="AS683" s="70"/>
      <c r="AT683" s="68"/>
      <c r="AU683" s="70"/>
      <c r="AV683" s="70"/>
      <c r="AW683" s="71"/>
      <c r="AX683" s="71"/>
      <c r="AY683" s="70"/>
      <c r="AZ683" s="76"/>
      <c r="BA683" s="76"/>
      <c r="BB683" s="76"/>
      <c r="BC683" s="78"/>
    </row>
    <row r="684" spans="1:55" x14ac:dyDescent="0.25">
      <c r="A684" s="68"/>
      <c r="B684" s="68"/>
      <c r="C684" s="68"/>
      <c r="D684" s="70"/>
      <c r="E684" s="70"/>
      <c r="F684" s="70"/>
      <c r="G684" s="72"/>
      <c r="H684" s="74"/>
      <c r="I684" s="74"/>
      <c r="J684" s="75"/>
      <c r="K684" s="81"/>
      <c r="L684" s="76"/>
      <c r="M684" s="76"/>
      <c r="N684" s="76"/>
      <c r="O684" s="71"/>
      <c r="P684" s="70"/>
      <c r="Q684" s="71"/>
      <c r="R684" s="71"/>
      <c r="S684" s="70"/>
      <c r="T684" s="71"/>
      <c r="U684" s="71"/>
      <c r="V684" s="75"/>
      <c r="W684" s="69"/>
      <c r="X684" s="69"/>
      <c r="Y684" s="69"/>
      <c r="Z684" s="69"/>
      <c r="AA684" s="69"/>
      <c r="AB684" s="69"/>
      <c r="AC684" s="69"/>
      <c r="AD684" s="69"/>
      <c r="AE684" s="76"/>
      <c r="AF684" s="71"/>
      <c r="AG684" s="71"/>
      <c r="AH684" s="71"/>
      <c r="AI684" s="71"/>
      <c r="AJ684" s="71"/>
      <c r="AK684" s="71"/>
      <c r="AL684" s="71"/>
      <c r="AM684" s="71"/>
      <c r="AN684" s="68"/>
      <c r="AO684" s="68"/>
      <c r="AP684" s="70"/>
      <c r="AQ684" s="71"/>
      <c r="AR684" s="77"/>
      <c r="AS684" s="70"/>
      <c r="AT684" s="68"/>
      <c r="AU684" s="70"/>
      <c r="AV684" s="70"/>
      <c r="AW684" s="71"/>
      <c r="AX684" s="71"/>
      <c r="AY684" s="70"/>
      <c r="AZ684" s="76"/>
      <c r="BA684" s="76"/>
      <c r="BB684" s="76"/>
      <c r="BC684" s="78"/>
    </row>
    <row r="685" spans="1:55" x14ac:dyDescent="0.25">
      <c r="A685" s="68"/>
      <c r="B685" s="68"/>
      <c r="C685" s="68"/>
      <c r="D685" s="70"/>
      <c r="E685" s="70"/>
      <c r="F685" s="70"/>
      <c r="G685" s="72"/>
      <c r="H685" s="74"/>
      <c r="I685" s="74"/>
      <c r="J685" s="75"/>
      <c r="K685" s="81"/>
      <c r="L685" s="76"/>
      <c r="M685" s="76"/>
      <c r="N685" s="76"/>
      <c r="O685" s="71"/>
      <c r="P685" s="70"/>
      <c r="Q685" s="71"/>
      <c r="R685" s="71"/>
      <c r="S685" s="70"/>
      <c r="T685" s="71"/>
      <c r="U685" s="71"/>
      <c r="V685" s="75"/>
      <c r="W685" s="69"/>
      <c r="X685" s="69"/>
      <c r="Y685" s="69"/>
      <c r="Z685" s="69"/>
      <c r="AA685" s="69"/>
      <c r="AB685" s="69"/>
      <c r="AC685" s="69"/>
      <c r="AD685" s="69"/>
      <c r="AE685" s="76"/>
      <c r="AF685" s="71"/>
      <c r="AG685" s="71"/>
      <c r="AH685" s="71"/>
      <c r="AI685" s="71"/>
      <c r="AJ685" s="71"/>
      <c r="AK685" s="71"/>
      <c r="AL685" s="71"/>
      <c r="AM685" s="71"/>
      <c r="AN685" s="68"/>
      <c r="AO685" s="68"/>
      <c r="AP685" s="70"/>
      <c r="AQ685" s="71"/>
      <c r="AR685" s="77"/>
      <c r="AS685" s="70"/>
      <c r="AT685" s="68"/>
      <c r="AU685" s="70"/>
      <c r="AV685" s="70"/>
      <c r="AW685" s="71"/>
      <c r="AX685" s="71"/>
      <c r="AY685" s="70"/>
      <c r="AZ685" s="76"/>
      <c r="BA685" s="76"/>
      <c r="BB685" s="76"/>
      <c r="BC685" s="78"/>
    </row>
    <row r="686" spans="1:55" x14ac:dyDescent="0.25">
      <c r="A686" s="68"/>
      <c r="B686" s="68"/>
      <c r="C686" s="68"/>
      <c r="D686" s="70"/>
      <c r="E686" s="70"/>
      <c r="F686" s="70"/>
      <c r="G686" s="72"/>
      <c r="H686" s="74"/>
      <c r="I686" s="74"/>
      <c r="J686" s="75"/>
      <c r="K686" s="81"/>
      <c r="L686" s="76"/>
      <c r="M686" s="76"/>
      <c r="N686" s="76"/>
      <c r="O686" s="71"/>
      <c r="P686" s="70"/>
      <c r="Q686" s="71"/>
      <c r="R686" s="71"/>
      <c r="S686" s="70"/>
      <c r="T686" s="71"/>
      <c r="U686" s="71"/>
      <c r="V686" s="75"/>
      <c r="W686" s="69"/>
      <c r="X686" s="69"/>
      <c r="Y686" s="69"/>
      <c r="Z686" s="69"/>
      <c r="AA686" s="69"/>
      <c r="AB686" s="69"/>
      <c r="AC686" s="69"/>
      <c r="AD686" s="69"/>
      <c r="AE686" s="76"/>
      <c r="AF686" s="71"/>
      <c r="AG686" s="71"/>
      <c r="AH686" s="71"/>
      <c r="AI686" s="71"/>
      <c r="AJ686" s="71"/>
      <c r="AK686" s="71"/>
      <c r="AL686" s="71"/>
      <c r="AM686" s="71"/>
      <c r="AN686" s="68"/>
      <c r="AO686" s="68"/>
      <c r="AP686" s="70"/>
      <c r="AQ686" s="71"/>
      <c r="AR686" s="77"/>
      <c r="AS686" s="70"/>
      <c r="AT686" s="68"/>
      <c r="AU686" s="70"/>
      <c r="AV686" s="70"/>
      <c r="AW686" s="71"/>
      <c r="AX686" s="71"/>
      <c r="AY686" s="70"/>
      <c r="AZ686" s="76"/>
      <c r="BA686" s="76"/>
      <c r="BB686" s="76"/>
      <c r="BC686" s="78"/>
    </row>
    <row r="687" spans="1:55" x14ac:dyDescent="0.25">
      <c r="A687" s="68"/>
      <c r="B687" s="68"/>
      <c r="C687" s="68"/>
      <c r="D687" s="70"/>
      <c r="E687" s="70"/>
      <c r="F687" s="70"/>
      <c r="G687" s="72"/>
      <c r="H687" s="74"/>
      <c r="I687" s="74"/>
      <c r="J687" s="75"/>
      <c r="K687" s="81"/>
      <c r="L687" s="76"/>
      <c r="M687" s="76"/>
      <c r="N687" s="76"/>
      <c r="O687" s="71"/>
      <c r="P687" s="70"/>
      <c r="Q687" s="71"/>
      <c r="R687" s="71"/>
      <c r="S687" s="70"/>
      <c r="T687" s="71"/>
      <c r="U687" s="71"/>
      <c r="V687" s="75"/>
      <c r="W687" s="69"/>
      <c r="X687" s="69"/>
      <c r="Y687" s="69"/>
      <c r="Z687" s="69"/>
      <c r="AA687" s="69"/>
      <c r="AB687" s="69"/>
      <c r="AC687" s="69"/>
      <c r="AD687" s="69"/>
      <c r="AE687" s="76"/>
      <c r="AF687" s="71"/>
      <c r="AG687" s="71"/>
      <c r="AH687" s="71"/>
      <c r="AI687" s="71"/>
      <c r="AJ687" s="71"/>
      <c r="AK687" s="71"/>
      <c r="AL687" s="71"/>
      <c r="AM687" s="71"/>
      <c r="AN687" s="68"/>
      <c r="AO687" s="68"/>
      <c r="AP687" s="70"/>
      <c r="AQ687" s="71"/>
      <c r="AR687" s="77"/>
      <c r="AS687" s="70"/>
      <c r="AT687" s="68"/>
      <c r="AU687" s="70"/>
      <c r="AV687" s="70"/>
      <c r="AW687" s="71"/>
      <c r="AX687" s="71"/>
      <c r="AY687" s="70"/>
      <c r="AZ687" s="76"/>
      <c r="BA687" s="76"/>
      <c r="BB687" s="76"/>
      <c r="BC687" s="78"/>
    </row>
    <row r="688" spans="1:55" x14ac:dyDescent="0.25">
      <c r="A688" s="68"/>
      <c r="B688" s="68"/>
      <c r="C688" s="68"/>
      <c r="D688" s="70"/>
      <c r="E688" s="70"/>
      <c r="F688" s="70"/>
      <c r="G688" s="72"/>
      <c r="H688" s="74"/>
      <c r="I688" s="74"/>
      <c r="J688" s="75"/>
      <c r="K688" s="81"/>
      <c r="L688" s="76"/>
      <c r="M688" s="76"/>
      <c r="N688" s="76"/>
      <c r="O688" s="71"/>
      <c r="P688" s="70"/>
      <c r="Q688" s="71"/>
      <c r="R688" s="71"/>
      <c r="S688" s="70"/>
      <c r="T688" s="71"/>
      <c r="U688" s="71"/>
      <c r="V688" s="75"/>
      <c r="W688" s="69"/>
      <c r="X688" s="69"/>
      <c r="Y688" s="69"/>
      <c r="Z688" s="69"/>
      <c r="AA688" s="69"/>
      <c r="AB688" s="69"/>
      <c r="AC688" s="69"/>
      <c r="AD688" s="69"/>
      <c r="AE688" s="76"/>
      <c r="AF688" s="71"/>
      <c r="AG688" s="71"/>
      <c r="AH688" s="71"/>
      <c r="AI688" s="71"/>
      <c r="AJ688" s="71"/>
      <c r="AK688" s="71"/>
      <c r="AL688" s="71"/>
      <c r="AM688" s="71"/>
      <c r="AN688" s="68"/>
      <c r="AO688" s="68"/>
      <c r="AP688" s="70"/>
      <c r="AQ688" s="71"/>
      <c r="AR688" s="77"/>
      <c r="AS688" s="70"/>
      <c r="AT688" s="68"/>
      <c r="AU688" s="70"/>
      <c r="AV688" s="70"/>
      <c r="AW688" s="71"/>
      <c r="AX688" s="71"/>
      <c r="AY688" s="70"/>
      <c r="AZ688" s="76"/>
      <c r="BA688" s="76"/>
      <c r="BB688" s="76"/>
      <c r="BC688" s="78"/>
    </row>
    <row r="689" spans="1:55" x14ac:dyDescent="0.25">
      <c r="A689" s="68"/>
      <c r="B689" s="68"/>
      <c r="C689" s="68"/>
      <c r="D689" s="70"/>
      <c r="E689" s="70"/>
      <c r="F689" s="70"/>
      <c r="G689" s="72"/>
      <c r="H689" s="74"/>
      <c r="I689" s="74"/>
      <c r="J689" s="75"/>
      <c r="K689" s="81"/>
      <c r="L689" s="76"/>
      <c r="M689" s="76"/>
      <c r="N689" s="76"/>
      <c r="O689" s="71"/>
      <c r="P689" s="70"/>
      <c r="Q689" s="71"/>
      <c r="R689" s="71"/>
      <c r="S689" s="70"/>
      <c r="T689" s="71"/>
      <c r="U689" s="71"/>
      <c r="V689" s="75"/>
      <c r="W689" s="69"/>
      <c r="X689" s="69"/>
      <c r="Y689" s="69"/>
      <c r="Z689" s="69"/>
      <c r="AA689" s="69"/>
      <c r="AB689" s="69"/>
      <c r="AC689" s="69"/>
      <c r="AD689" s="69"/>
      <c r="AE689" s="76"/>
      <c r="AF689" s="71"/>
      <c r="AG689" s="71"/>
      <c r="AH689" s="71"/>
      <c r="AI689" s="71"/>
      <c r="AJ689" s="71"/>
      <c r="AK689" s="71"/>
      <c r="AL689" s="71"/>
      <c r="AM689" s="71"/>
      <c r="AN689" s="68"/>
      <c r="AO689" s="68"/>
      <c r="AP689" s="70"/>
      <c r="AQ689" s="71"/>
      <c r="AR689" s="77"/>
      <c r="AS689" s="70"/>
      <c r="AT689" s="68"/>
      <c r="AU689" s="70"/>
      <c r="AV689" s="70"/>
      <c r="AW689" s="71"/>
      <c r="AX689" s="71"/>
      <c r="AY689" s="70"/>
      <c r="AZ689" s="76"/>
      <c r="BA689" s="76"/>
      <c r="BB689" s="76"/>
      <c r="BC689" s="78"/>
    </row>
    <row r="690" spans="1:55" x14ac:dyDescent="0.25">
      <c r="A690" s="68"/>
      <c r="B690" s="68"/>
      <c r="C690" s="68"/>
      <c r="D690" s="70"/>
      <c r="E690" s="70"/>
      <c r="F690" s="70"/>
      <c r="G690" s="72"/>
      <c r="H690" s="74"/>
      <c r="I690" s="74"/>
      <c r="J690" s="75"/>
      <c r="K690" s="81"/>
      <c r="L690" s="76"/>
      <c r="M690" s="76"/>
      <c r="N690" s="76"/>
      <c r="O690" s="71"/>
      <c r="P690" s="70"/>
      <c r="Q690" s="71"/>
      <c r="R690" s="71"/>
      <c r="S690" s="70"/>
      <c r="T690" s="71"/>
      <c r="U690" s="71"/>
      <c r="V690" s="75"/>
      <c r="W690" s="69"/>
      <c r="X690" s="69"/>
      <c r="Y690" s="69"/>
      <c r="Z690" s="69"/>
      <c r="AA690" s="69"/>
      <c r="AB690" s="69"/>
      <c r="AC690" s="69"/>
      <c r="AD690" s="69"/>
      <c r="AE690" s="76"/>
      <c r="AF690" s="71"/>
      <c r="AG690" s="71"/>
      <c r="AH690" s="71"/>
      <c r="AI690" s="71"/>
      <c r="AJ690" s="71"/>
      <c r="AK690" s="71"/>
      <c r="AL690" s="71"/>
      <c r="AM690" s="71"/>
      <c r="AN690" s="68"/>
      <c r="AO690" s="68"/>
      <c r="AP690" s="70"/>
      <c r="AQ690" s="71"/>
      <c r="AR690" s="77"/>
      <c r="AS690" s="70"/>
      <c r="AT690" s="68"/>
      <c r="AU690" s="70"/>
      <c r="AV690" s="70"/>
      <c r="AW690" s="71"/>
      <c r="AX690" s="71"/>
      <c r="AY690" s="70"/>
      <c r="AZ690" s="76"/>
      <c r="BA690" s="76"/>
      <c r="BB690" s="76"/>
      <c r="BC690" s="78"/>
    </row>
    <row r="691" spans="1:55" x14ac:dyDescent="0.25">
      <c r="A691" s="68"/>
      <c r="B691" s="68"/>
      <c r="C691" s="68"/>
      <c r="D691" s="70"/>
      <c r="E691" s="70"/>
      <c r="F691" s="70"/>
      <c r="G691" s="72"/>
      <c r="H691" s="74"/>
      <c r="I691" s="74"/>
      <c r="J691" s="75"/>
      <c r="K691" s="81"/>
      <c r="L691" s="76"/>
      <c r="M691" s="76"/>
      <c r="N691" s="76"/>
      <c r="O691" s="71"/>
      <c r="P691" s="70"/>
      <c r="Q691" s="71"/>
      <c r="R691" s="71"/>
      <c r="S691" s="70"/>
      <c r="T691" s="71"/>
      <c r="U691" s="71"/>
      <c r="V691" s="75"/>
      <c r="W691" s="69"/>
      <c r="X691" s="69"/>
      <c r="Y691" s="69"/>
      <c r="Z691" s="69"/>
      <c r="AA691" s="69"/>
      <c r="AB691" s="69"/>
      <c r="AC691" s="69"/>
      <c r="AD691" s="69"/>
      <c r="AE691" s="76"/>
      <c r="AF691" s="71"/>
      <c r="AG691" s="71"/>
      <c r="AH691" s="71"/>
      <c r="AI691" s="71"/>
      <c r="AJ691" s="71"/>
      <c r="AK691" s="71"/>
      <c r="AL691" s="71"/>
      <c r="AM691" s="71"/>
      <c r="AN691" s="68"/>
      <c r="AO691" s="68"/>
      <c r="AP691" s="70"/>
      <c r="AQ691" s="71"/>
      <c r="AR691" s="77"/>
      <c r="AS691" s="70"/>
      <c r="AT691" s="68"/>
      <c r="AU691" s="70"/>
      <c r="AV691" s="70"/>
      <c r="AW691" s="71"/>
      <c r="AX691" s="71"/>
      <c r="AY691" s="70"/>
      <c r="AZ691" s="76"/>
      <c r="BA691" s="76"/>
      <c r="BB691" s="76"/>
      <c r="BC691" s="78"/>
    </row>
    <row r="692" spans="1:55" x14ac:dyDescent="0.25">
      <c r="A692" s="68"/>
      <c r="B692" s="68"/>
      <c r="C692" s="68"/>
      <c r="D692" s="70"/>
      <c r="E692" s="70"/>
      <c r="F692" s="70"/>
      <c r="G692" s="72"/>
      <c r="H692" s="74"/>
      <c r="I692" s="74"/>
      <c r="J692" s="75"/>
      <c r="K692" s="81"/>
      <c r="L692" s="76"/>
      <c r="M692" s="76"/>
      <c r="N692" s="76"/>
      <c r="O692" s="71"/>
      <c r="P692" s="70"/>
      <c r="Q692" s="71"/>
      <c r="R692" s="71"/>
      <c r="S692" s="70"/>
      <c r="T692" s="71"/>
      <c r="U692" s="71"/>
      <c r="V692" s="75"/>
      <c r="W692" s="69"/>
      <c r="X692" s="69"/>
      <c r="Y692" s="69"/>
      <c r="Z692" s="69"/>
      <c r="AA692" s="69"/>
      <c r="AB692" s="69"/>
      <c r="AC692" s="69"/>
      <c r="AD692" s="69"/>
      <c r="AE692" s="76"/>
      <c r="AF692" s="71"/>
      <c r="AG692" s="71"/>
      <c r="AH692" s="71"/>
      <c r="AI692" s="71"/>
      <c r="AJ692" s="71"/>
      <c r="AK692" s="71"/>
      <c r="AL692" s="71"/>
      <c r="AM692" s="71"/>
      <c r="AN692" s="68"/>
      <c r="AO692" s="68"/>
      <c r="AP692" s="70"/>
      <c r="AQ692" s="71"/>
      <c r="AR692" s="77"/>
      <c r="AS692" s="70"/>
      <c r="AT692" s="68"/>
      <c r="AU692" s="70"/>
      <c r="AV692" s="70"/>
      <c r="AW692" s="71"/>
      <c r="AX692" s="71"/>
      <c r="AY692" s="70"/>
      <c r="AZ692" s="76"/>
      <c r="BA692" s="76"/>
      <c r="BB692" s="76"/>
      <c r="BC692" s="78"/>
    </row>
    <row r="693" spans="1:55" x14ac:dyDescent="0.25">
      <c r="A693" s="68"/>
      <c r="B693" s="68"/>
      <c r="C693" s="68"/>
      <c r="D693" s="70"/>
      <c r="E693" s="70"/>
      <c r="F693" s="70"/>
      <c r="G693" s="72"/>
      <c r="H693" s="74"/>
      <c r="I693" s="74"/>
      <c r="J693" s="75"/>
      <c r="K693" s="81"/>
      <c r="L693" s="76"/>
      <c r="M693" s="76"/>
      <c r="N693" s="76"/>
      <c r="O693" s="71"/>
      <c r="P693" s="70"/>
      <c r="Q693" s="71"/>
      <c r="R693" s="71"/>
      <c r="S693" s="70"/>
      <c r="T693" s="71"/>
      <c r="U693" s="71"/>
      <c r="V693" s="75"/>
      <c r="W693" s="69"/>
      <c r="X693" s="69"/>
      <c r="Y693" s="69"/>
      <c r="Z693" s="69"/>
      <c r="AA693" s="69"/>
      <c r="AB693" s="69"/>
      <c r="AC693" s="69"/>
      <c r="AD693" s="69"/>
      <c r="AE693" s="76"/>
      <c r="AF693" s="71"/>
      <c r="AG693" s="71"/>
      <c r="AH693" s="71"/>
      <c r="AI693" s="71"/>
      <c r="AJ693" s="71"/>
      <c r="AK693" s="71"/>
      <c r="AL693" s="71"/>
      <c r="AM693" s="71"/>
      <c r="AN693" s="68"/>
      <c r="AO693" s="68"/>
      <c r="AP693" s="70"/>
      <c r="AQ693" s="71"/>
      <c r="AR693" s="77"/>
      <c r="AS693" s="70"/>
      <c r="AT693" s="68"/>
      <c r="AU693" s="70"/>
      <c r="AV693" s="70"/>
      <c r="AW693" s="71"/>
      <c r="AX693" s="71"/>
      <c r="AY693" s="70"/>
      <c r="AZ693" s="76"/>
      <c r="BA693" s="76"/>
      <c r="BB693" s="76"/>
      <c r="BC693" s="78"/>
    </row>
    <row r="694" spans="1:55" x14ac:dyDescent="0.25">
      <c r="A694" s="68"/>
      <c r="B694" s="68"/>
      <c r="C694" s="68"/>
      <c r="D694" s="70"/>
      <c r="E694" s="70"/>
      <c r="F694" s="70"/>
      <c r="G694" s="72"/>
      <c r="H694" s="74"/>
      <c r="I694" s="74"/>
      <c r="J694" s="75"/>
      <c r="K694" s="81"/>
      <c r="L694" s="76"/>
      <c r="M694" s="76"/>
      <c r="N694" s="76"/>
      <c r="O694" s="71"/>
      <c r="P694" s="70"/>
      <c r="Q694" s="71"/>
      <c r="R694" s="71"/>
      <c r="S694" s="70"/>
      <c r="T694" s="71"/>
      <c r="U694" s="71"/>
      <c r="V694" s="75"/>
      <c r="W694" s="69"/>
      <c r="X694" s="69"/>
      <c r="Y694" s="69"/>
      <c r="Z694" s="69"/>
      <c r="AA694" s="69"/>
      <c r="AB694" s="69"/>
      <c r="AC694" s="69"/>
      <c r="AD694" s="69"/>
      <c r="AE694" s="76"/>
      <c r="AF694" s="71"/>
      <c r="AG694" s="71"/>
      <c r="AH694" s="71"/>
      <c r="AI694" s="71"/>
      <c r="AJ694" s="71"/>
      <c r="AK694" s="71"/>
      <c r="AL694" s="71"/>
      <c r="AM694" s="71"/>
      <c r="AN694" s="68"/>
      <c r="AO694" s="68"/>
      <c r="AP694" s="70"/>
      <c r="AQ694" s="71"/>
      <c r="AR694" s="77"/>
      <c r="AS694" s="70"/>
      <c r="AT694" s="68"/>
      <c r="AU694" s="70"/>
      <c r="AV694" s="70"/>
      <c r="AW694" s="71"/>
      <c r="AX694" s="71"/>
      <c r="AY694" s="70"/>
      <c r="AZ694" s="76"/>
      <c r="BA694" s="76"/>
      <c r="BB694" s="76"/>
      <c r="BC694" s="78"/>
    </row>
    <row r="695" spans="1:55" x14ac:dyDescent="0.25">
      <c r="A695" s="68"/>
      <c r="B695" s="68"/>
      <c r="C695" s="68"/>
      <c r="D695" s="70"/>
      <c r="E695" s="70"/>
      <c r="F695" s="70"/>
      <c r="G695" s="72"/>
      <c r="H695" s="74"/>
      <c r="I695" s="74"/>
      <c r="J695" s="75"/>
      <c r="K695" s="81"/>
      <c r="L695" s="76"/>
      <c r="M695" s="76"/>
      <c r="N695" s="76"/>
      <c r="O695" s="71"/>
      <c r="P695" s="70"/>
      <c r="Q695" s="71"/>
      <c r="R695" s="71"/>
      <c r="S695" s="70"/>
      <c r="T695" s="71"/>
      <c r="U695" s="71"/>
      <c r="V695" s="75"/>
      <c r="W695" s="69"/>
      <c r="X695" s="69"/>
      <c r="Y695" s="69"/>
      <c r="Z695" s="69"/>
      <c r="AA695" s="69"/>
      <c r="AB695" s="69"/>
      <c r="AC695" s="69"/>
      <c r="AD695" s="69"/>
      <c r="AE695" s="76"/>
      <c r="AF695" s="71"/>
      <c r="AG695" s="71"/>
      <c r="AH695" s="71"/>
      <c r="AI695" s="71"/>
      <c r="AJ695" s="71"/>
      <c r="AK695" s="71"/>
      <c r="AL695" s="71"/>
      <c r="AM695" s="71"/>
      <c r="AN695" s="68"/>
      <c r="AO695" s="68"/>
      <c r="AP695" s="70"/>
      <c r="AQ695" s="71"/>
      <c r="AR695" s="77"/>
      <c r="AS695" s="70"/>
      <c r="AT695" s="68"/>
      <c r="AU695" s="70"/>
      <c r="AV695" s="70"/>
      <c r="AW695" s="71"/>
      <c r="AX695" s="71"/>
      <c r="AY695" s="70"/>
      <c r="AZ695" s="76"/>
      <c r="BA695" s="76"/>
      <c r="BB695" s="76"/>
      <c r="BC695" s="78"/>
    </row>
    <row r="696" spans="1:55" x14ac:dyDescent="0.25">
      <c r="A696" s="68"/>
      <c r="B696" s="68"/>
      <c r="C696" s="68"/>
      <c r="D696" s="70"/>
      <c r="E696" s="70"/>
      <c r="F696" s="70"/>
      <c r="G696" s="72"/>
      <c r="H696" s="74"/>
      <c r="I696" s="74"/>
      <c r="J696" s="75"/>
      <c r="K696" s="81"/>
      <c r="L696" s="76"/>
      <c r="M696" s="76"/>
      <c r="N696" s="76"/>
      <c r="O696" s="71"/>
      <c r="P696" s="70"/>
      <c r="Q696" s="71"/>
      <c r="R696" s="71"/>
      <c r="S696" s="70"/>
      <c r="T696" s="71"/>
      <c r="U696" s="71"/>
      <c r="V696" s="75"/>
      <c r="W696" s="69"/>
      <c r="X696" s="69"/>
      <c r="Y696" s="69"/>
      <c r="Z696" s="69"/>
      <c r="AA696" s="69"/>
      <c r="AB696" s="69"/>
      <c r="AC696" s="69"/>
      <c r="AD696" s="69"/>
      <c r="AE696" s="76"/>
      <c r="AF696" s="71"/>
      <c r="AG696" s="71"/>
      <c r="AH696" s="71"/>
      <c r="AI696" s="71"/>
      <c r="AJ696" s="71"/>
      <c r="AK696" s="71"/>
      <c r="AL696" s="71"/>
      <c r="AM696" s="71"/>
      <c r="AN696" s="68"/>
      <c r="AO696" s="68"/>
      <c r="AP696" s="70"/>
      <c r="AQ696" s="71"/>
      <c r="AR696" s="77"/>
      <c r="AS696" s="70"/>
      <c r="AT696" s="68"/>
      <c r="AU696" s="70"/>
      <c r="AV696" s="70"/>
      <c r="AW696" s="71"/>
      <c r="AX696" s="71"/>
      <c r="AY696" s="70"/>
      <c r="AZ696" s="76"/>
      <c r="BA696" s="76"/>
      <c r="BB696" s="76"/>
      <c r="BC696" s="78"/>
    </row>
    <row r="697" spans="1:55" x14ac:dyDescent="0.25">
      <c r="A697" s="68"/>
      <c r="B697" s="68"/>
      <c r="C697" s="68"/>
      <c r="D697" s="70"/>
      <c r="E697" s="70"/>
      <c r="F697" s="70"/>
      <c r="G697" s="72"/>
      <c r="H697" s="74"/>
      <c r="I697" s="74"/>
      <c r="J697" s="75"/>
      <c r="K697" s="81"/>
      <c r="L697" s="76"/>
      <c r="M697" s="76"/>
      <c r="N697" s="76"/>
      <c r="O697" s="71"/>
      <c r="P697" s="70"/>
      <c r="Q697" s="71"/>
      <c r="R697" s="71"/>
      <c r="S697" s="70"/>
      <c r="T697" s="71"/>
      <c r="U697" s="71"/>
      <c r="V697" s="75"/>
      <c r="W697" s="69"/>
      <c r="X697" s="69"/>
      <c r="Y697" s="69"/>
      <c r="Z697" s="69"/>
      <c r="AA697" s="69"/>
      <c r="AB697" s="69"/>
      <c r="AC697" s="69"/>
      <c r="AD697" s="69"/>
      <c r="AE697" s="76"/>
      <c r="AF697" s="71"/>
      <c r="AG697" s="71"/>
      <c r="AH697" s="71"/>
      <c r="AI697" s="71"/>
      <c r="AJ697" s="71"/>
      <c r="AK697" s="71"/>
      <c r="AL697" s="71"/>
      <c r="AM697" s="71"/>
      <c r="AN697" s="68"/>
      <c r="AO697" s="68"/>
      <c r="AP697" s="70"/>
      <c r="AQ697" s="71"/>
      <c r="AR697" s="77"/>
      <c r="AS697" s="70"/>
      <c r="AT697" s="68"/>
      <c r="AU697" s="70"/>
      <c r="AV697" s="70"/>
      <c r="AW697" s="71"/>
      <c r="AX697" s="71"/>
      <c r="AY697" s="70"/>
      <c r="AZ697" s="76"/>
      <c r="BA697" s="76"/>
      <c r="BB697" s="76"/>
      <c r="BC697" s="78"/>
    </row>
    <row r="698" spans="1:55" x14ac:dyDescent="0.25">
      <c r="A698" s="68"/>
      <c r="B698" s="68"/>
      <c r="C698" s="68"/>
      <c r="D698" s="70"/>
      <c r="E698" s="70"/>
      <c r="F698" s="70"/>
      <c r="G698" s="72"/>
      <c r="H698" s="74"/>
      <c r="I698" s="74"/>
      <c r="J698" s="75"/>
      <c r="K698" s="81"/>
      <c r="L698" s="76"/>
      <c r="M698" s="76"/>
      <c r="N698" s="76"/>
      <c r="O698" s="71"/>
      <c r="P698" s="70"/>
      <c r="Q698" s="71"/>
      <c r="R698" s="71"/>
      <c r="S698" s="70"/>
      <c r="T698" s="71"/>
      <c r="U698" s="71"/>
      <c r="V698" s="75"/>
      <c r="W698" s="69"/>
      <c r="X698" s="69"/>
      <c r="Y698" s="69"/>
      <c r="Z698" s="69"/>
      <c r="AA698" s="69"/>
      <c r="AB698" s="69"/>
      <c r="AC698" s="69"/>
      <c r="AD698" s="69"/>
      <c r="AE698" s="76"/>
      <c r="AF698" s="71"/>
      <c r="AG698" s="71"/>
      <c r="AH698" s="71"/>
      <c r="AI698" s="71"/>
      <c r="AJ698" s="71"/>
      <c r="AK698" s="71"/>
      <c r="AL698" s="71"/>
      <c r="AM698" s="71"/>
      <c r="AN698" s="68"/>
      <c r="AO698" s="68"/>
      <c r="AP698" s="70"/>
      <c r="AQ698" s="71"/>
      <c r="AR698" s="77"/>
      <c r="AS698" s="70"/>
      <c r="AT698" s="68"/>
      <c r="AU698" s="70"/>
      <c r="AV698" s="70"/>
      <c r="AW698" s="71"/>
      <c r="AX698" s="71"/>
      <c r="AY698" s="70"/>
      <c r="AZ698" s="76"/>
      <c r="BA698" s="76"/>
      <c r="BB698" s="76"/>
      <c r="BC698" s="78"/>
    </row>
    <row r="699" spans="1:55" x14ac:dyDescent="0.25">
      <c r="A699" s="68"/>
      <c r="B699" s="68"/>
      <c r="C699" s="68"/>
      <c r="D699" s="70"/>
      <c r="E699" s="70"/>
      <c r="F699" s="70"/>
      <c r="G699" s="72"/>
      <c r="H699" s="74"/>
      <c r="I699" s="74"/>
      <c r="J699" s="75"/>
      <c r="K699" s="81"/>
      <c r="L699" s="76"/>
      <c r="M699" s="76"/>
      <c r="N699" s="76"/>
      <c r="O699" s="71"/>
      <c r="P699" s="70"/>
      <c r="Q699" s="71"/>
      <c r="R699" s="71"/>
      <c r="S699" s="70"/>
      <c r="T699" s="71"/>
      <c r="U699" s="71"/>
      <c r="V699" s="75"/>
      <c r="W699" s="69"/>
      <c r="X699" s="69"/>
      <c r="Y699" s="69"/>
      <c r="Z699" s="69"/>
      <c r="AA699" s="69"/>
      <c r="AB699" s="69"/>
      <c r="AC699" s="69"/>
      <c r="AD699" s="69"/>
      <c r="AE699" s="76"/>
      <c r="AF699" s="71"/>
      <c r="AG699" s="71"/>
      <c r="AH699" s="71"/>
      <c r="AI699" s="71"/>
      <c r="AJ699" s="71"/>
      <c r="AK699" s="71"/>
      <c r="AL699" s="71"/>
      <c r="AM699" s="71"/>
      <c r="AN699" s="68"/>
      <c r="AO699" s="68"/>
      <c r="AP699" s="70"/>
      <c r="AQ699" s="71"/>
      <c r="AR699" s="77"/>
      <c r="AS699" s="70"/>
      <c r="AT699" s="68"/>
      <c r="AU699" s="70"/>
      <c r="AV699" s="70"/>
      <c r="AW699" s="71"/>
      <c r="AX699" s="71"/>
      <c r="AY699" s="70"/>
      <c r="AZ699" s="76"/>
      <c r="BA699" s="76"/>
      <c r="BB699" s="76"/>
      <c r="BC699" s="78"/>
    </row>
    <row r="700" spans="1:55" x14ac:dyDescent="0.25">
      <c r="A700" s="68"/>
      <c r="B700" s="68"/>
      <c r="C700" s="68"/>
      <c r="D700" s="70"/>
      <c r="E700" s="70"/>
      <c r="F700" s="70"/>
      <c r="G700" s="72"/>
      <c r="H700" s="74"/>
      <c r="I700" s="74"/>
      <c r="J700" s="75"/>
      <c r="K700" s="81"/>
      <c r="L700" s="76"/>
      <c r="M700" s="76"/>
      <c r="N700" s="76"/>
      <c r="O700" s="71"/>
      <c r="P700" s="70"/>
      <c r="Q700" s="71"/>
      <c r="R700" s="71"/>
      <c r="S700" s="70"/>
      <c r="T700" s="71"/>
      <c r="U700" s="71"/>
      <c r="V700" s="75"/>
      <c r="W700" s="69"/>
      <c r="X700" s="69"/>
      <c r="Y700" s="69"/>
      <c r="Z700" s="69"/>
      <c r="AA700" s="69"/>
      <c r="AB700" s="69"/>
      <c r="AC700" s="69"/>
      <c r="AD700" s="69"/>
      <c r="AE700" s="76"/>
      <c r="AF700" s="71"/>
      <c r="AG700" s="71"/>
      <c r="AH700" s="71"/>
      <c r="AI700" s="71"/>
      <c r="AJ700" s="71"/>
      <c r="AK700" s="71"/>
      <c r="AL700" s="71"/>
      <c r="AM700" s="71"/>
      <c r="AN700" s="68"/>
      <c r="AO700" s="68"/>
      <c r="AP700" s="70"/>
      <c r="AQ700" s="71"/>
      <c r="AR700" s="77"/>
      <c r="AS700" s="70"/>
      <c r="AT700" s="68"/>
      <c r="AU700" s="70"/>
      <c r="AV700" s="70"/>
      <c r="AW700" s="71"/>
      <c r="AX700" s="71"/>
      <c r="AY700" s="70"/>
      <c r="AZ700" s="76"/>
      <c r="BA700" s="76"/>
      <c r="BB700" s="76"/>
      <c r="BC700" s="78"/>
    </row>
    <row r="701" spans="1:55" x14ac:dyDescent="0.25">
      <c r="A701" s="68"/>
      <c r="B701" s="68"/>
      <c r="C701" s="68"/>
      <c r="D701" s="70"/>
      <c r="E701" s="70"/>
      <c r="F701" s="70"/>
      <c r="G701" s="72"/>
      <c r="H701" s="74"/>
      <c r="I701" s="74"/>
      <c r="J701" s="75"/>
      <c r="K701" s="81"/>
      <c r="L701" s="76"/>
      <c r="M701" s="76"/>
      <c r="N701" s="76"/>
      <c r="O701" s="71"/>
      <c r="P701" s="70"/>
      <c r="Q701" s="71"/>
      <c r="R701" s="71"/>
      <c r="S701" s="70"/>
      <c r="T701" s="71"/>
      <c r="U701" s="71"/>
      <c r="V701" s="75"/>
      <c r="W701" s="69"/>
      <c r="X701" s="69"/>
      <c r="Y701" s="69"/>
      <c r="Z701" s="69"/>
      <c r="AA701" s="69"/>
      <c r="AB701" s="69"/>
      <c r="AC701" s="69"/>
      <c r="AD701" s="69"/>
      <c r="AE701" s="76"/>
      <c r="AF701" s="71"/>
      <c r="AG701" s="71"/>
      <c r="AH701" s="71"/>
      <c r="AI701" s="71"/>
      <c r="AJ701" s="71"/>
      <c r="AK701" s="71"/>
      <c r="AL701" s="71"/>
      <c r="AM701" s="71"/>
      <c r="AN701" s="68"/>
      <c r="AO701" s="68"/>
      <c r="AP701" s="70"/>
      <c r="AQ701" s="71"/>
      <c r="AR701" s="77"/>
      <c r="AS701" s="70"/>
      <c r="AT701" s="68"/>
      <c r="AU701" s="70"/>
      <c r="AV701" s="70"/>
      <c r="AW701" s="71"/>
      <c r="AX701" s="71"/>
      <c r="AY701" s="70"/>
      <c r="AZ701" s="76"/>
      <c r="BA701" s="76"/>
      <c r="BB701" s="76"/>
      <c r="BC701" s="78"/>
    </row>
    <row r="702" spans="1:55" x14ac:dyDescent="0.25">
      <c r="A702" s="68"/>
      <c r="B702" s="68"/>
      <c r="C702" s="68"/>
      <c r="D702" s="70"/>
      <c r="E702" s="70"/>
      <c r="F702" s="70"/>
      <c r="G702" s="72"/>
      <c r="H702" s="74"/>
      <c r="I702" s="74"/>
      <c r="J702" s="75"/>
      <c r="K702" s="81"/>
      <c r="L702" s="76"/>
      <c r="M702" s="76"/>
      <c r="N702" s="76"/>
      <c r="O702" s="71"/>
      <c r="P702" s="70"/>
      <c r="Q702" s="71"/>
      <c r="R702" s="71"/>
      <c r="S702" s="70"/>
      <c r="T702" s="71"/>
      <c r="U702" s="71"/>
      <c r="V702" s="75"/>
      <c r="W702" s="69"/>
      <c r="X702" s="69"/>
      <c r="Y702" s="69"/>
      <c r="Z702" s="69"/>
      <c r="AA702" s="69"/>
      <c r="AB702" s="69"/>
      <c r="AC702" s="69"/>
      <c r="AD702" s="69"/>
      <c r="AE702" s="76"/>
      <c r="AF702" s="71"/>
      <c r="AG702" s="71"/>
      <c r="AH702" s="71"/>
      <c r="AI702" s="71"/>
      <c r="AJ702" s="71"/>
      <c r="AK702" s="71"/>
      <c r="AL702" s="71"/>
      <c r="AM702" s="71"/>
      <c r="AN702" s="68"/>
      <c r="AO702" s="68"/>
      <c r="AP702" s="70"/>
      <c r="AQ702" s="71"/>
      <c r="AR702" s="77"/>
      <c r="AS702" s="70"/>
      <c r="AT702" s="68"/>
      <c r="AU702" s="70"/>
      <c r="AV702" s="70"/>
      <c r="AW702" s="71"/>
      <c r="AX702" s="71"/>
      <c r="AY702" s="70"/>
      <c r="AZ702" s="76"/>
      <c r="BA702" s="76"/>
      <c r="BB702" s="76"/>
      <c r="BC702" s="78"/>
    </row>
    <row r="703" spans="1:55" x14ac:dyDescent="0.25">
      <c r="A703" s="68"/>
      <c r="B703" s="68"/>
      <c r="C703" s="68"/>
      <c r="D703" s="70"/>
      <c r="E703" s="70"/>
      <c r="F703" s="70"/>
      <c r="G703" s="72"/>
      <c r="H703" s="74"/>
      <c r="I703" s="74"/>
      <c r="J703" s="75"/>
      <c r="K703" s="81"/>
      <c r="L703" s="76"/>
      <c r="M703" s="76"/>
      <c r="N703" s="76"/>
      <c r="O703" s="71"/>
      <c r="P703" s="70"/>
      <c r="Q703" s="71"/>
      <c r="R703" s="71"/>
      <c r="S703" s="70"/>
      <c r="T703" s="71"/>
      <c r="U703" s="71"/>
      <c r="V703" s="75"/>
      <c r="W703" s="69"/>
      <c r="X703" s="69"/>
      <c r="Y703" s="69"/>
      <c r="Z703" s="69"/>
      <c r="AA703" s="69"/>
      <c r="AB703" s="69"/>
      <c r="AC703" s="69"/>
      <c r="AD703" s="69"/>
      <c r="AE703" s="76"/>
      <c r="AF703" s="71"/>
      <c r="AG703" s="71"/>
      <c r="AH703" s="71"/>
      <c r="AI703" s="71"/>
      <c r="AJ703" s="71"/>
      <c r="AK703" s="71"/>
      <c r="AL703" s="71"/>
      <c r="AM703" s="71"/>
      <c r="AN703" s="68"/>
      <c r="AO703" s="68"/>
      <c r="AP703" s="70"/>
      <c r="AQ703" s="71"/>
      <c r="AR703" s="77"/>
      <c r="AS703" s="70"/>
      <c r="AT703" s="68"/>
      <c r="AU703" s="70"/>
      <c r="AV703" s="70"/>
      <c r="AW703" s="71"/>
      <c r="AX703" s="71"/>
      <c r="AY703" s="70"/>
      <c r="AZ703" s="76"/>
      <c r="BA703" s="76"/>
      <c r="BB703" s="76"/>
      <c r="BC703" s="78"/>
    </row>
    <row r="704" spans="1:55" x14ac:dyDescent="0.25">
      <c r="A704" s="68"/>
      <c r="B704" s="68"/>
      <c r="C704" s="68"/>
      <c r="D704" s="70"/>
      <c r="E704" s="70"/>
      <c r="F704" s="70"/>
      <c r="G704" s="72"/>
      <c r="H704" s="74"/>
      <c r="I704" s="74"/>
      <c r="J704" s="75"/>
      <c r="K704" s="81"/>
      <c r="L704" s="76"/>
      <c r="M704" s="76"/>
      <c r="N704" s="76"/>
      <c r="O704" s="71"/>
      <c r="P704" s="70"/>
      <c r="Q704" s="71"/>
      <c r="R704" s="71"/>
      <c r="S704" s="70"/>
      <c r="T704" s="71"/>
      <c r="U704" s="71"/>
      <c r="V704" s="75"/>
      <c r="W704" s="69"/>
      <c r="X704" s="69"/>
      <c r="Y704" s="69"/>
      <c r="Z704" s="69"/>
      <c r="AA704" s="69"/>
      <c r="AB704" s="69"/>
      <c r="AC704" s="69"/>
      <c r="AD704" s="69"/>
      <c r="AE704" s="76"/>
      <c r="AF704" s="71"/>
      <c r="AG704" s="71"/>
      <c r="AH704" s="71"/>
      <c r="AI704" s="71"/>
      <c r="AJ704" s="71"/>
      <c r="AK704" s="71"/>
      <c r="AL704" s="71"/>
      <c r="AM704" s="71"/>
      <c r="AN704" s="68"/>
      <c r="AO704" s="68"/>
      <c r="AP704" s="70"/>
      <c r="AQ704" s="71"/>
      <c r="AR704" s="77"/>
      <c r="AS704" s="70"/>
      <c r="AT704" s="68"/>
      <c r="AU704" s="70"/>
      <c r="AV704" s="70"/>
      <c r="AW704" s="71"/>
      <c r="AX704" s="71"/>
      <c r="AY704" s="70"/>
      <c r="AZ704" s="76"/>
      <c r="BA704" s="76"/>
      <c r="BB704" s="76"/>
      <c r="BC704" s="78"/>
    </row>
    <row r="705" spans="1:55" x14ac:dyDescent="0.25">
      <c r="A705" s="68"/>
      <c r="B705" s="68"/>
      <c r="C705" s="68"/>
      <c r="D705" s="70"/>
      <c r="E705" s="70"/>
      <c r="F705" s="70"/>
      <c r="G705" s="72"/>
      <c r="H705" s="74"/>
      <c r="I705" s="74"/>
      <c r="J705" s="75"/>
      <c r="K705" s="81"/>
      <c r="L705" s="76"/>
      <c r="M705" s="76"/>
      <c r="N705" s="76"/>
      <c r="O705" s="71"/>
      <c r="P705" s="70"/>
      <c r="Q705" s="71"/>
      <c r="R705" s="71"/>
      <c r="S705" s="70"/>
      <c r="T705" s="71"/>
      <c r="U705" s="71"/>
      <c r="V705" s="75"/>
      <c r="W705" s="69"/>
      <c r="X705" s="69"/>
      <c r="Y705" s="69"/>
      <c r="Z705" s="69"/>
      <c r="AA705" s="69"/>
      <c r="AB705" s="69"/>
      <c r="AC705" s="69"/>
      <c r="AD705" s="69"/>
      <c r="AE705" s="76"/>
      <c r="AF705" s="71"/>
      <c r="AG705" s="71"/>
      <c r="AH705" s="71"/>
      <c r="AI705" s="71"/>
      <c r="AJ705" s="71"/>
      <c r="AK705" s="71"/>
      <c r="AL705" s="71"/>
      <c r="AM705" s="71"/>
      <c r="AN705" s="68"/>
      <c r="AO705" s="68"/>
      <c r="AP705" s="70"/>
      <c r="AQ705" s="71"/>
      <c r="AR705" s="77"/>
      <c r="AS705" s="70"/>
      <c r="AT705" s="68"/>
      <c r="AU705" s="70"/>
      <c r="AV705" s="70"/>
      <c r="AW705" s="71"/>
      <c r="AX705" s="71"/>
      <c r="AY705" s="70"/>
      <c r="AZ705" s="76"/>
      <c r="BA705" s="76"/>
      <c r="BB705" s="76"/>
      <c r="BC705" s="78"/>
    </row>
    <row r="706" spans="1:55" x14ac:dyDescent="0.25">
      <c r="A706" s="68"/>
      <c r="B706" s="68"/>
      <c r="C706" s="68"/>
      <c r="D706" s="70"/>
      <c r="E706" s="70"/>
      <c r="F706" s="70"/>
      <c r="G706" s="72"/>
      <c r="H706" s="74"/>
      <c r="I706" s="74"/>
      <c r="J706" s="75"/>
      <c r="K706" s="81"/>
      <c r="L706" s="76"/>
      <c r="M706" s="76"/>
      <c r="N706" s="76"/>
      <c r="O706" s="71"/>
      <c r="P706" s="70"/>
      <c r="Q706" s="71"/>
      <c r="R706" s="71"/>
      <c r="S706" s="70"/>
      <c r="T706" s="71"/>
      <c r="U706" s="71"/>
      <c r="V706" s="75"/>
      <c r="W706" s="69"/>
      <c r="X706" s="69"/>
      <c r="Y706" s="69"/>
      <c r="Z706" s="69"/>
      <c r="AA706" s="69"/>
      <c r="AB706" s="69"/>
      <c r="AC706" s="69"/>
      <c r="AD706" s="69"/>
      <c r="AE706" s="76"/>
      <c r="AF706" s="71"/>
      <c r="AG706" s="71"/>
      <c r="AH706" s="71"/>
      <c r="AI706" s="71"/>
      <c r="AJ706" s="71"/>
      <c r="AK706" s="71"/>
      <c r="AL706" s="71"/>
      <c r="AM706" s="71"/>
      <c r="AN706" s="68"/>
      <c r="AO706" s="68"/>
      <c r="AP706" s="70"/>
      <c r="AQ706" s="71"/>
      <c r="AR706" s="77"/>
      <c r="AS706" s="70"/>
      <c r="AT706" s="68"/>
      <c r="AU706" s="70"/>
      <c r="AV706" s="70"/>
      <c r="AW706" s="71"/>
      <c r="AX706" s="71"/>
      <c r="AY706" s="70"/>
      <c r="AZ706" s="76"/>
      <c r="BA706" s="76"/>
      <c r="BB706" s="76"/>
      <c r="BC706" s="78"/>
    </row>
    <row r="707" spans="1:55" x14ac:dyDescent="0.25">
      <c r="A707" s="68"/>
      <c r="B707" s="68"/>
      <c r="C707" s="68"/>
      <c r="D707" s="70"/>
      <c r="E707" s="70"/>
      <c r="F707" s="70"/>
      <c r="G707" s="72"/>
      <c r="H707" s="74"/>
      <c r="I707" s="74"/>
      <c r="J707" s="75"/>
      <c r="K707" s="81"/>
      <c r="L707" s="76"/>
      <c r="M707" s="76"/>
      <c r="N707" s="76"/>
      <c r="O707" s="71"/>
      <c r="P707" s="70"/>
      <c r="Q707" s="71"/>
      <c r="R707" s="71"/>
      <c r="S707" s="70"/>
      <c r="T707" s="71"/>
      <c r="U707" s="71"/>
      <c r="V707" s="75"/>
      <c r="W707" s="69"/>
      <c r="X707" s="69"/>
      <c r="Y707" s="69"/>
      <c r="Z707" s="69"/>
      <c r="AA707" s="69"/>
      <c r="AB707" s="69"/>
      <c r="AC707" s="69"/>
      <c r="AD707" s="69"/>
      <c r="AE707" s="76"/>
      <c r="AF707" s="71"/>
      <c r="AG707" s="71"/>
      <c r="AH707" s="71"/>
      <c r="AI707" s="71"/>
      <c r="AJ707" s="71"/>
      <c r="AK707" s="71"/>
      <c r="AL707" s="71"/>
      <c r="AM707" s="71"/>
      <c r="AN707" s="68"/>
      <c r="AO707" s="68"/>
      <c r="AP707" s="70"/>
      <c r="AQ707" s="71"/>
      <c r="AR707" s="77"/>
      <c r="AS707" s="70"/>
      <c r="AT707" s="68"/>
      <c r="AU707" s="70"/>
      <c r="AV707" s="70"/>
      <c r="AW707" s="71"/>
      <c r="AX707" s="71"/>
      <c r="AY707" s="70"/>
      <c r="AZ707" s="76"/>
      <c r="BA707" s="76"/>
      <c r="BB707" s="76"/>
      <c r="BC707" s="78"/>
    </row>
    <row r="708" spans="1:55" x14ac:dyDescent="0.25">
      <c r="A708" s="68"/>
      <c r="B708" s="68"/>
      <c r="C708" s="68"/>
      <c r="D708" s="70"/>
      <c r="E708" s="70"/>
      <c r="F708" s="70"/>
      <c r="G708" s="72"/>
      <c r="H708" s="74"/>
      <c r="I708" s="74"/>
      <c r="J708" s="75"/>
      <c r="K708" s="81"/>
      <c r="L708" s="76"/>
      <c r="M708" s="76"/>
      <c r="N708" s="76"/>
      <c r="O708" s="71"/>
      <c r="P708" s="70"/>
      <c r="Q708" s="71"/>
      <c r="R708" s="71"/>
      <c r="S708" s="70"/>
      <c r="T708" s="71"/>
      <c r="U708" s="71"/>
      <c r="V708" s="75"/>
      <c r="W708" s="69"/>
      <c r="X708" s="69"/>
      <c r="Y708" s="69"/>
      <c r="Z708" s="69"/>
      <c r="AA708" s="69"/>
      <c r="AB708" s="69"/>
      <c r="AC708" s="69"/>
      <c r="AD708" s="69"/>
      <c r="AE708" s="76"/>
      <c r="AF708" s="71"/>
      <c r="AG708" s="71"/>
      <c r="AH708" s="71"/>
      <c r="AI708" s="71"/>
      <c r="AJ708" s="71"/>
      <c r="AK708" s="71"/>
      <c r="AL708" s="71"/>
      <c r="AM708" s="71"/>
      <c r="AN708" s="68"/>
      <c r="AO708" s="68"/>
      <c r="AP708" s="70"/>
      <c r="AQ708" s="71"/>
      <c r="AR708" s="77"/>
      <c r="AS708" s="70"/>
      <c r="AT708" s="68"/>
      <c r="AU708" s="70"/>
      <c r="AV708" s="70"/>
      <c r="AW708" s="71"/>
      <c r="AX708" s="71"/>
      <c r="AY708" s="70"/>
      <c r="AZ708" s="76"/>
      <c r="BA708" s="76"/>
      <c r="BB708" s="76"/>
      <c r="BC708" s="78"/>
    </row>
    <row r="709" spans="1:55" x14ac:dyDescent="0.25">
      <c r="A709" s="68"/>
      <c r="B709" s="68"/>
      <c r="C709" s="68"/>
      <c r="D709" s="70"/>
      <c r="E709" s="70"/>
      <c r="F709" s="70"/>
      <c r="G709" s="72"/>
      <c r="H709" s="74"/>
      <c r="I709" s="74"/>
      <c r="J709" s="75"/>
      <c r="K709" s="81"/>
      <c r="L709" s="76"/>
      <c r="M709" s="76"/>
      <c r="N709" s="76"/>
      <c r="O709" s="71"/>
      <c r="P709" s="70"/>
      <c r="Q709" s="71"/>
      <c r="R709" s="71"/>
      <c r="S709" s="70"/>
      <c r="T709" s="71"/>
      <c r="U709" s="71"/>
      <c r="V709" s="75"/>
      <c r="W709" s="69"/>
      <c r="X709" s="69"/>
      <c r="Y709" s="69"/>
      <c r="Z709" s="69"/>
      <c r="AA709" s="69"/>
      <c r="AB709" s="69"/>
      <c r="AC709" s="69"/>
      <c r="AD709" s="69"/>
      <c r="AE709" s="76"/>
      <c r="AF709" s="71"/>
      <c r="AG709" s="71"/>
      <c r="AH709" s="71"/>
      <c r="AI709" s="71"/>
      <c r="AJ709" s="71"/>
      <c r="AK709" s="71"/>
      <c r="AL709" s="71"/>
      <c r="AM709" s="71"/>
      <c r="AN709" s="68"/>
      <c r="AO709" s="68"/>
      <c r="AP709" s="70"/>
      <c r="AQ709" s="71"/>
      <c r="AR709" s="77"/>
      <c r="AS709" s="70"/>
      <c r="AT709" s="68"/>
      <c r="AU709" s="70"/>
      <c r="AV709" s="70"/>
      <c r="AW709" s="71"/>
      <c r="AX709" s="71"/>
      <c r="AY709" s="70"/>
      <c r="AZ709" s="76"/>
      <c r="BA709" s="76"/>
      <c r="BB709" s="76"/>
      <c r="BC709" s="78"/>
    </row>
    <row r="710" spans="1:55" x14ac:dyDescent="0.25">
      <c r="A710" s="68"/>
      <c r="B710" s="68"/>
      <c r="C710" s="68"/>
      <c r="D710" s="70"/>
      <c r="E710" s="70"/>
      <c r="F710" s="70"/>
      <c r="G710" s="72"/>
      <c r="H710" s="74"/>
      <c r="I710" s="74"/>
      <c r="J710" s="75"/>
      <c r="K710" s="81"/>
      <c r="L710" s="76"/>
      <c r="M710" s="76"/>
      <c r="N710" s="76"/>
      <c r="O710" s="71"/>
      <c r="P710" s="70"/>
      <c r="Q710" s="71"/>
      <c r="R710" s="71"/>
      <c r="S710" s="70"/>
      <c r="T710" s="71"/>
      <c r="U710" s="71"/>
      <c r="V710" s="75"/>
      <c r="W710" s="69"/>
      <c r="X710" s="69"/>
      <c r="Y710" s="69"/>
      <c r="Z710" s="69"/>
      <c r="AA710" s="69"/>
      <c r="AB710" s="69"/>
      <c r="AC710" s="69"/>
      <c r="AD710" s="69"/>
      <c r="AE710" s="76"/>
      <c r="AF710" s="71"/>
      <c r="AG710" s="71"/>
      <c r="AH710" s="71"/>
      <c r="AI710" s="71"/>
      <c r="AJ710" s="71"/>
      <c r="AK710" s="71"/>
      <c r="AL710" s="71"/>
      <c r="AM710" s="71"/>
      <c r="AN710" s="68"/>
      <c r="AO710" s="68"/>
      <c r="AP710" s="70"/>
      <c r="AQ710" s="71"/>
      <c r="AR710" s="77"/>
      <c r="AS710" s="70"/>
      <c r="AT710" s="68"/>
      <c r="AU710" s="70"/>
      <c r="AV710" s="70"/>
      <c r="AW710" s="71"/>
      <c r="AX710" s="71"/>
      <c r="AY710" s="70"/>
      <c r="AZ710" s="76"/>
      <c r="BA710" s="76"/>
      <c r="BB710" s="76"/>
      <c r="BC710" s="78"/>
    </row>
    <row r="711" spans="1:55" x14ac:dyDescent="0.25">
      <c r="A711" s="68"/>
      <c r="B711" s="68"/>
      <c r="C711" s="68"/>
      <c r="D711" s="70"/>
      <c r="E711" s="70"/>
      <c r="F711" s="70"/>
      <c r="G711" s="72"/>
      <c r="H711" s="74"/>
      <c r="I711" s="74"/>
      <c r="J711" s="75"/>
      <c r="K711" s="81"/>
      <c r="L711" s="76"/>
      <c r="M711" s="76"/>
      <c r="N711" s="76"/>
      <c r="O711" s="71"/>
      <c r="P711" s="70"/>
      <c r="Q711" s="71"/>
      <c r="R711" s="71"/>
      <c r="S711" s="70"/>
      <c r="T711" s="71"/>
      <c r="U711" s="71"/>
      <c r="V711" s="75"/>
      <c r="W711" s="69"/>
      <c r="X711" s="69"/>
      <c r="Y711" s="69"/>
      <c r="Z711" s="69"/>
      <c r="AA711" s="69"/>
      <c r="AB711" s="69"/>
      <c r="AC711" s="69"/>
      <c r="AD711" s="69"/>
      <c r="AE711" s="76"/>
      <c r="AF711" s="71"/>
      <c r="AG711" s="71"/>
      <c r="AH711" s="71"/>
      <c r="AI711" s="71"/>
      <c r="AJ711" s="71"/>
      <c r="AK711" s="71"/>
      <c r="AL711" s="71"/>
      <c r="AM711" s="71"/>
      <c r="AN711" s="68"/>
      <c r="AO711" s="68"/>
      <c r="AP711" s="70"/>
      <c r="AQ711" s="71"/>
      <c r="AR711" s="77"/>
      <c r="AS711" s="70"/>
      <c r="AT711" s="68"/>
      <c r="AU711" s="70"/>
      <c r="AV711" s="70"/>
      <c r="AW711" s="71"/>
      <c r="AX711" s="71"/>
      <c r="AY711" s="70"/>
      <c r="AZ711" s="76"/>
      <c r="BA711" s="76"/>
      <c r="BB711" s="76"/>
      <c r="BC711" s="78"/>
    </row>
    <row r="712" spans="1:55" x14ac:dyDescent="0.25">
      <c r="A712" s="68"/>
      <c r="B712" s="68"/>
      <c r="C712" s="68"/>
      <c r="D712" s="70"/>
      <c r="E712" s="70"/>
      <c r="F712" s="70"/>
      <c r="G712" s="72"/>
      <c r="H712" s="74"/>
      <c r="I712" s="74"/>
      <c r="J712" s="75"/>
      <c r="K712" s="81"/>
      <c r="L712" s="76"/>
      <c r="M712" s="76"/>
      <c r="N712" s="76"/>
      <c r="O712" s="71"/>
      <c r="P712" s="70"/>
      <c r="Q712" s="71"/>
      <c r="R712" s="71"/>
      <c r="S712" s="70"/>
      <c r="T712" s="71"/>
      <c r="U712" s="71"/>
      <c r="V712" s="75"/>
      <c r="W712" s="69"/>
      <c r="X712" s="69"/>
      <c r="Y712" s="69"/>
      <c r="Z712" s="69"/>
      <c r="AA712" s="69"/>
      <c r="AB712" s="69"/>
      <c r="AC712" s="69"/>
      <c r="AD712" s="69"/>
      <c r="AE712" s="76"/>
      <c r="AF712" s="71"/>
      <c r="AG712" s="71"/>
      <c r="AH712" s="71"/>
      <c r="AI712" s="71"/>
      <c r="AJ712" s="71"/>
      <c r="AK712" s="71"/>
      <c r="AL712" s="71"/>
      <c r="AM712" s="71"/>
      <c r="AN712" s="68"/>
      <c r="AO712" s="68"/>
      <c r="AP712" s="70"/>
      <c r="AQ712" s="71"/>
      <c r="AR712" s="77"/>
      <c r="AS712" s="70"/>
      <c r="AT712" s="68"/>
      <c r="AU712" s="70"/>
      <c r="AV712" s="70"/>
      <c r="AW712" s="71"/>
      <c r="AX712" s="71"/>
      <c r="AY712" s="70"/>
      <c r="AZ712" s="76"/>
      <c r="BA712" s="76"/>
      <c r="BB712" s="76"/>
      <c r="BC712" s="78"/>
    </row>
    <row r="713" spans="1:55" x14ac:dyDescent="0.25">
      <c r="A713" s="68"/>
      <c r="B713" s="68"/>
      <c r="C713" s="68"/>
      <c r="D713" s="70"/>
      <c r="E713" s="70"/>
      <c r="F713" s="70"/>
      <c r="G713" s="72"/>
      <c r="H713" s="74"/>
      <c r="I713" s="74"/>
      <c r="J713" s="75"/>
      <c r="K713" s="81"/>
      <c r="L713" s="76"/>
      <c r="M713" s="76"/>
      <c r="N713" s="76"/>
      <c r="O713" s="71"/>
      <c r="P713" s="70"/>
      <c r="Q713" s="71"/>
      <c r="R713" s="71"/>
      <c r="S713" s="70"/>
      <c r="T713" s="71"/>
      <c r="U713" s="71"/>
      <c r="V713" s="75"/>
      <c r="W713" s="69"/>
      <c r="X713" s="69"/>
      <c r="Y713" s="69"/>
      <c r="Z713" s="69"/>
      <c r="AA713" s="69"/>
      <c r="AB713" s="69"/>
      <c r="AC713" s="69"/>
      <c r="AD713" s="69"/>
      <c r="AE713" s="76"/>
      <c r="AF713" s="71"/>
      <c r="AG713" s="71"/>
      <c r="AH713" s="71"/>
      <c r="AI713" s="71"/>
      <c r="AJ713" s="71"/>
      <c r="AK713" s="71"/>
      <c r="AL713" s="71"/>
      <c r="AM713" s="71"/>
      <c r="AN713" s="68"/>
      <c r="AO713" s="68"/>
      <c r="AP713" s="70"/>
      <c r="AQ713" s="71"/>
      <c r="AR713" s="77"/>
      <c r="AS713" s="70"/>
      <c r="AT713" s="68"/>
      <c r="AU713" s="70"/>
      <c r="AV713" s="70"/>
      <c r="AW713" s="71"/>
      <c r="AX713" s="71"/>
      <c r="AY713" s="70"/>
      <c r="AZ713" s="76"/>
      <c r="BA713" s="76"/>
      <c r="BB713" s="76"/>
      <c r="BC713" s="78"/>
    </row>
    <row r="714" spans="1:55" x14ac:dyDescent="0.25">
      <c r="A714" s="68"/>
      <c r="B714" s="68"/>
      <c r="C714" s="68"/>
      <c r="D714" s="70"/>
      <c r="E714" s="70"/>
      <c r="F714" s="70"/>
      <c r="G714" s="72"/>
      <c r="H714" s="74"/>
      <c r="I714" s="74"/>
      <c r="J714" s="75"/>
      <c r="K714" s="81"/>
      <c r="L714" s="76"/>
      <c r="M714" s="76"/>
      <c r="N714" s="76"/>
      <c r="O714" s="71"/>
      <c r="P714" s="70"/>
      <c r="Q714" s="71"/>
      <c r="R714" s="71"/>
      <c r="S714" s="70"/>
      <c r="T714" s="71"/>
      <c r="U714" s="71"/>
      <c r="V714" s="75"/>
      <c r="W714" s="69"/>
      <c r="X714" s="69"/>
      <c r="Y714" s="69"/>
      <c r="Z714" s="69"/>
      <c r="AA714" s="69"/>
      <c r="AB714" s="69"/>
      <c r="AC714" s="69"/>
      <c r="AD714" s="69"/>
      <c r="AE714" s="76"/>
      <c r="AF714" s="71"/>
      <c r="AG714" s="71"/>
      <c r="AH714" s="71"/>
      <c r="AI714" s="71"/>
      <c r="AJ714" s="71"/>
      <c r="AK714" s="71"/>
      <c r="AL714" s="71"/>
      <c r="AM714" s="71"/>
      <c r="AN714" s="68"/>
      <c r="AO714" s="68"/>
      <c r="AP714" s="70"/>
      <c r="AQ714" s="71"/>
      <c r="AR714" s="77"/>
      <c r="AS714" s="70"/>
      <c r="AT714" s="68"/>
      <c r="AU714" s="70"/>
      <c r="AV714" s="70"/>
      <c r="AW714" s="71"/>
      <c r="AX714" s="71"/>
      <c r="AY714" s="70"/>
      <c r="AZ714" s="76"/>
      <c r="BA714" s="76"/>
      <c r="BB714" s="76"/>
      <c r="BC714" s="78"/>
    </row>
    <row r="715" spans="1:55" x14ac:dyDescent="0.25">
      <c r="A715" s="68"/>
      <c r="B715" s="68"/>
      <c r="C715" s="68"/>
      <c r="D715" s="70"/>
      <c r="E715" s="70"/>
      <c r="F715" s="70"/>
      <c r="G715" s="72"/>
      <c r="H715" s="74"/>
      <c r="I715" s="74"/>
      <c r="J715" s="75"/>
      <c r="K715" s="81"/>
      <c r="L715" s="76"/>
      <c r="M715" s="76"/>
      <c r="N715" s="76"/>
      <c r="O715" s="71"/>
      <c r="P715" s="70"/>
      <c r="Q715" s="71"/>
      <c r="R715" s="71"/>
      <c r="S715" s="70"/>
      <c r="T715" s="71"/>
      <c r="U715" s="71"/>
      <c r="V715" s="75"/>
      <c r="W715" s="69"/>
      <c r="X715" s="69"/>
      <c r="Y715" s="69"/>
      <c r="Z715" s="69"/>
      <c r="AA715" s="69"/>
      <c r="AB715" s="69"/>
      <c r="AC715" s="69"/>
      <c r="AD715" s="69"/>
      <c r="AE715" s="76"/>
      <c r="AF715" s="71"/>
      <c r="AG715" s="71"/>
      <c r="AH715" s="71"/>
      <c r="AI715" s="71"/>
      <c r="AJ715" s="71"/>
      <c r="AK715" s="71"/>
      <c r="AL715" s="71"/>
      <c r="AM715" s="71"/>
      <c r="AN715" s="68"/>
      <c r="AO715" s="68"/>
      <c r="AP715" s="70"/>
      <c r="AQ715" s="71"/>
      <c r="AR715" s="77"/>
      <c r="AS715" s="70"/>
      <c r="AT715" s="68"/>
      <c r="AU715" s="70"/>
      <c r="AV715" s="70"/>
      <c r="AW715" s="71"/>
      <c r="AX715" s="71"/>
      <c r="AY715" s="70"/>
      <c r="AZ715" s="76"/>
      <c r="BA715" s="76"/>
      <c r="BB715" s="76"/>
      <c r="BC715" s="78"/>
    </row>
    <row r="716" spans="1:55" x14ac:dyDescent="0.25">
      <c r="A716" s="68"/>
      <c r="B716" s="68"/>
      <c r="C716" s="68"/>
      <c r="D716" s="70"/>
      <c r="E716" s="70"/>
      <c r="F716" s="70"/>
      <c r="G716" s="72"/>
      <c r="H716" s="74"/>
      <c r="I716" s="74"/>
      <c r="J716" s="75"/>
      <c r="K716" s="81"/>
      <c r="L716" s="76"/>
      <c r="M716" s="76"/>
      <c r="N716" s="76"/>
      <c r="O716" s="71"/>
      <c r="P716" s="70"/>
      <c r="Q716" s="71"/>
      <c r="R716" s="71"/>
      <c r="S716" s="70"/>
      <c r="T716" s="71"/>
      <c r="U716" s="71"/>
      <c r="V716" s="75"/>
      <c r="W716" s="69"/>
      <c r="X716" s="69"/>
      <c r="Y716" s="69"/>
      <c r="Z716" s="69"/>
      <c r="AA716" s="69"/>
      <c r="AB716" s="69"/>
      <c r="AC716" s="69"/>
      <c r="AD716" s="69"/>
      <c r="AE716" s="76"/>
      <c r="AF716" s="71"/>
      <c r="AG716" s="71"/>
      <c r="AH716" s="71"/>
      <c r="AI716" s="71"/>
      <c r="AJ716" s="71"/>
      <c r="AK716" s="71"/>
      <c r="AL716" s="71"/>
      <c r="AM716" s="71"/>
      <c r="AN716" s="68"/>
      <c r="AO716" s="68"/>
      <c r="AP716" s="70"/>
      <c r="AQ716" s="71"/>
      <c r="AR716" s="77"/>
      <c r="AS716" s="70"/>
      <c r="AT716" s="68"/>
      <c r="AU716" s="70"/>
      <c r="AV716" s="70"/>
      <c r="AW716" s="71"/>
      <c r="AX716" s="71"/>
      <c r="AY716" s="70"/>
      <c r="AZ716" s="76"/>
      <c r="BA716" s="76"/>
      <c r="BB716" s="76"/>
      <c r="BC716" s="78"/>
    </row>
    <row r="717" spans="1:55" x14ac:dyDescent="0.25">
      <c r="A717" s="68"/>
      <c r="B717" s="68"/>
      <c r="C717" s="68"/>
      <c r="D717" s="70"/>
      <c r="E717" s="70"/>
      <c r="F717" s="70"/>
      <c r="G717" s="72"/>
      <c r="H717" s="74"/>
      <c r="I717" s="74"/>
      <c r="J717" s="75"/>
      <c r="K717" s="81"/>
      <c r="L717" s="76"/>
      <c r="M717" s="76"/>
      <c r="N717" s="76"/>
      <c r="O717" s="71"/>
      <c r="P717" s="70"/>
      <c r="Q717" s="71"/>
      <c r="R717" s="71"/>
      <c r="S717" s="70"/>
      <c r="T717" s="71"/>
      <c r="U717" s="71"/>
      <c r="V717" s="75"/>
      <c r="W717" s="69"/>
      <c r="X717" s="69"/>
      <c r="Y717" s="69"/>
      <c r="Z717" s="69"/>
      <c r="AA717" s="69"/>
      <c r="AB717" s="69"/>
      <c r="AC717" s="69"/>
      <c r="AD717" s="69"/>
      <c r="AE717" s="76"/>
      <c r="AF717" s="71"/>
      <c r="AG717" s="71"/>
      <c r="AH717" s="71"/>
      <c r="AI717" s="71"/>
      <c r="AJ717" s="71"/>
      <c r="AK717" s="71"/>
      <c r="AL717" s="71"/>
      <c r="AM717" s="71"/>
      <c r="AN717" s="68"/>
      <c r="AO717" s="68"/>
      <c r="AP717" s="70"/>
      <c r="AQ717" s="71"/>
      <c r="AR717" s="77"/>
      <c r="AS717" s="70"/>
      <c r="AT717" s="68"/>
      <c r="AU717" s="70"/>
      <c r="AV717" s="70"/>
      <c r="AW717" s="71"/>
      <c r="AX717" s="71"/>
      <c r="AY717" s="70"/>
      <c r="AZ717" s="76"/>
      <c r="BA717" s="76"/>
      <c r="BB717" s="76"/>
      <c r="BC717" s="78"/>
    </row>
    <row r="718" spans="1:55" x14ac:dyDescent="0.25">
      <c r="A718" s="68"/>
      <c r="B718" s="68"/>
      <c r="C718" s="68"/>
      <c r="D718" s="70"/>
      <c r="E718" s="70"/>
      <c r="F718" s="70"/>
      <c r="G718" s="72"/>
      <c r="H718" s="74"/>
      <c r="I718" s="74"/>
      <c r="J718" s="75"/>
      <c r="K718" s="81"/>
      <c r="L718" s="76"/>
      <c r="M718" s="76"/>
      <c r="N718" s="76"/>
      <c r="O718" s="71"/>
      <c r="P718" s="70"/>
      <c r="Q718" s="71"/>
      <c r="R718" s="71"/>
      <c r="S718" s="70"/>
      <c r="T718" s="71"/>
      <c r="U718" s="71"/>
      <c r="V718" s="75"/>
      <c r="W718" s="69"/>
      <c r="X718" s="69"/>
      <c r="Y718" s="69"/>
      <c r="Z718" s="69"/>
      <c r="AA718" s="69"/>
      <c r="AB718" s="69"/>
      <c r="AC718" s="69"/>
      <c r="AD718" s="69"/>
      <c r="AE718" s="76"/>
      <c r="AF718" s="71"/>
      <c r="AG718" s="71"/>
      <c r="AH718" s="71"/>
      <c r="AI718" s="71"/>
      <c r="AJ718" s="71"/>
      <c r="AK718" s="71"/>
      <c r="AL718" s="71"/>
      <c r="AM718" s="71"/>
      <c r="AN718" s="68"/>
      <c r="AO718" s="68"/>
      <c r="AP718" s="70"/>
      <c r="AQ718" s="71"/>
      <c r="AR718" s="77"/>
      <c r="AS718" s="70"/>
      <c r="AT718" s="68"/>
      <c r="AU718" s="70"/>
      <c r="AV718" s="70"/>
      <c r="AW718" s="71"/>
      <c r="AX718" s="71"/>
      <c r="AY718" s="70"/>
      <c r="AZ718" s="76"/>
      <c r="BA718" s="76"/>
      <c r="BB718" s="76"/>
      <c r="BC718" s="78"/>
    </row>
    <row r="719" spans="1:55" x14ac:dyDescent="0.25">
      <c r="A719" s="68"/>
      <c r="B719" s="68"/>
      <c r="C719" s="68"/>
      <c r="D719" s="70"/>
      <c r="E719" s="70"/>
      <c r="F719" s="70"/>
      <c r="G719" s="72"/>
      <c r="H719" s="74"/>
      <c r="I719" s="74"/>
      <c r="J719" s="75"/>
      <c r="K719" s="81"/>
      <c r="L719" s="76"/>
      <c r="M719" s="76"/>
      <c r="N719" s="76"/>
      <c r="O719" s="71"/>
      <c r="P719" s="70"/>
      <c r="Q719" s="71"/>
      <c r="R719" s="71"/>
      <c r="S719" s="70"/>
      <c r="T719" s="71"/>
      <c r="U719" s="71"/>
      <c r="V719" s="75"/>
      <c r="W719" s="69"/>
      <c r="X719" s="69"/>
      <c r="Y719" s="69"/>
      <c r="Z719" s="69"/>
      <c r="AA719" s="69"/>
      <c r="AB719" s="69"/>
      <c r="AC719" s="69"/>
      <c r="AD719" s="69"/>
      <c r="AE719" s="76"/>
      <c r="AF719" s="71"/>
      <c r="AG719" s="71"/>
      <c r="AH719" s="71"/>
      <c r="AI719" s="71"/>
      <c r="AJ719" s="71"/>
      <c r="AK719" s="71"/>
      <c r="AL719" s="71"/>
      <c r="AM719" s="71"/>
      <c r="AN719" s="68"/>
      <c r="AO719" s="68"/>
      <c r="AP719" s="70"/>
      <c r="AQ719" s="71"/>
      <c r="AR719" s="77"/>
      <c r="AS719" s="70"/>
      <c r="AT719" s="68"/>
      <c r="AU719" s="70"/>
      <c r="AV719" s="70"/>
      <c r="AW719" s="71"/>
      <c r="AX719" s="71"/>
      <c r="AY719" s="70"/>
      <c r="AZ719" s="76"/>
      <c r="BA719" s="76"/>
      <c r="BB719" s="76"/>
      <c r="BC719" s="78"/>
    </row>
    <row r="720" spans="1:55" x14ac:dyDescent="0.25">
      <c r="A720" s="68"/>
      <c r="B720" s="68"/>
      <c r="C720" s="68"/>
      <c r="D720" s="70"/>
      <c r="E720" s="70"/>
      <c r="F720" s="70"/>
      <c r="G720" s="72"/>
      <c r="H720" s="74"/>
      <c r="I720" s="74"/>
      <c r="J720" s="75"/>
      <c r="K720" s="81"/>
      <c r="L720" s="76"/>
      <c r="M720" s="76"/>
      <c r="N720" s="76"/>
      <c r="O720" s="71"/>
      <c r="P720" s="70"/>
      <c r="Q720" s="71"/>
      <c r="R720" s="71"/>
      <c r="S720" s="70"/>
      <c r="T720" s="71"/>
      <c r="U720" s="71"/>
      <c r="V720" s="75"/>
      <c r="W720" s="69"/>
      <c r="X720" s="69"/>
      <c r="Y720" s="69"/>
      <c r="Z720" s="69"/>
      <c r="AA720" s="69"/>
      <c r="AB720" s="69"/>
      <c r="AC720" s="69"/>
      <c r="AD720" s="69"/>
      <c r="AE720" s="76"/>
      <c r="AF720" s="71"/>
      <c r="AG720" s="71"/>
      <c r="AH720" s="71"/>
      <c r="AI720" s="71"/>
      <c r="AJ720" s="71"/>
      <c r="AK720" s="71"/>
      <c r="AL720" s="71"/>
      <c r="AM720" s="71"/>
      <c r="AN720" s="68"/>
      <c r="AO720" s="68"/>
      <c r="AP720" s="70"/>
      <c r="AQ720" s="71"/>
      <c r="AR720" s="77"/>
      <c r="AS720" s="70"/>
      <c r="AT720" s="68"/>
      <c r="AU720" s="70"/>
      <c r="AV720" s="70"/>
      <c r="AW720" s="71"/>
      <c r="AX720" s="71"/>
      <c r="AY720" s="70"/>
      <c r="AZ720" s="76"/>
      <c r="BA720" s="76"/>
      <c r="BB720" s="76"/>
      <c r="BC720" s="78"/>
    </row>
    <row r="721" spans="1:55" x14ac:dyDescent="0.25">
      <c r="A721" s="68"/>
      <c r="B721" s="68"/>
      <c r="C721" s="68"/>
      <c r="D721" s="70"/>
      <c r="E721" s="70"/>
      <c r="F721" s="70"/>
      <c r="G721" s="72"/>
      <c r="H721" s="74"/>
      <c r="I721" s="74"/>
      <c r="J721" s="75"/>
      <c r="K721" s="81"/>
      <c r="L721" s="76"/>
      <c r="M721" s="76"/>
      <c r="N721" s="76"/>
      <c r="O721" s="71"/>
      <c r="P721" s="70"/>
      <c r="Q721" s="71"/>
      <c r="R721" s="71"/>
      <c r="S721" s="70"/>
      <c r="T721" s="71"/>
      <c r="U721" s="71"/>
      <c r="V721" s="75"/>
      <c r="W721" s="69"/>
      <c r="X721" s="69"/>
      <c r="Y721" s="69"/>
      <c r="Z721" s="69"/>
      <c r="AA721" s="69"/>
      <c r="AB721" s="69"/>
      <c r="AC721" s="69"/>
      <c r="AD721" s="69"/>
      <c r="AE721" s="76"/>
      <c r="AF721" s="71"/>
      <c r="AG721" s="71"/>
      <c r="AH721" s="71"/>
      <c r="AI721" s="71"/>
      <c r="AJ721" s="71"/>
      <c r="AK721" s="71"/>
      <c r="AL721" s="71"/>
      <c r="AM721" s="71"/>
      <c r="AN721" s="68"/>
      <c r="AO721" s="68"/>
      <c r="AP721" s="70"/>
      <c r="AQ721" s="71"/>
      <c r="AR721" s="77"/>
      <c r="AS721" s="70"/>
      <c r="AT721" s="68"/>
      <c r="AU721" s="70"/>
      <c r="AV721" s="70"/>
      <c r="AW721" s="71"/>
      <c r="AX721" s="71"/>
      <c r="AY721" s="70"/>
      <c r="AZ721" s="76"/>
      <c r="BA721" s="76"/>
      <c r="BB721" s="76"/>
      <c r="BC721" s="78"/>
    </row>
    <row r="722" spans="1:55" x14ac:dyDescent="0.25">
      <c r="A722" s="68"/>
      <c r="B722" s="68"/>
      <c r="C722" s="68"/>
      <c r="D722" s="70"/>
      <c r="E722" s="70"/>
      <c r="F722" s="70"/>
      <c r="G722" s="72"/>
      <c r="H722" s="74"/>
      <c r="I722" s="74"/>
      <c r="J722" s="75"/>
      <c r="K722" s="81"/>
      <c r="L722" s="76"/>
      <c r="M722" s="76"/>
      <c r="N722" s="76"/>
      <c r="O722" s="71"/>
      <c r="P722" s="70"/>
      <c r="Q722" s="71"/>
      <c r="R722" s="71"/>
      <c r="S722" s="70"/>
      <c r="T722" s="71"/>
      <c r="U722" s="71"/>
      <c r="V722" s="75"/>
      <c r="W722" s="69"/>
      <c r="X722" s="69"/>
      <c r="Y722" s="69"/>
      <c r="Z722" s="69"/>
      <c r="AA722" s="69"/>
      <c r="AB722" s="69"/>
      <c r="AC722" s="69"/>
      <c r="AD722" s="69"/>
      <c r="AE722" s="76"/>
      <c r="AF722" s="71"/>
      <c r="AG722" s="71"/>
      <c r="AH722" s="71"/>
      <c r="AI722" s="71"/>
      <c r="AJ722" s="71"/>
      <c r="AK722" s="71"/>
      <c r="AL722" s="71"/>
      <c r="AM722" s="71"/>
      <c r="AN722" s="68"/>
      <c r="AO722" s="68"/>
      <c r="AP722" s="70"/>
      <c r="AQ722" s="71"/>
      <c r="AR722" s="77"/>
      <c r="AS722" s="70"/>
      <c r="AT722" s="68"/>
      <c r="AU722" s="70"/>
      <c r="AV722" s="70"/>
      <c r="AW722" s="71"/>
      <c r="AX722" s="71"/>
      <c r="AY722" s="70"/>
      <c r="AZ722" s="76"/>
      <c r="BA722" s="76"/>
      <c r="BB722" s="76"/>
      <c r="BC722" s="78"/>
    </row>
    <row r="723" spans="1:55" x14ac:dyDescent="0.25">
      <c r="A723" s="68"/>
      <c r="B723" s="68"/>
      <c r="C723" s="68"/>
      <c r="D723" s="70"/>
      <c r="E723" s="70"/>
      <c r="F723" s="70"/>
      <c r="G723" s="72"/>
      <c r="H723" s="74"/>
      <c r="I723" s="74"/>
      <c r="J723" s="75"/>
      <c r="K723" s="81"/>
      <c r="L723" s="76"/>
      <c r="M723" s="76"/>
      <c r="N723" s="76"/>
      <c r="O723" s="71"/>
      <c r="P723" s="70"/>
      <c r="Q723" s="71"/>
      <c r="R723" s="71"/>
      <c r="S723" s="70"/>
      <c r="T723" s="71"/>
      <c r="U723" s="71"/>
      <c r="V723" s="75"/>
      <c r="W723" s="69"/>
      <c r="X723" s="69"/>
      <c r="Y723" s="69"/>
      <c r="Z723" s="69"/>
      <c r="AA723" s="69"/>
      <c r="AB723" s="69"/>
      <c r="AC723" s="69"/>
      <c r="AD723" s="69"/>
      <c r="AE723" s="76"/>
      <c r="AF723" s="71"/>
      <c r="AG723" s="71"/>
      <c r="AH723" s="71"/>
      <c r="AI723" s="71"/>
      <c r="AJ723" s="71"/>
      <c r="AK723" s="71"/>
      <c r="AL723" s="71"/>
      <c r="AM723" s="71"/>
      <c r="AN723" s="68"/>
      <c r="AO723" s="68"/>
      <c r="AP723" s="70"/>
      <c r="AQ723" s="71"/>
      <c r="AR723" s="77"/>
      <c r="AS723" s="70"/>
      <c r="AT723" s="68"/>
      <c r="AU723" s="70"/>
      <c r="AV723" s="70"/>
      <c r="AW723" s="71"/>
      <c r="AX723" s="71"/>
      <c r="AY723" s="70"/>
      <c r="AZ723" s="76"/>
      <c r="BA723" s="76"/>
      <c r="BB723" s="76"/>
      <c r="BC723" s="78"/>
    </row>
    <row r="724" spans="1:55" x14ac:dyDescent="0.25">
      <c r="A724" s="68"/>
      <c r="B724" s="68"/>
      <c r="C724" s="68"/>
      <c r="D724" s="70"/>
      <c r="E724" s="70"/>
      <c r="F724" s="70"/>
      <c r="G724" s="72"/>
      <c r="H724" s="74"/>
      <c r="I724" s="74"/>
      <c r="J724" s="75"/>
      <c r="K724" s="81"/>
      <c r="L724" s="76"/>
      <c r="M724" s="76"/>
      <c r="N724" s="76"/>
      <c r="O724" s="71"/>
      <c r="P724" s="70"/>
      <c r="Q724" s="71"/>
      <c r="R724" s="71"/>
      <c r="S724" s="70"/>
      <c r="T724" s="71"/>
      <c r="U724" s="71"/>
      <c r="V724" s="75"/>
      <c r="W724" s="69"/>
      <c r="X724" s="69"/>
      <c r="Y724" s="69"/>
      <c r="Z724" s="69"/>
      <c r="AA724" s="69"/>
      <c r="AB724" s="69"/>
      <c r="AC724" s="69"/>
      <c r="AD724" s="69"/>
      <c r="AE724" s="76"/>
      <c r="AF724" s="71"/>
      <c r="AG724" s="71"/>
      <c r="AH724" s="71"/>
      <c r="AI724" s="71"/>
      <c r="AJ724" s="71"/>
      <c r="AK724" s="71"/>
      <c r="AL724" s="71"/>
      <c r="AM724" s="71"/>
      <c r="AN724" s="68"/>
      <c r="AO724" s="68"/>
      <c r="AP724" s="70"/>
      <c r="AQ724" s="71"/>
      <c r="AR724" s="77"/>
      <c r="AS724" s="70"/>
      <c r="AT724" s="68"/>
      <c r="AU724" s="70"/>
      <c r="AV724" s="70"/>
      <c r="AW724" s="71"/>
      <c r="AX724" s="71"/>
      <c r="AY724" s="70"/>
      <c r="AZ724" s="76"/>
      <c r="BA724" s="76"/>
      <c r="BB724" s="76"/>
      <c r="BC724" s="78"/>
    </row>
    <row r="725" spans="1:55" x14ac:dyDescent="0.25">
      <c r="A725" s="68"/>
      <c r="B725" s="68"/>
      <c r="C725" s="68"/>
      <c r="D725" s="70"/>
      <c r="E725" s="70"/>
      <c r="F725" s="70"/>
      <c r="G725" s="72"/>
      <c r="H725" s="74"/>
      <c r="I725" s="74"/>
      <c r="J725" s="75"/>
      <c r="K725" s="81"/>
      <c r="L725" s="76"/>
      <c r="M725" s="76"/>
      <c r="N725" s="76"/>
      <c r="O725" s="71"/>
      <c r="P725" s="70"/>
      <c r="Q725" s="71"/>
      <c r="R725" s="71"/>
      <c r="S725" s="70"/>
      <c r="T725" s="71"/>
      <c r="U725" s="71"/>
      <c r="V725" s="75"/>
      <c r="W725" s="69"/>
      <c r="X725" s="69"/>
      <c r="Y725" s="69"/>
      <c r="Z725" s="69"/>
      <c r="AA725" s="69"/>
      <c r="AB725" s="69"/>
      <c r="AC725" s="69"/>
      <c r="AD725" s="69"/>
      <c r="AE725" s="76"/>
      <c r="AF725" s="71"/>
      <c r="AG725" s="71"/>
      <c r="AH725" s="71"/>
      <c r="AI725" s="71"/>
      <c r="AJ725" s="71"/>
      <c r="AK725" s="71"/>
      <c r="AL725" s="71"/>
      <c r="AM725" s="71"/>
      <c r="AN725" s="68"/>
      <c r="AO725" s="68"/>
      <c r="AP725" s="70"/>
      <c r="AQ725" s="71"/>
      <c r="AR725" s="77"/>
      <c r="AS725" s="70"/>
      <c r="AT725" s="68"/>
      <c r="AU725" s="70"/>
      <c r="AV725" s="70"/>
      <c r="AW725" s="71"/>
      <c r="AX725" s="71"/>
      <c r="AY725" s="70"/>
      <c r="AZ725" s="76"/>
      <c r="BA725" s="76"/>
      <c r="BB725" s="76"/>
      <c r="BC725" s="78"/>
    </row>
    <row r="726" spans="1:55" x14ac:dyDescent="0.25">
      <c r="A726" s="68"/>
      <c r="B726" s="68"/>
      <c r="C726" s="68"/>
      <c r="D726" s="70"/>
      <c r="E726" s="70"/>
      <c r="F726" s="70"/>
      <c r="G726" s="72"/>
      <c r="H726" s="74"/>
      <c r="I726" s="74"/>
      <c r="J726" s="75"/>
      <c r="K726" s="81"/>
      <c r="L726" s="76"/>
      <c r="M726" s="76"/>
      <c r="N726" s="76"/>
      <c r="O726" s="71"/>
      <c r="P726" s="70"/>
      <c r="Q726" s="71"/>
      <c r="R726" s="71"/>
      <c r="S726" s="70"/>
      <c r="T726" s="71"/>
      <c r="U726" s="71"/>
      <c r="V726" s="75"/>
      <c r="W726" s="69"/>
      <c r="X726" s="69"/>
      <c r="Y726" s="69"/>
      <c r="Z726" s="69"/>
      <c r="AA726" s="69"/>
      <c r="AB726" s="69"/>
      <c r="AC726" s="69"/>
      <c r="AD726" s="69"/>
      <c r="AE726" s="76"/>
      <c r="AF726" s="71"/>
      <c r="AG726" s="71"/>
      <c r="AH726" s="71"/>
      <c r="AI726" s="71"/>
      <c r="AJ726" s="71"/>
      <c r="AK726" s="71"/>
      <c r="AL726" s="71"/>
      <c r="AM726" s="71"/>
      <c r="AN726" s="68"/>
      <c r="AO726" s="68"/>
      <c r="AP726" s="70"/>
      <c r="AQ726" s="71"/>
      <c r="AR726" s="77"/>
      <c r="AS726" s="70"/>
      <c r="AT726" s="68"/>
      <c r="AU726" s="70"/>
      <c r="AV726" s="70"/>
      <c r="AW726" s="71"/>
      <c r="AX726" s="71"/>
      <c r="AY726" s="70"/>
      <c r="AZ726" s="76"/>
      <c r="BA726" s="76"/>
      <c r="BB726" s="76"/>
      <c r="BC726" s="78"/>
    </row>
    <row r="727" spans="1:55" x14ac:dyDescent="0.25">
      <c r="A727" s="68"/>
      <c r="B727" s="68"/>
      <c r="C727" s="68"/>
      <c r="D727" s="70"/>
      <c r="E727" s="70"/>
      <c r="F727" s="70"/>
      <c r="G727" s="72"/>
      <c r="H727" s="74"/>
      <c r="I727" s="74"/>
      <c r="J727" s="75"/>
      <c r="K727" s="81"/>
      <c r="L727" s="76"/>
      <c r="M727" s="76"/>
      <c r="N727" s="76"/>
      <c r="O727" s="71"/>
      <c r="P727" s="70"/>
      <c r="Q727" s="71"/>
      <c r="R727" s="71"/>
      <c r="S727" s="70"/>
      <c r="T727" s="71"/>
      <c r="U727" s="71"/>
      <c r="V727" s="75"/>
      <c r="W727" s="69"/>
      <c r="X727" s="69"/>
      <c r="Y727" s="69"/>
      <c r="Z727" s="69"/>
      <c r="AA727" s="69"/>
      <c r="AB727" s="69"/>
      <c r="AC727" s="69"/>
      <c r="AD727" s="69"/>
      <c r="AE727" s="76"/>
      <c r="AF727" s="71"/>
      <c r="AG727" s="71"/>
      <c r="AH727" s="71"/>
      <c r="AI727" s="71"/>
      <c r="AJ727" s="71"/>
      <c r="AK727" s="71"/>
      <c r="AL727" s="71"/>
      <c r="AM727" s="71"/>
      <c r="AN727" s="68"/>
      <c r="AO727" s="68"/>
      <c r="AP727" s="70"/>
      <c r="AQ727" s="71"/>
      <c r="AR727" s="77"/>
      <c r="AS727" s="70"/>
      <c r="AT727" s="68"/>
      <c r="AU727" s="70"/>
      <c r="AV727" s="70"/>
      <c r="AW727" s="71"/>
      <c r="AX727" s="71"/>
      <c r="AY727" s="70"/>
      <c r="AZ727" s="76"/>
      <c r="BA727" s="76"/>
      <c r="BB727" s="76"/>
      <c r="BC727" s="78"/>
    </row>
    <row r="728" spans="1:55" x14ac:dyDescent="0.25">
      <c r="A728" s="68"/>
      <c r="B728" s="68"/>
      <c r="C728" s="68"/>
      <c r="D728" s="70"/>
      <c r="E728" s="70"/>
      <c r="F728" s="70"/>
      <c r="G728" s="72"/>
      <c r="H728" s="74"/>
      <c r="I728" s="74"/>
      <c r="J728" s="75"/>
      <c r="K728" s="81"/>
      <c r="L728" s="76"/>
      <c r="M728" s="76"/>
      <c r="N728" s="76"/>
      <c r="O728" s="71"/>
      <c r="P728" s="70"/>
      <c r="Q728" s="71"/>
      <c r="R728" s="71"/>
      <c r="S728" s="70"/>
      <c r="T728" s="71"/>
      <c r="U728" s="71"/>
      <c r="V728" s="75"/>
      <c r="W728" s="69"/>
      <c r="X728" s="69"/>
      <c r="Y728" s="69"/>
      <c r="Z728" s="69"/>
      <c r="AA728" s="69"/>
      <c r="AB728" s="69"/>
      <c r="AC728" s="69"/>
      <c r="AD728" s="69"/>
      <c r="AE728" s="76"/>
      <c r="AF728" s="71"/>
      <c r="AG728" s="71"/>
      <c r="AH728" s="71"/>
      <c r="AI728" s="71"/>
      <c r="AJ728" s="71"/>
      <c r="AK728" s="71"/>
      <c r="AL728" s="71"/>
      <c r="AM728" s="71"/>
      <c r="AN728" s="68"/>
      <c r="AO728" s="68"/>
      <c r="AP728" s="70"/>
      <c r="AQ728" s="71"/>
      <c r="AR728" s="77"/>
      <c r="AS728" s="70"/>
      <c r="AT728" s="68"/>
      <c r="AU728" s="70"/>
      <c r="AV728" s="70"/>
      <c r="AW728" s="71"/>
      <c r="AX728" s="71"/>
      <c r="AY728" s="70"/>
      <c r="AZ728" s="76"/>
      <c r="BA728" s="76"/>
      <c r="BB728" s="76"/>
      <c r="BC728" s="78"/>
    </row>
    <row r="729" spans="1:55" x14ac:dyDescent="0.25">
      <c r="A729" s="68"/>
      <c r="B729" s="68"/>
      <c r="C729" s="68"/>
      <c r="D729" s="70"/>
      <c r="E729" s="70"/>
      <c r="F729" s="70"/>
      <c r="G729" s="72"/>
      <c r="H729" s="74"/>
      <c r="I729" s="74"/>
      <c r="J729" s="75"/>
      <c r="K729" s="81"/>
      <c r="L729" s="76"/>
      <c r="M729" s="76"/>
      <c r="N729" s="76"/>
      <c r="O729" s="71"/>
      <c r="P729" s="70"/>
      <c r="Q729" s="71"/>
      <c r="R729" s="71"/>
      <c r="S729" s="70"/>
      <c r="T729" s="71"/>
      <c r="U729" s="71"/>
      <c r="V729" s="75"/>
      <c r="W729" s="69"/>
      <c r="X729" s="69"/>
      <c r="Y729" s="69"/>
      <c r="Z729" s="69"/>
      <c r="AA729" s="69"/>
      <c r="AB729" s="69"/>
      <c r="AC729" s="69"/>
      <c r="AD729" s="69"/>
      <c r="AE729" s="76"/>
      <c r="AF729" s="71"/>
      <c r="AG729" s="71"/>
      <c r="AH729" s="71"/>
      <c r="AI729" s="71"/>
      <c r="AJ729" s="71"/>
      <c r="AK729" s="71"/>
      <c r="AL729" s="71"/>
      <c r="AM729" s="71"/>
      <c r="AN729" s="68"/>
      <c r="AO729" s="68"/>
      <c r="AP729" s="70"/>
      <c r="AQ729" s="71"/>
      <c r="AR729" s="77"/>
      <c r="AS729" s="70"/>
      <c r="AT729" s="68"/>
      <c r="AU729" s="70"/>
      <c r="AV729" s="70"/>
      <c r="AW729" s="71"/>
      <c r="AX729" s="71"/>
      <c r="AY729" s="70"/>
      <c r="AZ729" s="76"/>
      <c r="BA729" s="76"/>
      <c r="BB729" s="76"/>
      <c r="BC729" s="78"/>
    </row>
    <row r="730" spans="1:55" x14ac:dyDescent="0.25">
      <c r="A730" s="68"/>
      <c r="B730" s="68"/>
      <c r="C730" s="68"/>
      <c r="D730" s="70"/>
      <c r="E730" s="70"/>
      <c r="F730" s="70"/>
      <c r="G730" s="72"/>
      <c r="H730" s="74"/>
      <c r="I730" s="74"/>
      <c r="J730" s="75"/>
      <c r="K730" s="81"/>
      <c r="L730" s="76"/>
      <c r="M730" s="76"/>
      <c r="N730" s="76"/>
      <c r="O730" s="71"/>
      <c r="P730" s="70"/>
      <c r="Q730" s="71"/>
      <c r="R730" s="71"/>
      <c r="S730" s="70"/>
      <c r="T730" s="71"/>
      <c r="U730" s="71"/>
      <c r="V730" s="75"/>
      <c r="W730" s="69"/>
      <c r="X730" s="69"/>
      <c r="Y730" s="69"/>
      <c r="Z730" s="69"/>
      <c r="AA730" s="69"/>
      <c r="AB730" s="69"/>
      <c r="AC730" s="69"/>
      <c r="AD730" s="69"/>
      <c r="AE730" s="76"/>
      <c r="AF730" s="71"/>
      <c r="AG730" s="71"/>
      <c r="AH730" s="71"/>
      <c r="AI730" s="71"/>
      <c r="AJ730" s="71"/>
      <c r="AK730" s="71"/>
      <c r="AL730" s="71"/>
      <c r="AM730" s="71"/>
      <c r="AN730" s="68"/>
      <c r="AO730" s="68"/>
      <c r="AP730" s="70"/>
      <c r="AQ730" s="71"/>
      <c r="AR730" s="77"/>
      <c r="AS730" s="70"/>
      <c r="AT730" s="68"/>
      <c r="AU730" s="70"/>
      <c r="AV730" s="70"/>
      <c r="AW730" s="71"/>
      <c r="AX730" s="71"/>
      <c r="AY730" s="70"/>
      <c r="AZ730" s="76"/>
      <c r="BA730" s="76"/>
      <c r="BB730" s="76"/>
      <c r="BC730" s="78"/>
    </row>
    <row r="731" spans="1:55" x14ac:dyDescent="0.25">
      <c r="A731" s="68"/>
      <c r="B731" s="68"/>
      <c r="C731" s="68"/>
      <c r="D731" s="70"/>
      <c r="E731" s="70"/>
      <c r="F731" s="70"/>
      <c r="G731" s="72"/>
      <c r="H731" s="74"/>
      <c r="I731" s="74"/>
      <c r="J731" s="75"/>
      <c r="K731" s="81"/>
      <c r="L731" s="76"/>
      <c r="M731" s="76"/>
      <c r="N731" s="76"/>
      <c r="O731" s="71"/>
      <c r="P731" s="70"/>
      <c r="Q731" s="71"/>
      <c r="R731" s="71"/>
      <c r="S731" s="70"/>
      <c r="T731" s="71"/>
      <c r="U731" s="71"/>
      <c r="V731" s="75"/>
      <c r="W731" s="69"/>
      <c r="X731" s="69"/>
      <c r="Y731" s="69"/>
      <c r="Z731" s="69"/>
      <c r="AA731" s="69"/>
      <c r="AB731" s="69"/>
      <c r="AC731" s="69"/>
      <c r="AD731" s="69"/>
      <c r="AE731" s="76"/>
      <c r="AF731" s="71"/>
      <c r="AG731" s="71"/>
      <c r="AH731" s="71"/>
      <c r="AI731" s="71"/>
      <c r="AJ731" s="71"/>
      <c r="AK731" s="71"/>
      <c r="AL731" s="71"/>
      <c r="AM731" s="71"/>
      <c r="AN731" s="68"/>
      <c r="AO731" s="68"/>
      <c r="AP731" s="70"/>
      <c r="AQ731" s="71"/>
      <c r="AR731" s="77"/>
      <c r="AS731" s="70"/>
      <c r="AT731" s="68"/>
      <c r="AU731" s="70"/>
      <c r="AV731" s="70"/>
      <c r="AW731" s="71"/>
      <c r="AX731" s="71"/>
      <c r="AY731" s="70"/>
      <c r="AZ731" s="76"/>
      <c r="BA731" s="76"/>
      <c r="BB731" s="76"/>
      <c r="BC731" s="78"/>
    </row>
    <row r="732" spans="1:55" x14ac:dyDescent="0.25">
      <c r="A732" s="68"/>
      <c r="B732" s="68"/>
      <c r="C732" s="68"/>
      <c r="D732" s="70"/>
      <c r="E732" s="70"/>
      <c r="F732" s="70"/>
      <c r="G732" s="72"/>
      <c r="H732" s="74"/>
      <c r="I732" s="74"/>
      <c r="J732" s="75"/>
      <c r="K732" s="81"/>
      <c r="L732" s="76"/>
      <c r="M732" s="76"/>
      <c r="N732" s="76"/>
      <c r="O732" s="71"/>
      <c r="P732" s="70"/>
      <c r="Q732" s="71"/>
      <c r="R732" s="71"/>
      <c r="S732" s="70"/>
      <c r="T732" s="71"/>
      <c r="U732" s="71"/>
      <c r="V732" s="75"/>
      <c r="W732" s="69"/>
      <c r="X732" s="69"/>
      <c r="Y732" s="69"/>
      <c r="Z732" s="69"/>
      <c r="AA732" s="69"/>
      <c r="AB732" s="69"/>
      <c r="AC732" s="69"/>
      <c r="AD732" s="69"/>
      <c r="AE732" s="76"/>
      <c r="AF732" s="71"/>
      <c r="AG732" s="71"/>
      <c r="AH732" s="71"/>
      <c r="AI732" s="71"/>
      <c r="AJ732" s="71"/>
      <c r="AK732" s="71"/>
      <c r="AL732" s="71"/>
      <c r="AM732" s="71"/>
      <c r="AN732" s="68"/>
      <c r="AO732" s="68"/>
      <c r="AP732" s="70"/>
      <c r="AQ732" s="71"/>
      <c r="AR732" s="77"/>
      <c r="AS732" s="70"/>
      <c r="AT732" s="68"/>
      <c r="AU732" s="70"/>
      <c r="AV732" s="70"/>
      <c r="AW732" s="71"/>
      <c r="AX732" s="71"/>
      <c r="AY732" s="70"/>
      <c r="AZ732" s="76"/>
      <c r="BA732" s="76"/>
      <c r="BB732" s="76"/>
      <c r="BC732" s="78"/>
    </row>
    <row r="733" spans="1:55" x14ac:dyDescent="0.25">
      <c r="A733" s="68"/>
      <c r="B733" s="68"/>
      <c r="C733" s="68"/>
      <c r="D733" s="70"/>
      <c r="E733" s="70"/>
      <c r="F733" s="70"/>
      <c r="G733" s="72"/>
      <c r="H733" s="74"/>
      <c r="I733" s="74"/>
      <c r="J733" s="75"/>
      <c r="K733" s="81"/>
      <c r="L733" s="76"/>
      <c r="M733" s="76"/>
      <c r="N733" s="76"/>
      <c r="O733" s="71"/>
      <c r="P733" s="70"/>
      <c r="Q733" s="71"/>
      <c r="R733" s="71"/>
      <c r="S733" s="70"/>
      <c r="T733" s="71"/>
      <c r="U733" s="71"/>
      <c r="V733" s="75"/>
      <c r="W733" s="69"/>
      <c r="X733" s="69"/>
      <c r="Y733" s="69"/>
      <c r="Z733" s="69"/>
      <c r="AA733" s="69"/>
      <c r="AB733" s="69"/>
      <c r="AC733" s="69"/>
      <c r="AD733" s="69"/>
      <c r="AE733" s="76"/>
      <c r="AF733" s="71"/>
      <c r="AG733" s="71"/>
      <c r="AH733" s="71"/>
      <c r="AI733" s="71"/>
      <c r="AJ733" s="71"/>
      <c r="AK733" s="71"/>
      <c r="AL733" s="71"/>
      <c r="AM733" s="71"/>
      <c r="AN733" s="68"/>
      <c r="AO733" s="68"/>
      <c r="AP733" s="70"/>
      <c r="AQ733" s="71"/>
      <c r="AR733" s="77"/>
      <c r="AS733" s="70"/>
      <c r="AT733" s="68"/>
      <c r="AU733" s="70"/>
      <c r="AV733" s="70"/>
      <c r="AW733" s="71"/>
      <c r="AX733" s="71"/>
      <c r="AY733" s="70"/>
      <c r="AZ733" s="76"/>
      <c r="BA733" s="76"/>
      <c r="BB733" s="76"/>
      <c r="BC733" s="78"/>
    </row>
    <row r="734" spans="1:55" x14ac:dyDescent="0.25">
      <c r="A734" s="68"/>
      <c r="B734" s="68"/>
      <c r="C734" s="68"/>
      <c r="D734" s="70"/>
      <c r="E734" s="70"/>
      <c r="F734" s="70"/>
      <c r="G734" s="72"/>
      <c r="H734" s="74"/>
      <c r="I734" s="74"/>
      <c r="J734" s="75"/>
      <c r="K734" s="81"/>
      <c r="L734" s="76"/>
      <c r="M734" s="76"/>
      <c r="N734" s="76"/>
      <c r="O734" s="71"/>
      <c r="P734" s="70"/>
      <c r="Q734" s="71"/>
      <c r="R734" s="71"/>
      <c r="S734" s="70"/>
      <c r="T734" s="71"/>
      <c r="U734" s="71"/>
      <c r="V734" s="75"/>
      <c r="W734" s="69"/>
      <c r="X734" s="69"/>
      <c r="Y734" s="69"/>
      <c r="Z734" s="69"/>
      <c r="AA734" s="69"/>
      <c r="AB734" s="69"/>
      <c r="AC734" s="69"/>
      <c r="AD734" s="69"/>
      <c r="AE734" s="76"/>
      <c r="AF734" s="71"/>
      <c r="AG734" s="71"/>
      <c r="AH734" s="71"/>
      <c r="AI734" s="71"/>
      <c r="AJ734" s="71"/>
      <c r="AK734" s="71"/>
      <c r="AL734" s="71"/>
      <c r="AM734" s="71"/>
      <c r="AN734" s="68"/>
      <c r="AO734" s="68"/>
      <c r="AP734" s="70"/>
      <c r="AQ734" s="71"/>
      <c r="AR734" s="77"/>
      <c r="AS734" s="70"/>
      <c r="AT734" s="68"/>
      <c r="AU734" s="70"/>
      <c r="AV734" s="70"/>
      <c r="AW734" s="71"/>
      <c r="AX734" s="71"/>
      <c r="AY734" s="70"/>
      <c r="AZ734" s="76"/>
      <c r="BA734" s="76"/>
      <c r="BB734" s="76"/>
      <c r="BC734" s="78"/>
    </row>
    <row r="735" spans="1:55" x14ac:dyDescent="0.25">
      <c r="A735" s="68"/>
      <c r="B735" s="68"/>
      <c r="C735" s="68"/>
      <c r="D735" s="70"/>
      <c r="E735" s="70"/>
      <c r="F735" s="70"/>
      <c r="G735" s="72"/>
      <c r="H735" s="74"/>
      <c r="I735" s="74"/>
      <c r="J735" s="75"/>
      <c r="K735" s="81"/>
      <c r="L735" s="76"/>
      <c r="M735" s="76"/>
      <c r="N735" s="76"/>
      <c r="O735" s="71"/>
      <c r="P735" s="70"/>
      <c r="Q735" s="71"/>
      <c r="R735" s="71"/>
      <c r="S735" s="70"/>
      <c r="T735" s="71"/>
      <c r="U735" s="71"/>
      <c r="V735" s="75"/>
      <c r="W735" s="69"/>
      <c r="X735" s="69"/>
      <c r="Y735" s="69"/>
      <c r="Z735" s="69"/>
      <c r="AA735" s="69"/>
      <c r="AB735" s="69"/>
      <c r="AC735" s="69"/>
      <c r="AD735" s="69"/>
      <c r="AE735" s="76"/>
      <c r="AF735" s="71"/>
      <c r="AG735" s="71"/>
      <c r="AH735" s="71"/>
      <c r="AI735" s="71"/>
      <c r="AJ735" s="71"/>
      <c r="AK735" s="71"/>
      <c r="AL735" s="71"/>
      <c r="AM735" s="71"/>
      <c r="AN735" s="68"/>
      <c r="AO735" s="68"/>
      <c r="AP735" s="70"/>
      <c r="AQ735" s="71"/>
      <c r="AR735" s="77"/>
      <c r="AS735" s="70"/>
      <c r="AT735" s="68"/>
      <c r="AU735" s="70"/>
      <c r="AV735" s="70"/>
      <c r="AW735" s="71"/>
      <c r="AX735" s="71"/>
      <c r="AY735" s="70"/>
      <c r="AZ735" s="76"/>
      <c r="BA735" s="76"/>
      <c r="BB735" s="76"/>
      <c r="BC735" s="78"/>
    </row>
    <row r="736" spans="1:55" x14ac:dyDescent="0.25">
      <c r="A736" s="68"/>
      <c r="B736" s="68"/>
      <c r="C736" s="68"/>
      <c r="D736" s="70"/>
      <c r="E736" s="70"/>
      <c r="F736" s="70"/>
      <c r="G736" s="72"/>
      <c r="H736" s="74"/>
      <c r="I736" s="74"/>
      <c r="J736" s="75"/>
      <c r="K736" s="81"/>
      <c r="L736" s="76"/>
      <c r="M736" s="76"/>
      <c r="N736" s="76"/>
      <c r="O736" s="71"/>
      <c r="P736" s="70"/>
      <c r="Q736" s="71"/>
      <c r="R736" s="71"/>
      <c r="S736" s="70"/>
      <c r="T736" s="71"/>
      <c r="U736" s="71"/>
      <c r="V736" s="75"/>
      <c r="W736" s="69"/>
      <c r="X736" s="69"/>
      <c r="Y736" s="69"/>
      <c r="Z736" s="69"/>
      <c r="AA736" s="69"/>
      <c r="AB736" s="69"/>
      <c r="AC736" s="69"/>
      <c r="AD736" s="69"/>
      <c r="AE736" s="76"/>
      <c r="AF736" s="71"/>
      <c r="AG736" s="71"/>
      <c r="AH736" s="71"/>
      <c r="AI736" s="71"/>
      <c r="AJ736" s="71"/>
      <c r="AK736" s="71"/>
      <c r="AL736" s="71"/>
      <c r="AM736" s="71"/>
      <c r="AN736" s="68"/>
      <c r="AO736" s="68"/>
      <c r="AP736" s="70"/>
      <c r="AQ736" s="71"/>
      <c r="AR736" s="77"/>
      <c r="AS736" s="70"/>
      <c r="AT736" s="68"/>
      <c r="AU736" s="70"/>
      <c r="AV736" s="70"/>
      <c r="AW736" s="71"/>
      <c r="AX736" s="71"/>
      <c r="AY736" s="70"/>
      <c r="AZ736" s="76"/>
      <c r="BA736" s="76"/>
      <c r="BB736" s="76"/>
      <c r="BC736" s="78"/>
    </row>
    <row r="737" spans="1:55" x14ac:dyDescent="0.25">
      <c r="A737" s="68"/>
      <c r="B737" s="68"/>
      <c r="C737" s="68"/>
      <c r="D737" s="70"/>
      <c r="E737" s="70"/>
      <c r="F737" s="70"/>
      <c r="G737" s="72"/>
      <c r="H737" s="74"/>
      <c r="I737" s="74"/>
      <c r="J737" s="75"/>
      <c r="K737" s="81"/>
      <c r="L737" s="76"/>
      <c r="M737" s="76"/>
      <c r="N737" s="76"/>
      <c r="O737" s="71"/>
      <c r="P737" s="70"/>
      <c r="Q737" s="71"/>
      <c r="R737" s="71"/>
      <c r="S737" s="70"/>
      <c r="T737" s="71"/>
      <c r="U737" s="71"/>
      <c r="V737" s="75"/>
      <c r="W737" s="69"/>
      <c r="X737" s="69"/>
      <c r="Y737" s="69"/>
      <c r="Z737" s="69"/>
      <c r="AA737" s="69"/>
      <c r="AB737" s="69"/>
      <c r="AC737" s="69"/>
      <c r="AD737" s="69"/>
      <c r="AE737" s="76"/>
      <c r="AF737" s="71"/>
      <c r="AG737" s="71"/>
      <c r="AH737" s="71"/>
      <c r="AI737" s="71"/>
      <c r="AJ737" s="71"/>
      <c r="AK737" s="71"/>
      <c r="AL737" s="71"/>
      <c r="AM737" s="71"/>
      <c r="AN737" s="68"/>
      <c r="AO737" s="68"/>
      <c r="AP737" s="70"/>
      <c r="AQ737" s="71"/>
      <c r="AR737" s="77"/>
      <c r="AS737" s="70"/>
      <c r="AT737" s="68"/>
      <c r="AU737" s="70"/>
      <c r="AV737" s="70"/>
      <c r="AW737" s="71"/>
      <c r="AX737" s="71"/>
      <c r="AY737" s="70"/>
      <c r="AZ737" s="76"/>
      <c r="BA737" s="76"/>
      <c r="BB737" s="76"/>
      <c r="BC737" s="78"/>
    </row>
    <row r="738" spans="1:55" x14ac:dyDescent="0.25">
      <c r="A738" s="68"/>
      <c r="B738" s="68"/>
      <c r="C738" s="68"/>
      <c r="D738" s="70"/>
      <c r="E738" s="70"/>
      <c r="F738" s="70"/>
      <c r="G738" s="72"/>
      <c r="H738" s="74"/>
      <c r="I738" s="74"/>
      <c r="J738" s="75"/>
      <c r="K738" s="81"/>
      <c r="L738" s="76"/>
      <c r="M738" s="76"/>
      <c r="N738" s="76"/>
      <c r="O738" s="71"/>
      <c r="P738" s="70"/>
      <c r="Q738" s="71"/>
      <c r="R738" s="71"/>
      <c r="S738" s="70"/>
      <c r="T738" s="71"/>
      <c r="U738" s="71"/>
      <c r="V738" s="75"/>
      <c r="W738" s="69"/>
      <c r="X738" s="69"/>
      <c r="Y738" s="69"/>
      <c r="Z738" s="69"/>
      <c r="AA738" s="69"/>
      <c r="AB738" s="69"/>
      <c r="AC738" s="69"/>
      <c r="AD738" s="69"/>
      <c r="AE738" s="76"/>
      <c r="AF738" s="71"/>
      <c r="AG738" s="71"/>
      <c r="AH738" s="71"/>
      <c r="AI738" s="71"/>
      <c r="AJ738" s="71"/>
      <c r="AK738" s="71"/>
      <c r="AL738" s="71"/>
      <c r="AM738" s="71"/>
      <c r="AN738" s="68"/>
      <c r="AO738" s="68"/>
      <c r="AP738" s="70"/>
      <c r="AQ738" s="71"/>
      <c r="AR738" s="77"/>
      <c r="AS738" s="70"/>
      <c r="AT738" s="68"/>
      <c r="AU738" s="70"/>
      <c r="AV738" s="70"/>
      <c r="AW738" s="71"/>
      <c r="AX738" s="71"/>
      <c r="AY738" s="70"/>
      <c r="AZ738" s="76"/>
      <c r="BA738" s="76"/>
      <c r="BB738" s="76"/>
      <c r="BC738" s="78"/>
    </row>
    <row r="739" spans="1:55" x14ac:dyDescent="0.25">
      <c r="A739" s="68"/>
      <c r="B739" s="68"/>
      <c r="C739" s="68"/>
      <c r="D739" s="70"/>
      <c r="E739" s="70"/>
      <c r="F739" s="70"/>
      <c r="G739" s="72"/>
      <c r="H739" s="74"/>
      <c r="I739" s="74"/>
      <c r="J739" s="75"/>
      <c r="K739" s="81"/>
      <c r="L739" s="76"/>
      <c r="M739" s="76"/>
      <c r="N739" s="76"/>
      <c r="O739" s="71"/>
      <c r="P739" s="70"/>
      <c r="Q739" s="71"/>
      <c r="R739" s="71"/>
      <c r="S739" s="70"/>
      <c r="T739" s="71"/>
      <c r="U739" s="71"/>
      <c r="V739" s="75"/>
      <c r="W739" s="69"/>
      <c r="X739" s="69"/>
      <c r="Y739" s="69"/>
      <c r="Z739" s="69"/>
      <c r="AA739" s="69"/>
      <c r="AB739" s="69"/>
      <c r="AC739" s="69"/>
      <c r="AD739" s="69"/>
      <c r="AE739" s="76"/>
      <c r="AF739" s="71"/>
      <c r="AG739" s="71"/>
      <c r="AH739" s="71"/>
      <c r="AI739" s="71"/>
      <c r="AJ739" s="71"/>
      <c r="AK739" s="71"/>
      <c r="AL739" s="71"/>
      <c r="AM739" s="71"/>
      <c r="AN739" s="68"/>
      <c r="AO739" s="68"/>
      <c r="AP739" s="70"/>
      <c r="AQ739" s="71"/>
      <c r="AR739" s="77"/>
      <c r="AS739" s="70"/>
      <c r="AT739" s="68"/>
      <c r="AU739" s="70"/>
      <c r="AV739" s="70"/>
      <c r="AW739" s="71"/>
      <c r="AX739" s="71"/>
      <c r="AY739" s="70"/>
      <c r="AZ739" s="76"/>
      <c r="BA739" s="76"/>
      <c r="BB739" s="76"/>
      <c r="BC739" s="78"/>
    </row>
    <row r="740" spans="1:55" x14ac:dyDescent="0.25">
      <c r="A740" s="68"/>
      <c r="B740" s="68"/>
      <c r="C740" s="68"/>
      <c r="D740" s="70"/>
      <c r="E740" s="70"/>
      <c r="F740" s="70"/>
      <c r="G740" s="72"/>
      <c r="H740" s="74"/>
      <c r="I740" s="74"/>
      <c r="J740" s="75"/>
      <c r="K740" s="81"/>
      <c r="L740" s="76"/>
      <c r="M740" s="76"/>
      <c r="N740" s="76"/>
      <c r="O740" s="71"/>
      <c r="P740" s="70"/>
      <c r="Q740" s="71"/>
      <c r="R740" s="71"/>
      <c r="S740" s="70"/>
      <c r="T740" s="71"/>
      <c r="U740" s="71"/>
      <c r="V740" s="75"/>
      <c r="W740" s="69"/>
      <c r="X740" s="69"/>
      <c r="Y740" s="69"/>
      <c r="Z740" s="69"/>
      <c r="AA740" s="69"/>
      <c r="AB740" s="69"/>
      <c r="AC740" s="69"/>
      <c r="AD740" s="69"/>
      <c r="AE740" s="76"/>
      <c r="AF740" s="71"/>
      <c r="AG740" s="71"/>
      <c r="AH740" s="71"/>
      <c r="AI740" s="71"/>
      <c r="AJ740" s="71"/>
      <c r="AK740" s="71"/>
      <c r="AL740" s="71"/>
      <c r="AM740" s="71"/>
      <c r="AN740" s="68"/>
      <c r="AO740" s="68"/>
      <c r="AP740" s="70"/>
      <c r="AQ740" s="71"/>
      <c r="AR740" s="77"/>
      <c r="AS740" s="70"/>
      <c r="AT740" s="68"/>
      <c r="AU740" s="70"/>
      <c r="AV740" s="70"/>
      <c r="AW740" s="71"/>
      <c r="AX740" s="71"/>
      <c r="AY740" s="70"/>
      <c r="AZ740" s="76"/>
      <c r="BA740" s="76"/>
      <c r="BB740" s="76"/>
      <c r="BC740" s="78"/>
    </row>
    <row r="741" spans="1:55" x14ac:dyDescent="0.25">
      <c r="A741" s="68"/>
      <c r="B741" s="68"/>
      <c r="C741" s="68"/>
      <c r="D741" s="70"/>
      <c r="E741" s="70"/>
      <c r="F741" s="70"/>
      <c r="G741" s="72"/>
      <c r="H741" s="74"/>
      <c r="I741" s="74"/>
      <c r="J741" s="75"/>
      <c r="K741" s="81"/>
      <c r="L741" s="76"/>
      <c r="M741" s="76"/>
      <c r="N741" s="76"/>
      <c r="O741" s="71"/>
      <c r="P741" s="70"/>
      <c r="Q741" s="71"/>
      <c r="R741" s="71"/>
      <c r="S741" s="70"/>
      <c r="T741" s="71"/>
      <c r="U741" s="71"/>
      <c r="V741" s="75"/>
      <c r="W741" s="69"/>
      <c r="X741" s="69"/>
      <c r="Y741" s="69"/>
      <c r="Z741" s="69"/>
      <c r="AA741" s="69"/>
      <c r="AB741" s="69"/>
      <c r="AC741" s="69"/>
      <c r="AD741" s="69"/>
      <c r="AE741" s="76"/>
      <c r="AF741" s="71"/>
      <c r="AG741" s="71"/>
      <c r="AH741" s="71"/>
      <c r="AI741" s="71"/>
      <c r="AJ741" s="71"/>
      <c r="AK741" s="71"/>
      <c r="AL741" s="71"/>
      <c r="AM741" s="71"/>
      <c r="AN741" s="68"/>
      <c r="AO741" s="68"/>
      <c r="AP741" s="70"/>
      <c r="AQ741" s="71"/>
      <c r="AR741" s="77"/>
      <c r="AS741" s="70"/>
      <c r="AT741" s="68"/>
      <c r="AU741" s="70"/>
      <c r="AV741" s="70"/>
      <c r="AW741" s="71"/>
      <c r="AX741" s="71"/>
      <c r="AY741" s="70"/>
      <c r="AZ741" s="76"/>
      <c r="BA741" s="76"/>
      <c r="BB741" s="76"/>
      <c r="BC741" s="78"/>
    </row>
    <row r="742" spans="1:55" x14ac:dyDescent="0.25">
      <c r="A742" s="68"/>
      <c r="B742" s="68"/>
      <c r="C742" s="68"/>
      <c r="D742" s="70"/>
      <c r="E742" s="70"/>
      <c r="F742" s="70"/>
      <c r="G742" s="72"/>
      <c r="H742" s="74"/>
      <c r="I742" s="74"/>
      <c r="J742" s="75"/>
      <c r="K742" s="81"/>
      <c r="L742" s="76"/>
      <c r="M742" s="76"/>
      <c r="N742" s="76"/>
      <c r="O742" s="71"/>
      <c r="P742" s="70"/>
      <c r="Q742" s="71"/>
      <c r="R742" s="71"/>
      <c r="S742" s="70"/>
      <c r="T742" s="71"/>
      <c r="U742" s="71"/>
      <c r="V742" s="75"/>
      <c r="W742" s="69"/>
      <c r="X742" s="69"/>
      <c r="Y742" s="69"/>
      <c r="Z742" s="69"/>
      <c r="AA742" s="69"/>
      <c r="AB742" s="69"/>
      <c r="AC742" s="69"/>
      <c r="AD742" s="69"/>
      <c r="AE742" s="76"/>
      <c r="AF742" s="71"/>
      <c r="AG742" s="71"/>
      <c r="AH742" s="71"/>
      <c r="AI742" s="71"/>
      <c r="AJ742" s="71"/>
      <c r="AK742" s="71"/>
      <c r="AL742" s="71"/>
      <c r="AM742" s="71"/>
      <c r="AN742" s="68"/>
      <c r="AO742" s="68"/>
      <c r="AP742" s="70"/>
      <c r="AQ742" s="71"/>
      <c r="AR742" s="77"/>
      <c r="AS742" s="70"/>
      <c r="AT742" s="68"/>
      <c r="AU742" s="70"/>
      <c r="AV742" s="70"/>
      <c r="AW742" s="71"/>
      <c r="AX742" s="71"/>
      <c r="AY742" s="70"/>
      <c r="AZ742" s="76"/>
      <c r="BA742" s="76"/>
      <c r="BB742" s="76"/>
      <c r="BC742" s="78"/>
    </row>
    <row r="743" spans="1:55" x14ac:dyDescent="0.25">
      <c r="A743" s="68"/>
      <c r="B743" s="68"/>
      <c r="C743" s="68"/>
      <c r="D743" s="70"/>
      <c r="E743" s="70"/>
      <c r="F743" s="70"/>
      <c r="G743" s="72"/>
      <c r="H743" s="74"/>
      <c r="I743" s="74"/>
      <c r="J743" s="75"/>
      <c r="K743" s="81"/>
      <c r="L743" s="76"/>
      <c r="M743" s="76"/>
      <c r="N743" s="76"/>
      <c r="O743" s="71"/>
      <c r="P743" s="70"/>
      <c r="Q743" s="71"/>
      <c r="R743" s="71"/>
      <c r="S743" s="70"/>
      <c r="T743" s="71"/>
      <c r="U743" s="71"/>
      <c r="V743" s="75"/>
      <c r="W743" s="69"/>
      <c r="X743" s="69"/>
      <c r="Y743" s="69"/>
      <c r="Z743" s="69"/>
      <c r="AA743" s="69"/>
      <c r="AB743" s="69"/>
      <c r="AC743" s="69"/>
      <c r="AD743" s="69"/>
      <c r="AE743" s="76"/>
      <c r="AF743" s="71"/>
      <c r="AG743" s="71"/>
      <c r="AH743" s="71"/>
      <c r="AI743" s="71"/>
      <c r="AJ743" s="71"/>
      <c r="AK743" s="71"/>
      <c r="AL743" s="71"/>
      <c r="AM743" s="71"/>
      <c r="AN743" s="68"/>
      <c r="AO743" s="68"/>
      <c r="AP743" s="70"/>
      <c r="AQ743" s="71"/>
      <c r="AR743" s="77"/>
      <c r="AS743" s="70"/>
      <c r="AT743" s="68"/>
      <c r="AU743" s="70"/>
      <c r="AV743" s="70"/>
      <c r="AW743" s="71"/>
      <c r="AX743" s="71"/>
      <c r="AY743" s="70"/>
      <c r="AZ743" s="76"/>
      <c r="BA743" s="76"/>
      <c r="BB743" s="76"/>
      <c r="BC743" s="78"/>
    </row>
    <row r="744" spans="1:55" x14ac:dyDescent="0.25">
      <c r="A744" s="68"/>
      <c r="B744" s="68"/>
      <c r="C744" s="68"/>
      <c r="D744" s="70"/>
      <c r="E744" s="70"/>
      <c r="F744" s="70"/>
      <c r="G744" s="72"/>
      <c r="H744" s="74"/>
      <c r="I744" s="74"/>
      <c r="J744" s="75"/>
      <c r="K744" s="81"/>
      <c r="L744" s="76"/>
      <c r="M744" s="76"/>
      <c r="N744" s="76"/>
      <c r="O744" s="71"/>
      <c r="P744" s="70"/>
      <c r="Q744" s="71"/>
      <c r="R744" s="71"/>
      <c r="S744" s="70"/>
      <c r="T744" s="71"/>
      <c r="U744" s="71"/>
      <c r="V744" s="75"/>
      <c r="W744" s="69"/>
      <c r="X744" s="69"/>
      <c r="Y744" s="69"/>
      <c r="Z744" s="69"/>
      <c r="AA744" s="69"/>
      <c r="AB744" s="69"/>
      <c r="AC744" s="69"/>
      <c r="AD744" s="69"/>
      <c r="AE744" s="76"/>
      <c r="AF744" s="71"/>
      <c r="AG744" s="71"/>
      <c r="AH744" s="71"/>
      <c r="AI744" s="71"/>
      <c r="AJ744" s="71"/>
      <c r="AK744" s="71"/>
      <c r="AL744" s="71"/>
      <c r="AM744" s="71"/>
      <c r="AN744" s="68"/>
      <c r="AO744" s="68"/>
      <c r="AP744" s="70"/>
      <c r="AQ744" s="71"/>
      <c r="AR744" s="77"/>
      <c r="AS744" s="70"/>
      <c r="AT744" s="68"/>
      <c r="AU744" s="70"/>
      <c r="AV744" s="70"/>
      <c r="AW744" s="71"/>
      <c r="AX744" s="71"/>
      <c r="AY744" s="70"/>
      <c r="AZ744" s="76"/>
      <c r="BA744" s="76"/>
      <c r="BB744" s="76"/>
      <c r="BC744" s="78"/>
    </row>
    <row r="745" spans="1:55" x14ac:dyDescent="0.25">
      <c r="A745" s="68"/>
      <c r="B745" s="68"/>
      <c r="C745" s="68"/>
      <c r="D745" s="70"/>
      <c r="E745" s="70"/>
      <c r="F745" s="70"/>
      <c r="G745" s="72"/>
      <c r="H745" s="74"/>
      <c r="I745" s="74"/>
      <c r="J745" s="75"/>
      <c r="K745" s="81"/>
      <c r="L745" s="76"/>
      <c r="M745" s="76"/>
      <c r="N745" s="76"/>
      <c r="O745" s="71"/>
      <c r="P745" s="70"/>
      <c r="Q745" s="71"/>
      <c r="R745" s="71"/>
      <c r="S745" s="70"/>
      <c r="T745" s="71"/>
      <c r="U745" s="71"/>
      <c r="V745" s="75"/>
      <c r="W745" s="69"/>
      <c r="X745" s="69"/>
      <c r="Y745" s="69"/>
      <c r="Z745" s="69"/>
      <c r="AA745" s="69"/>
      <c r="AB745" s="69"/>
      <c r="AC745" s="69"/>
      <c r="AD745" s="69"/>
      <c r="AE745" s="76"/>
      <c r="AF745" s="71"/>
      <c r="AG745" s="71"/>
      <c r="AH745" s="71"/>
      <c r="AI745" s="71"/>
      <c r="AJ745" s="71"/>
      <c r="AK745" s="71"/>
      <c r="AL745" s="71"/>
      <c r="AM745" s="71"/>
      <c r="AN745" s="68"/>
      <c r="AO745" s="68"/>
      <c r="AP745" s="70"/>
      <c r="AQ745" s="71"/>
      <c r="AR745" s="77"/>
      <c r="AS745" s="70"/>
      <c r="AT745" s="68"/>
      <c r="AU745" s="70"/>
      <c r="AV745" s="70"/>
      <c r="AW745" s="71"/>
      <c r="AX745" s="71"/>
      <c r="AY745" s="70"/>
      <c r="AZ745" s="76"/>
      <c r="BA745" s="76"/>
      <c r="BB745" s="76"/>
      <c r="BC745" s="78"/>
    </row>
    <row r="746" spans="1:55" x14ac:dyDescent="0.25">
      <c r="A746" s="68"/>
      <c r="B746" s="68"/>
      <c r="C746" s="68"/>
      <c r="D746" s="70"/>
      <c r="E746" s="70"/>
      <c r="F746" s="70"/>
      <c r="G746" s="72"/>
      <c r="H746" s="74"/>
      <c r="I746" s="74"/>
      <c r="J746" s="75"/>
      <c r="K746" s="81"/>
      <c r="L746" s="76"/>
      <c r="M746" s="76"/>
      <c r="N746" s="76"/>
      <c r="O746" s="71"/>
      <c r="P746" s="70"/>
      <c r="Q746" s="71"/>
      <c r="R746" s="71"/>
      <c r="S746" s="70"/>
      <c r="T746" s="71"/>
      <c r="U746" s="71"/>
      <c r="V746" s="75"/>
      <c r="W746" s="69"/>
      <c r="X746" s="69"/>
      <c r="Y746" s="69"/>
      <c r="Z746" s="69"/>
      <c r="AA746" s="69"/>
      <c r="AB746" s="69"/>
      <c r="AC746" s="69"/>
      <c r="AD746" s="69"/>
      <c r="AE746" s="76"/>
      <c r="AF746" s="71"/>
      <c r="AG746" s="71"/>
      <c r="AH746" s="71"/>
      <c r="AI746" s="71"/>
      <c r="AJ746" s="71"/>
      <c r="AK746" s="71"/>
      <c r="AL746" s="71"/>
      <c r="AM746" s="71"/>
      <c r="AN746" s="68"/>
      <c r="AO746" s="68"/>
      <c r="AP746" s="70"/>
      <c r="AQ746" s="71"/>
      <c r="AR746" s="77"/>
      <c r="AS746" s="70"/>
      <c r="AT746" s="68"/>
      <c r="AU746" s="70"/>
      <c r="AV746" s="70"/>
      <c r="AW746" s="71"/>
      <c r="AX746" s="71"/>
      <c r="AY746" s="70"/>
      <c r="AZ746" s="76"/>
      <c r="BA746" s="76"/>
      <c r="BB746" s="76"/>
      <c r="BC746" s="78"/>
    </row>
    <row r="747" spans="1:55" x14ac:dyDescent="0.25">
      <c r="A747" s="68"/>
      <c r="B747" s="68"/>
      <c r="C747" s="68"/>
      <c r="D747" s="70"/>
      <c r="E747" s="70"/>
      <c r="F747" s="70"/>
      <c r="G747" s="72"/>
      <c r="H747" s="74"/>
      <c r="I747" s="74"/>
      <c r="J747" s="75"/>
      <c r="K747" s="81"/>
      <c r="L747" s="76"/>
      <c r="M747" s="76"/>
      <c r="N747" s="76"/>
      <c r="O747" s="71"/>
      <c r="P747" s="70"/>
      <c r="Q747" s="71"/>
      <c r="R747" s="71"/>
      <c r="S747" s="70"/>
      <c r="T747" s="71"/>
      <c r="U747" s="71"/>
      <c r="V747" s="75"/>
      <c r="W747" s="69"/>
      <c r="X747" s="69"/>
      <c r="Y747" s="69"/>
      <c r="Z747" s="69"/>
      <c r="AA747" s="69"/>
      <c r="AB747" s="69"/>
      <c r="AC747" s="69"/>
      <c r="AD747" s="69"/>
      <c r="AE747" s="76"/>
      <c r="AF747" s="71"/>
      <c r="AG747" s="71"/>
      <c r="AH747" s="71"/>
      <c r="AI747" s="71"/>
      <c r="AJ747" s="71"/>
      <c r="AK747" s="71"/>
      <c r="AL747" s="71"/>
      <c r="AM747" s="71"/>
      <c r="AN747" s="68"/>
      <c r="AO747" s="68"/>
      <c r="AP747" s="70"/>
      <c r="AQ747" s="71"/>
      <c r="AR747" s="77"/>
      <c r="AS747" s="70"/>
      <c r="AT747" s="68"/>
      <c r="AU747" s="70"/>
      <c r="AV747" s="70"/>
      <c r="AW747" s="71"/>
      <c r="AX747" s="71"/>
      <c r="AY747" s="70"/>
      <c r="AZ747" s="76"/>
      <c r="BA747" s="76"/>
      <c r="BB747" s="76"/>
      <c r="BC747" s="78"/>
    </row>
    <row r="748" spans="1:55" x14ac:dyDescent="0.25">
      <c r="A748" s="68"/>
      <c r="B748" s="68"/>
      <c r="C748" s="68"/>
      <c r="D748" s="70"/>
      <c r="E748" s="70"/>
      <c r="F748" s="70"/>
      <c r="G748" s="72"/>
      <c r="H748" s="74"/>
      <c r="I748" s="74"/>
      <c r="J748" s="75"/>
      <c r="K748" s="81"/>
      <c r="L748" s="76"/>
      <c r="M748" s="76"/>
      <c r="N748" s="76"/>
      <c r="O748" s="71"/>
      <c r="P748" s="70"/>
      <c r="Q748" s="71"/>
      <c r="R748" s="71"/>
      <c r="S748" s="70"/>
      <c r="T748" s="71"/>
      <c r="U748" s="71"/>
      <c r="V748" s="75"/>
      <c r="W748" s="69"/>
      <c r="X748" s="69"/>
      <c r="Y748" s="69"/>
      <c r="Z748" s="69"/>
      <c r="AA748" s="69"/>
      <c r="AB748" s="69"/>
      <c r="AC748" s="69"/>
      <c r="AD748" s="69"/>
      <c r="AE748" s="76"/>
      <c r="AF748" s="71"/>
      <c r="AG748" s="71"/>
      <c r="AH748" s="71"/>
      <c r="AI748" s="71"/>
      <c r="AJ748" s="71"/>
      <c r="AK748" s="71"/>
      <c r="AL748" s="71"/>
      <c r="AM748" s="71"/>
      <c r="AN748" s="68"/>
      <c r="AO748" s="68"/>
      <c r="AP748" s="70"/>
      <c r="AQ748" s="71"/>
      <c r="AR748" s="77"/>
      <c r="AS748" s="70"/>
      <c r="AT748" s="68"/>
      <c r="AU748" s="70"/>
      <c r="AV748" s="70"/>
      <c r="AW748" s="71"/>
      <c r="AX748" s="71"/>
      <c r="AY748" s="70"/>
      <c r="AZ748" s="76"/>
      <c r="BA748" s="76"/>
      <c r="BB748" s="76"/>
      <c r="BC748" s="78"/>
    </row>
    <row r="749" spans="1:55" x14ac:dyDescent="0.25">
      <c r="A749" s="68"/>
      <c r="B749" s="68"/>
      <c r="C749" s="68"/>
      <c r="D749" s="70"/>
      <c r="E749" s="70"/>
      <c r="F749" s="70"/>
      <c r="G749" s="72"/>
      <c r="H749" s="74"/>
      <c r="I749" s="74"/>
      <c r="J749" s="75"/>
      <c r="K749" s="81"/>
      <c r="L749" s="76"/>
      <c r="M749" s="76"/>
      <c r="N749" s="76"/>
      <c r="O749" s="71"/>
      <c r="P749" s="70"/>
      <c r="Q749" s="71"/>
      <c r="R749" s="71"/>
      <c r="S749" s="70"/>
      <c r="T749" s="71"/>
      <c r="U749" s="71"/>
      <c r="V749" s="75"/>
      <c r="W749" s="69"/>
      <c r="X749" s="69"/>
      <c r="Y749" s="69"/>
      <c r="Z749" s="69"/>
      <c r="AA749" s="69"/>
      <c r="AB749" s="69"/>
      <c r="AC749" s="69"/>
      <c r="AD749" s="69"/>
      <c r="AE749" s="76"/>
      <c r="AF749" s="71"/>
      <c r="AG749" s="71"/>
      <c r="AH749" s="71"/>
      <c r="AI749" s="71"/>
      <c r="AJ749" s="71"/>
      <c r="AK749" s="71"/>
      <c r="AL749" s="71"/>
      <c r="AM749" s="71"/>
      <c r="AN749" s="68"/>
      <c r="AO749" s="68"/>
      <c r="AP749" s="70"/>
      <c r="AQ749" s="71"/>
      <c r="AR749" s="77"/>
      <c r="AS749" s="70"/>
      <c r="AT749" s="68"/>
      <c r="AU749" s="70"/>
      <c r="AV749" s="70"/>
      <c r="AW749" s="71"/>
      <c r="AX749" s="71"/>
      <c r="AY749" s="70"/>
      <c r="AZ749" s="76"/>
      <c r="BA749" s="76"/>
      <c r="BB749" s="76"/>
      <c r="BC749" s="78"/>
    </row>
    <row r="750" spans="1:55" x14ac:dyDescent="0.25">
      <c r="A750" s="68"/>
      <c r="B750" s="68"/>
      <c r="C750" s="68"/>
      <c r="D750" s="70"/>
      <c r="E750" s="70"/>
      <c r="F750" s="70"/>
      <c r="G750" s="72"/>
      <c r="H750" s="74"/>
      <c r="I750" s="74"/>
      <c r="J750" s="75"/>
      <c r="K750" s="81"/>
      <c r="L750" s="76"/>
      <c r="M750" s="76"/>
      <c r="N750" s="76"/>
      <c r="O750" s="71"/>
      <c r="P750" s="70"/>
      <c r="Q750" s="71"/>
      <c r="R750" s="71"/>
      <c r="S750" s="70"/>
      <c r="T750" s="71"/>
      <c r="U750" s="71"/>
      <c r="V750" s="75"/>
      <c r="W750" s="69"/>
      <c r="X750" s="69"/>
      <c r="Y750" s="69"/>
      <c r="Z750" s="69"/>
      <c r="AA750" s="69"/>
      <c r="AB750" s="69"/>
      <c r="AC750" s="69"/>
      <c r="AD750" s="69"/>
      <c r="AE750" s="76"/>
      <c r="AF750" s="71"/>
      <c r="AG750" s="71"/>
      <c r="AH750" s="71"/>
      <c r="AI750" s="71"/>
      <c r="AJ750" s="71"/>
      <c r="AK750" s="71"/>
      <c r="AL750" s="71"/>
      <c r="AM750" s="71"/>
      <c r="AN750" s="68"/>
      <c r="AO750" s="68"/>
      <c r="AP750" s="70"/>
      <c r="AQ750" s="71"/>
      <c r="AR750" s="77"/>
      <c r="AS750" s="70"/>
      <c r="AT750" s="68"/>
      <c r="AU750" s="70"/>
      <c r="AV750" s="70"/>
      <c r="AW750" s="71"/>
      <c r="AX750" s="71"/>
      <c r="AY750" s="70"/>
      <c r="AZ750" s="76"/>
      <c r="BA750" s="76"/>
      <c r="BB750" s="76"/>
      <c r="BC750" s="78"/>
    </row>
    <row r="751" spans="1:55" x14ac:dyDescent="0.25">
      <c r="A751" s="68"/>
      <c r="B751" s="68"/>
      <c r="C751" s="68"/>
      <c r="D751" s="70"/>
      <c r="E751" s="70"/>
      <c r="F751" s="70"/>
      <c r="G751" s="72"/>
      <c r="H751" s="74"/>
      <c r="I751" s="74"/>
      <c r="J751" s="75"/>
      <c r="K751" s="81"/>
      <c r="L751" s="76"/>
      <c r="M751" s="76"/>
      <c r="N751" s="76"/>
      <c r="O751" s="71"/>
      <c r="P751" s="70"/>
      <c r="Q751" s="71"/>
      <c r="R751" s="71"/>
      <c r="S751" s="70"/>
      <c r="T751" s="71"/>
      <c r="U751" s="71"/>
      <c r="V751" s="75"/>
      <c r="W751" s="69"/>
      <c r="X751" s="69"/>
      <c r="Y751" s="69"/>
      <c r="Z751" s="69"/>
      <c r="AA751" s="69"/>
      <c r="AB751" s="69"/>
      <c r="AC751" s="69"/>
      <c r="AD751" s="69"/>
      <c r="AE751" s="76"/>
      <c r="AF751" s="71"/>
      <c r="AG751" s="71"/>
      <c r="AH751" s="71"/>
      <c r="AI751" s="71"/>
      <c r="AJ751" s="71"/>
      <c r="AK751" s="71"/>
      <c r="AL751" s="71"/>
      <c r="AM751" s="71"/>
      <c r="AN751" s="68"/>
      <c r="AO751" s="68"/>
      <c r="AP751" s="70"/>
      <c r="AQ751" s="71"/>
      <c r="AR751" s="77"/>
      <c r="AS751" s="70"/>
      <c r="AT751" s="68"/>
      <c r="AU751" s="70"/>
      <c r="AV751" s="70"/>
      <c r="AW751" s="71"/>
      <c r="AX751" s="71"/>
      <c r="AY751" s="70"/>
      <c r="AZ751" s="76"/>
      <c r="BA751" s="76"/>
      <c r="BB751" s="76"/>
      <c r="BC751" s="78"/>
    </row>
    <row r="752" spans="1:55" x14ac:dyDescent="0.25">
      <c r="A752" s="68"/>
      <c r="B752" s="68"/>
      <c r="C752" s="68"/>
      <c r="D752" s="70"/>
      <c r="E752" s="70"/>
      <c r="F752" s="70"/>
      <c r="G752" s="72"/>
      <c r="H752" s="74"/>
      <c r="I752" s="74"/>
      <c r="J752" s="75"/>
      <c r="K752" s="81"/>
      <c r="L752" s="76"/>
      <c r="M752" s="76"/>
      <c r="N752" s="76"/>
      <c r="O752" s="71"/>
      <c r="P752" s="70"/>
      <c r="Q752" s="71"/>
      <c r="R752" s="71"/>
      <c r="S752" s="70"/>
      <c r="T752" s="71"/>
      <c r="U752" s="71"/>
      <c r="V752" s="75"/>
      <c r="W752" s="69"/>
      <c r="X752" s="69"/>
      <c r="Y752" s="69"/>
      <c r="Z752" s="69"/>
      <c r="AA752" s="69"/>
      <c r="AB752" s="69"/>
      <c r="AC752" s="69"/>
      <c r="AD752" s="69"/>
      <c r="AE752" s="76"/>
      <c r="AF752" s="71"/>
      <c r="AG752" s="71"/>
      <c r="AH752" s="71"/>
      <c r="AI752" s="71"/>
      <c r="AJ752" s="71"/>
      <c r="AK752" s="71"/>
      <c r="AL752" s="71"/>
      <c r="AM752" s="71"/>
      <c r="AN752" s="68"/>
      <c r="AO752" s="68"/>
      <c r="AP752" s="70"/>
      <c r="AQ752" s="71"/>
      <c r="AR752" s="77"/>
      <c r="AS752" s="70"/>
      <c r="AT752" s="68"/>
      <c r="AU752" s="70"/>
      <c r="AV752" s="70"/>
      <c r="AW752" s="71"/>
      <c r="AX752" s="71"/>
      <c r="AY752" s="70"/>
      <c r="AZ752" s="76"/>
      <c r="BA752" s="76"/>
      <c r="BB752" s="76"/>
      <c r="BC752" s="78"/>
    </row>
    <row r="753" spans="1:55" x14ac:dyDescent="0.25">
      <c r="A753" s="68"/>
      <c r="B753" s="68"/>
      <c r="C753" s="68"/>
      <c r="D753" s="70"/>
      <c r="E753" s="70"/>
      <c r="F753" s="70"/>
      <c r="G753" s="72"/>
      <c r="H753" s="74"/>
      <c r="I753" s="74"/>
      <c r="J753" s="75"/>
      <c r="K753" s="81"/>
      <c r="L753" s="76"/>
      <c r="M753" s="76"/>
      <c r="N753" s="76"/>
      <c r="O753" s="71"/>
      <c r="P753" s="70"/>
      <c r="Q753" s="71"/>
      <c r="R753" s="71"/>
      <c r="S753" s="70"/>
      <c r="T753" s="71"/>
      <c r="U753" s="71"/>
      <c r="V753" s="75"/>
      <c r="W753" s="69"/>
      <c r="X753" s="69"/>
      <c r="Y753" s="69"/>
      <c r="Z753" s="69"/>
      <c r="AA753" s="69"/>
      <c r="AB753" s="69"/>
      <c r="AC753" s="69"/>
      <c r="AD753" s="69"/>
      <c r="AE753" s="76"/>
      <c r="AF753" s="71"/>
      <c r="AG753" s="71"/>
      <c r="AH753" s="71"/>
      <c r="AI753" s="71"/>
      <c r="AJ753" s="71"/>
      <c r="AK753" s="71"/>
      <c r="AL753" s="71"/>
      <c r="AM753" s="71"/>
      <c r="AN753" s="68"/>
      <c r="AO753" s="68"/>
      <c r="AP753" s="70"/>
      <c r="AQ753" s="71"/>
      <c r="AR753" s="77"/>
      <c r="AS753" s="70"/>
      <c r="AT753" s="68"/>
      <c r="AU753" s="70"/>
      <c r="AV753" s="70"/>
      <c r="AW753" s="71"/>
      <c r="AX753" s="71"/>
      <c r="AY753" s="70"/>
      <c r="AZ753" s="76"/>
      <c r="BA753" s="76"/>
      <c r="BB753" s="76"/>
      <c r="BC753" s="78"/>
    </row>
    <row r="754" spans="1:55" x14ac:dyDescent="0.25">
      <c r="A754" s="68"/>
      <c r="B754" s="68"/>
      <c r="C754" s="68"/>
      <c r="D754" s="70"/>
      <c r="E754" s="70"/>
      <c r="F754" s="70"/>
      <c r="G754" s="72"/>
      <c r="H754" s="74"/>
      <c r="I754" s="74"/>
      <c r="J754" s="75"/>
      <c r="K754" s="81"/>
      <c r="L754" s="76"/>
      <c r="M754" s="76"/>
      <c r="N754" s="76"/>
      <c r="O754" s="71"/>
      <c r="P754" s="70"/>
      <c r="Q754" s="71"/>
      <c r="R754" s="71"/>
      <c r="S754" s="70"/>
      <c r="T754" s="71"/>
      <c r="U754" s="71"/>
      <c r="V754" s="75"/>
      <c r="W754" s="69"/>
      <c r="X754" s="69"/>
      <c r="Y754" s="69"/>
      <c r="Z754" s="69"/>
      <c r="AA754" s="69"/>
      <c r="AB754" s="69"/>
      <c r="AC754" s="69"/>
      <c r="AD754" s="69"/>
      <c r="AE754" s="76"/>
      <c r="AF754" s="71"/>
      <c r="AG754" s="71"/>
      <c r="AH754" s="71"/>
      <c r="AI754" s="71"/>
      <c r="AJ754" s="71"/>
      <c r="AK754" s="71"/>
      <c r="AL754" s="71"/>
      <c r="AM754" s="71"/>
      <c r="AN754" s="68"/>
      <c r="AO754" s="68"/>
      <c r="AP754" s="70"/>
      <c r="AQ754" s="71"/>
      <c r="AR754" s="77"/>
      <c r="AS754" s="70"/>
      <c r="AT754" s="68"/>
      <c r="AU754" s="70"/>
      <c r="AV754" s="70"/>
      <c r="AW754" s="71"/>
      <c r="AX754" s="71"/>
      <c r="AY754" s="70"/>
      <c r="AZ754" s="76"/>
      <c r="BA754" s="76"/>
      <c r="BB754" s="76"/>
      <c r="BC754" s="78"/>
    </row>
    <row r="755" spans="1:55" x14ac:dyDescent="0.25">
      <c r="A755" s="68"/>
      <c r="B755" s="68"/>
      <c r="C755" s="68"/>
      <c r="D755" s="70"/>
      <c r="E755" s="70"/>
      <c r="F755" s="70"/>
      <c r="G755" s="72"/>
      <c r="H755" s="74"/>
      <c r="I755" s="74"/>
      <c r="J755" s="75"/>
      <c r="K755" s="81"/>
      <c r="L755" s="76"/>
      <c r="M755" s="76"/>
      <c r="N755" s="76"/>
      <c r="O755" s="71"/>
      <c r="P755" s="70"/>
      <c r="Q755" s="71"/>
      <c r="R755" s="71"/>
      <c r="S755" s="70"/>
      <c r="T755" s="71"/>
      <c r="U755" s="71"/>
      <c r="V755" s="75"/>
      <c r="W755" s="69"/>
      <c r="X755" s="69"/>
      <c r="Y755" s="69"/>
      <c r="Z755" s="69"/>
      <c r="AA755" s="69"/>
      <c r="AB755" s="69"/>
      <c r="AC755" s="69"/>
      <c r="AD755" s="69"/>
      <c r="AE755" s="76"/>
      <c r="AF755" s="71"/>
      <c r="AG755" s="71"/>
      <c r="AH755" s="71"/>
      <c r="AI755" s="71"/>
      <c r="AJ755" s="71"/>
      <c r="AK755" s="71"/>
      <c r="AL755" s="71"/>
      <c r="AM755" s="71"/>
      <c r="AN755" s="68"/>
      <c r="AO755" s="68"/>
      <c r="AP755" s="70"/>
      <c r="AQ755" s="71"/>
      <c r="AR755" s="77"/>
      <c r="AS755" s="70"/>
      <c r="AT755" s="68"/>
      <c r="AU755" s="70"/>
      <c r="AV755" s="70"/>
      <c r="AW755" s="71"/>
      <c r="AX755" s="71"/>
      <c r="AY755" s="70"/>
      <c r="AZ755" s="76"/>
      <c r="BA755" s="76"/>
      <c r="BB755" s="76"/>
      <c r="BC755" s="78"/>
    </row>
    <row r="756" spans="1:55" x14ac:dyDescent="0.25">
      <c r="A756" s="68"/>
      <c r="B756" s="68"/>
      <c r="C756" s="68"/>
      <c r="D756" s="70"/>
      <c r="E756" s="70"/>
      <c r="F756" s="70"/>
      <c r="G756" s="72"/>
      <c r="H756" s="74"/>
      <c r="I756" s="74"/>
      <c r="J756" s="75"/>
      <c r="K756" s="81"/>
      <c r="L756" s="76"/>
      <c r="M756" s="76"/>
      <c r="N756" s="76"/>
      <c r="O756" s="71"/>
      <c r="P756" s="70"/>
      <c r="Q756" s="71"/>
      <c r="R756" s="71"/>
      <c r="S756" s="70"/>
      <c r="T756" s="71"/>
      <c r="U756" s="71"/>
      <c r="V756" s="75"/>
      <c r="W756" s="69"/>
      <c r="X756" s="69"/>
      <c r="Y756" s="69"/>
      <c r="Z756" s="69"/>
      <c r="AA756" s="69"/>
      <c r="AB756" s="69"/>
      <c r="AC756" s="69"/>
      <c r="AD756" s="69"/>
      <c r="AE756" s="76"/>
      <c r="AF756" s="71"/>
      <c r="AG756" s="71"/>
      <c r="AH756" s="71"/>
      <c r="AI756" s="71"/>
      <c r="AJ756" s="71"/>
      <c r="AK756" s="71"/>
      <c r="AL756" s="71"/>
      <c r="AM756" s="71"/>
      <c r="AN756" s="68"/>
      <c r="AO756" s="68"/>
      <c r="AP756" s="70"/>
      <c r="AQ756" s="71"/>
      <c r="AR756" s="77"/>
      <c r="AS756" s="70"/>
      <c r="AT756" s="68"/>
      <c r="AU756" s="70"/>
      <c r="AV756" s="70"/>
      <c r="AW756" s="71"/>
      <c r="AX756" s="71"/>
      <c r="AY756" s="70"/>
      <c r="AZ756" s="76"/>
      <c r="BA756" s="76"/>
      <c r="BB756" s="76"/>
      <c r="BC756" s="78"/>
    </row>
    <row r="757" spans="1:55" x14ac:dyDescent="0.25">
      <c r="A757" s="68"/>
      <c r="B757" s="68"/>
      <c r="C757" s="68"/>
      <c r="D757" s="70"/>
      <c r="E757" s="70"/>
      <c r="F757" s="70"/>
      <c r="G757" s="72"/>
      <c r="H757" s="74"/>
      <c r="I757" s="74"/>
      <c r="J757" s="75"/>
      <c r="K757" s="81"/>
      <c r="L757" s="76"/>
      <c r="M757" s="76"/>
      <c r="N757" s="76"/>
      <c r="O757" s="71"/>
      <c r="P757" s="70"/>
      <c r="Q757" s="71"/>
      <c r="R757" s="71"/>
      <c r="S757" s="70"/>
      <c r="T757" s="71"/>
      <c r="U757" s="71"/>
      <c r="V757" s="75"/>
      <c r="W757" s="69"/>
      <c r="X757" s="69"/>
      <c r="Y757" s="69"/>
      <c r="Z757" s="69"/>
      <c r="AA757" s="69"/>
      <c r="AB757" s="69"/>
      <c r="AC757" s="69"/>
      <c r="AD757" s="69"/>
      <c r="AE757" s="76"/>
      <c r="AF757" s="71"/>
      <c r="AG757" s="71"/>
      <c r="AH757" s="71"/>
      <c r="AI757" s="71"/>
      <c r="AJ757" s="71"/>
      <c r="AK757" s="71"/>
      <c r="AL757" s="71"/>
      <c r="AM757" s="71"/>
      <c r="AN757" s="68"/>
      <c r="AO757" s="68"/>
      <c r="AP757" s="70"/>
      <c r="AQ757" s="71"/>
      <c r="AR757" s="77"/>
      <c r="AS757" s="70"/>
      <c r="AT757" s="68"/>
      <c r="AU757" s="70"/>
      <c r="AV757" s="70"/>
      <c r="AW757" s="71"/>
      <c r="AX757" s="71"/>
      <c r="AY757" s="70"/>
      <c r="AZ757" s="76"/>
      <c r="BA757" s="76"/>
      <c r="BB757" s="76"/>
      <c r="BC757" s="78"/>
    </row>
    <row r="758" spans="1:55" x14ac:dyDescent="0.25">
      <c r="A758" s="68"/>
      <c r="B758" s="68"/>
      <c r="C758" s="68"/>
      <c r="D758" s="70"/>
      <c r="E758" s="70"/>
      <c r="F758" s="70"/>
      <c r="G758" s="72"/>
      <c r="H758" s="74"/>
      <c r="I758" s="74"/>
      <c r="J758" s="75"/>
      <c r="K758" s="81"/>
      <c r="L758" s="76"/>
      <c r="M758" s="76"/>
      <c r="N758" s="76"/>
      <c r="O758" s="71"/>
      <c r="P758" s="70"/>
      <c r="Q758" s="71"/>
      <c r="R758" s="71"/>
      <c r="S758" s="70"/>
      <c r="T758" s="71"/>
      <c r="U758" s="71"/>
      <c r="V758" s="75"/>
      <c r="W758" s="69"/>
      <c r="X758" s="69"/>
      <c r="Y758" s="69"/>
      <c r="Z758" s="69"/>
      <c r="AA758" s="69"/>
      <c r="AB758" s="69"/>
      <c r="AC758" s="69"/>
      <c r="AD758" s="69"/>
      <c r="AE758" s="76"/>
      <c r="AF758" s="71"/>
      <c r="AG758" s="71"/>
      <c r="AH758" s="71"/>
      <c r="AI758" s="71"/>
      <c r="AJ758" s="71"/>
      <c r="AK758" s="71"/>
      <c r="AL758" s="71"/>
      <c r="AM758" s="71"/>
      <c r="AN758" s="68"/>
      <c r="AO758" s="68"/>
      <c r="AP758" s="70"/>
      <c r="AQ758" s="71"/>
      <c r="AR758" s="77"/>
      <c r="AS758" s="70"/>
      <c r="AT758" s="68"/>
      <c r="AU758" s="70"/>
      <c r="AV758" s="70"/>
      <c r="AW758" s="71"/>
      <c r="AX758" s="71"/>
      <c r="AY758" s="70"/>
      <c r="AZ758" s="76"/>
      <c r="BA758" s="76"/>
      <c r="BB758" s="76"/>
      <c r="BC758" s="78"/>
    </row>
    <row r="759" spans="1:55" x14ac:dyDescent="0.25">
      <c r="A759" s="68"/>
      <c r="B759" s="68"/>
      <c r="C759" s="68"/>
      <c r="D759" s="70"/>
      <c r="E759" s="70"/>
      <c r="F759" s="70"/>
      <c r="G759" s="72"/>
      <c r="H759" s="74"/>
      <c r="I759" s="74"/>
      <c r="J759" s="75"/>
      <c r="K759" s="81"/>
      <c r="L759" s="76"/>
      <c r="M759" s="76"/>
      <c r="N759" s="76"/>
      <c r="O759" s="71"/>
      <c r="P759" s="70"/>
      <c r="Q759" s="71"/>
      <c r="R759" s="71"/>
      <c r="S759" s="70"/>
      <c r="T759" s="71"/>
      <c r="U759" s="71"/>
      <c r="V759" s="75"/>
      <c r="W759" s="69"/>
      <c r="X759" s="69"/>
      <c r="Y759" s="69"/>
      <c r="Z759" s="69"/>
      <c r="AA759" s="69"/>
      <c r="AB759" s="69"/>
      <c r="AC759" s="69"/>
      <c r="AD759" s="69"/>
      <c r="AE759" s="76"/>
      <c r="AF759" s="71"/>
      <c r="AG759" s="71"/>
      <c r="AH759" s="71"/>
      <c r="AI759" s="71"/>
      <c r="AJ759" s="71"/>
      <c r="AK759" s="71"/>
      <c r="AL759" s="71"/>
      <c r="AM759" s="71"/>
      <c r="AN759" s="68"/>
      <c r="AO759" s="68"/>
      <c r="AP759" s="70"/>
      <c r="AQ759" s="71"/>
      <c r="AR759" s="77"/>
      <c r="AS759" s="70"/>
      <c r="AT759" s="68"/>
      <c r="AU759" s="70"/>
      <c r="AV759" s="70"/>
      <c r="AW759" s="71"/>
      <c r="AX759" s="71"/>
      <c r="AY759" s="70"/>
      <c r="AZ759" s="76"/>
      <c r="BA759" s="76"/>
      <c r="BB759" s="76"/>
      <c r="BC759" s="78"/>
    </row>
    <row r="760" spans="1:55" x14ac:dyDescent="0.25">
      <c r="A760" s="68"/>
      <c r="B760" s="68"/>
      <c r="C760" s="68"/>
      <c r="D760" s="70"/>
      <c r="E760" s="70"/>
      <c r="F760" s="70"/>
      <c r="G760" s="72"/>
      <c r="H760" s="74"/>
      <c r="I760" s="74"/>
      <c r="J760" s="75"/>
      <c r="K760" s="81"/>
      <c r="L760" s="76"/>
      <c r="M760" s="76"/>
      <c r="N760" s="76"/>
      <c r="O760" s="71"/>
      <c r="P760" s="70"/>
      <c r="Q760" s="71"/>
      <c r="R760" s="71"/>
      <c r="S760" s="70"/>
      <c r="T760" s="71"/>
      <c r="U760" s="71"/>
      <c r="V760" s="75"/>
      <c r="W760" s="69"/>
      <c r="X760" s="69"/>
      <c r="Y760" s="69"/>
      <c r="Z760" s="69"/>
      <c r="AA760" s="69"/>
      <c r="AB760" s="69"/>
      <c r="AC760" s="69"/>
      <c r="AD760" s="69"/>
      <c r="AE760" s="76"/>
      <c r="AF760" s="71"/>
      <c r="AG760" s="71"/>
      <c r="AH760" s="71"/>
      <c r="AI760" s="71"/>
      <c r="AJ760" s="71"/>
      <c r="AK760" s="71"/>
      <c r="AL760" s="71"/>
      <c r="AM760" s="71"/>
      <c r="AN760" s="68"/>
      <c r="AO760" s="68"/>
      <c r="AP760" s="70"/>
      <c r="AQ760" s="71"/>
      <c r="AR760" s="77"/>
      <c r="AS760" s="70"/>
      <c r="AT760" s="68"/>
      <c r="AU760" s="70"/>
      <c r="AV760" s="70"/>
      <c r="AW760" s="71"/>
      <c r="AX760" s="71"/>
      <c r="AY760" s="70"/>
      <c r="AZ760" s="76"/>
      <c r="BA760" s="76"/>
      <c r="BB760" s="76"/>
      <c r="BC760" s="78"/>
    </row>
    <row r="761" spans="1:55" x14ac:dyDescent="0.25">
      <c r="A761" s="68"/>
      <c r="B761" s="68"/>
      <c r="C761" s="68"/>
      <c r="D761" s="70"/>
      <c r="E761" s="70"/>
      <c r="F761" s="70"/>
      <c r="G761" s="72"/>
      <c r="H761" s="74"/>
      <c r="I761" s="74"/>
      <c r="J761" s="75"/>
      <c r="K761" s="81"/>
      <c r="L761" s="76"/>
      <c r="M761" s="76"/>
      <c r="N761" s="76"/>
      <c r="O761" s="71"/>
      <c r="P761" s="70"/>
      <c r="Q761" s="71"/>
      <c r="R761" s="71"/>
      <c r="S761" s="70"/>
      <c r="T761" s="71"/>
      <c r="U761" s="71"/>
      <c r="V761" s="75"/>
      <c r="W761" s="69"/>
      <c r="X761" s="69"/>
      <c r="Y761" s="69"/>
      <c r="Z761" s="69"/>
      <c r="AA761" s="69"/>
      <c r="AB761" s="69"/>
      <c r="AC761" s="69"/>
      <c r="AD761" s="69"/>
      <c r="AE761" s="76"/>
      <c r="AF761" s="71"/>
      <c r="AG761" s="71"/>
      <c r="AH761" s="71"/>
      <c r="AI761" s="71"/>
      <c r="AJ761" s="71"/>
      <c r="AK761" s="71"/>
      <c r="AL761" s="71"/>
      <c r="AM761" s="71"/>
      <c r="AN761" s="68"/>
      <c r="AO761" s="68"/>
      <c r="AP761" s="70"/>
      <c r="AQ761" s="71"/>
      <c r="AR761" s="77"/>
      <c r="AS761" s="70"/>
      <c r="AT761" s="68"/>
      <c r="AU761" s="70"/>
      <c r="AV761" s="70"/>
      <c r="AW761" s="71"/>
      <c r="AX761" s="71"/>
      <c r="AY761" s="70"/>
      <c r="AZ761" s="76"/>
      <c r="BA761" s="76"/>
      <c r="BB761" s="76"/>
      <c r="BC761" s="78"/>
    </row>
    <row r="762" spans="1:55" x14ac:dyDescent="0.25">
      <c r="A762" s="68"/>
      <c r="B762" s="68"/>
      <c r="C762" s="68"/>
      <c r="D762" s="70"/>
      <c r="E762" s="70"/>
      <c r="F762" s="70"/>
      <c r="G762" s="72"/>
      <c r="H762" s="74"/>
      <c r="I762" s="74"/>
      <c r="J762" s="75"/>
      <c r="K762" s="81"/>
      <c r="L762" s="76"/>
      <c r="M762" s="76"/>
      <c r="N762" s="76"/>
      <c r="O762" s="71"/>
      <c r="P762" s="70"/>
      <c r="Q762" s="71"/>
      <c r="R762" s="71"/>
      <c r="S762" s="70"/>
      <c r="T762" s="71"/>
      <c r="U762" s="71"/>
      <c r="V762" s="75"/>
      <c r="W762" s="69"/>
      <c r="X762" s="69"/>
      <c r="Y762" s="69"/>
      <c r="Z762" s="69"/>
      <c r="AA762" s="69"/>
      <c r="AB762" s="69"/>
      <c r="AC762" s="69"/>
      <c r="AD762" s="69"/>
      <c r="AE762" s="76"/>
      <c r="AF762" s="71"/>
      <c r="AG762" s="71"/>
      <c r="AH762" s="71"/>
      <c r="AI762" s="71"/>
      <c r="AJ762" s="71"/>
      <c r="AK762" s="71"/>
      <c r="AL762" s="71"/>
      <c r="AM762" s="71"/>
      <c r="AN762" s="68"/>
      <c r="AO762" s="68"/>
      <c r="AP762" s="70"/>
      <c r="AQ762" s="71"/>
      <c r="AR762" s="77"/>
      <c r="AS762" s="70"/>
      <c r="AT762" s="68"/>
      <c r="AU762" s="70"/>
      <c r="AV762" s="70"/>
      <c r="AW762" s="71"/>
      <c r="AX762" s="71"/>
      <c r="AY762" s="70"/>
      <c r="AZ762" s="76"/>
      <c r="BA762" s="76"/>
      <c r="BB762" s="76"/>
      <c r="BC762" s="78"/>
    </row>
    <row r="763" spans="1:55" x14ac:dyDescent="0.25">
      <c r="A763" s="68"/>
      <c r="B763" s="68"/>
      <c r="C763" s="68"/>
      <c r="D763" s="70"/>
      <c r="E763" s="70"/>
      <c r="F763" s="70"/>
      <c r="G763" s="72"/>
      <c r="H763" s="74"/>
      <c r="I763" s="74"/>
      <c r="J763" s="75"/>
      <c r="K763" s="81"/>
      <c r="L763" s="76"/>
      <c r="M763" s="76"/>
      <c r="N763" s="76"/>
      <c r="O763" s="71"/>
      <c r="P763" s="70"/>
      <c r="Q763" s="71"/>
      <c r="R763" s="71"/>
      <c r="S763" s="70"/>
      <c r="T763" s="71"/>
      <c r="U763" s="71"/>
      <c r="V763" s="75"/>
      <c r="W763" s="69"/>
      <c r="X763" s="69"/>
      <c r="Y763" s="69"/>
      <c r="Z763" s="69"/>
      <c r="AA763" s="69"/>
      <c r="AB763" s="69"/>
      <c r="AC763" s="69"/>
      <c r="AD763" s="69"/>
      <c r="AE763" s="76"/>
      <c r="AF763" s="71"/>
      <c r="AG763" s="71"/>
      <c r="AH763" s="71"/>
      <c r="AI763" s="71"/>
      <c r="AJ763" s="71"/>
      <c r="AK763" s="71"/>
      <c r="AL763" s="71"/>
      <c r="AM763" s="71"/>
      <c r="AN763" s="68"/>
      <c r="AO763" s="68"/>
      <c r="AP763" s="70"/>
      <c r="AQ763" s="71"/>
      <c r="AR763" s="77"/>
      <c r="AS763" s="70"/>
      <c r="AT763" s="68"/>
      <c r="AU763" s="70"/>
      <c r="AV763" s="70"/>
      <c r="AW763" s="71"/>
      <c r="AX763" s="71"/>
      <c r="AY763" s="70"/>
      <c r="AZ763" s="76"/>
      <c r="BA763" s="76"/>
      <c r="BB763" s="76"/>
      <c r="BC763" s="78"/>
    </row>
    <row r="764" spans="1:55" x14ac:dyDescent="0.25">
      <c r="A764" s="68"/>
      <c r="B764" s="68"/>
      <c r="C764" s="68"/>
      <c r="D764" s="70"/>
      <c r="E764" s="70"/>
      <c r="F764" s="70"/>
      <c r="G764" s="72"/>
      <c r="H764" s="74"/>
      <c r="I764" s="74"/>
      <c r="J764" s="75"/>
      <c r="K764" s="81"/>
      <c r="L764" s="76"/>
      <c r="M764" s="76"/>
      <c r="N764" s="76"/>
      <c r="O764" s="71"/>
      <c r="P764" s="70"/>
      <c r="Q764" s="71"/>
      <c r="R764" s="71"/>
      <c r="S764" s="70"/>
      <c r="T764" s="71"/>
      <c r="U764" s="71"/>
      <c r="V764" s="75"/>
      <c r="W764" s="69"/>
      <c r="X764" s="69"/>
      <c r="Y764" s="69"/>
      <c r="Z764" s="69"/>
      <c r="AA764" s="69"/>
      <c r="AB764" s="69"/>
      <c r="AC764" s="69"/>
      <c r="AD764" s="69"/>
      <c r="AE764" s="76"/>
      <c r="AF764" s="71"/>
      <c r="AG764" s="71"/>
      <c r="AH764" s="71"/>
      <c r="AI764" s="71"/>
      <c r="AJ764" s="71"/>
      <c r="AK764" s="71"/>
      <c r="AL764" s="71"/>
      <c r="AM764" s="71"/>
      <c r="AN764" s="68"/>
      <c r="AO764" s="68"/>
      <c r="AP764" s="70"/>
      <c r="AQ764" s="71"/>
      <c r="AR764" s="77"/>
      <c r="AS764" s="70"/>
      <c r="AT764" s="68"/>
      <c r="AU764" s="70"/>
      <c r="AV764" s="70"/>
      <c r="AW764" s="71"/>
      <c r="AX764" s="71"/>
      <c r="AY764" s="70"/>
      <c r="AZ764" s="76"/>
      <c r="BA764" s="76"/>
      <c r="BB764" s="76"/>
      <c r="BC764" s="78"/>
    </row>
    <row r="765" spans="1:55" x14ac:dyDescent="0.25">
      <c r="A765" s="68"/>
      <c r="B765" s="68"/>
      <c r="C765" s="68"/>
      <c r="D765" s="70"/>
      <c r="E765" s="70"/>
      <c r="F765" s="70"/>
      <c r="G765" s="72"/>
      <c r="H765" s="74"/>
      <c r="I765" s="74"/>
      <c r="J765" s="75"/>
      <c r="K765" s="81"/>
      <c r="L765" s="76"/>
      <c r="M765" s="76"/>
      <c r="N765" s="76"/>
      <c r="O765" s="71"/>
      <c r="P765" s="70"/>
      <c r="Q765" s="71"/>
      <c r="R765" s="71"/>
      <c r="S765" s="70"/>
      <c r="T765" s="71"/>
      <c r="U765" s="71"/>
      <c r="V765" s="75"/>
      <c r="W765" s="69"/>
      <c r="X765" s="69"/>
      <c r="Y765" s="69"/>
      <c r="Z765" s="69"/>
      <c r="AA765" s="69"/>
      <c r="AB765" s="69"/>
      <c r="AC765" s="69"/>
      <c r="AD765" s="69"/>
      <c r="AE765" s="76"/>
      <c r="AF765" s="71"/>
      <c r="AG765" s="71"/>
      <c r="AH765" s="71"/>
      <c r="AI765" s="71"/>
      <c r="AJ765" s="71"/>
      <c r="AK765" s="71"/>
      <c r="AL765" s="71"/>
      <c r="AM765" s="71"/>
      <c r="AN765" s="68"/>
      <c r="AO765" s="68"/>
      <c r="AP765" s="70"/>
      <c r="AQ765" s="71"/>
      <c r="AR765" s="77"/>
      <c r="AS765" s="70"/>
      <c r="AT765" s="68"/>
      <c r="AU765" s="70"/>
      <c r="AV765" s="70"/>
      <c r="AW765" s="71"/>
      <c r="AX765" s="71"/>
      <c r="AY765" s="70"/>
      <c r="AZ765" s="76"/>
      <c r="BA765" s="76"/>
      <c r="BB765" s="76"/>
      <c r="BC765" s="78"/>
    </row>
    <row r="766" spans="1:55" x14ac:dyDescent="0.25">
      <c r="A766" s="68"/>
      <c r="B766" s="68"/>
      <c r="C766" s="68"/>
      <c r="D766" s="70"/>
      <c r="E766" s="70"/>
      <c r="F766" s="70"/>
      <c r="G766" s="72"/>
      <c r="H766" s="74"/>
      <c r="I766" s="74"/>
      <c r="J766" s="75"/>
      <c r="K766" s="81"/>
      <c r="L766" s="76"/>
      <c r="M766" s="76"/>
      <c r="N766" s="76"/>
      <c r="O766" s="71"/>
      <c r="P766" s="70"/>
      <c r="Q766" s="71"/>
      <c r="R766" s="71"/>
      <c r="S766" s="70"/>
      <c r="T766" s="71"/>
      <c r="U766" s="71"/>
      <c r="V766" s="75"/>
      <c r="W766" s="69"/>
      <c r="X766" s="69"/>
      <c r="Y766" s="69"/>
      <c r="Z766" s="69"/>
      <c r="AA766" s="69"/>
      <c r="AB766" s="69"/>
      <c r="AC766" s="69"/>
      <c r="AD766" s="69"/>
      <c r="AE766" s="76"/>
      <c r="AF766" s="71"/>
      <c r="AG766" s="71"/>
      <c r="AH766" s="71"/>
      <c r="AI766" s="71"/>
      <c r="AJ766" s="71"/>
      <c r="AK766" s="71"/>
      <c r="AL766" s="71"/>
      <c r="AM766" s="71"/>
      <c r="AN766" s="68"/>
      <c r="AO766" s="68"/>
      <c r="AP766" s="70"/>
      <c r="AQ766" s="71"/>
      <c r="AR766" s="77"/>
      <c r="AS766" s="70"/>
      <c r="AT766" s="68"/>
      <c r="AU766" s="70"/>
      <c r="AV766" s="70"/>
      <c r="AW766" s="71"/>
      <c r="AX766" s="71"/>
      <c r="AY766" s="70"/>
      <c r="AZ766" s="76"/>
      <c r="BA766" s="76"/>
      <c r="BB766" s="76"/>
      <c r="BC766" s="78"/>
    </row>
    <row r="767" spans="1:55" x14ac:dyDescent="0.25">
      <c r="A767" s="68"/>
      <c r="B767" s="68"/>
      <c r="C767" s="68"/>
      <c r="D767" s="70"/>
      <c r="E767" s="70"/>
      <c r="F767" s="70"/>
      <c r="G767" s="72"/>
      <c r="H767" s="74"/>
      <c r="I767" s="74"/>
      <c r="J767" s="75"/>
      <c r="K767" s="81"/>
      <c r="L767" s="76"/>
      <c r="M767" s="76"/>
      <c r="N767" s="76"/>
      <c r="O767" s="71"/>
      <c r="P767" s="70"/>
      <c r="Q767" s="71"/>
      <c r="R767" s="71"/>
      <c r="S767" s="70"/>
      <c r="T767" s="71"/>
      <c r="U767" s="71"/>
      <c r="V767" s="75"/>
      <c r="W767" s="69"/>
      <c r="X767" s="69"/>
      <c r="Y767" s="69"/>
      <c r="Z767" s="69"/>
      <c r="AA767" s="69"/>
      <c r="AB767" s="69"/>
      <c r="AC767" s="69"/>
      <c r="AD767" s="69"/>
      <c r="AE767" s="76"/>
      <c r="AF767" s="71"/>
      <c r="AG767" s="71"/>
      <c r="AH767" s="71"/>
      <c r="AI767" s="71"/>
      <c r="AJ767" s="71"/>
      <c r="AK767" s="71"/>
      <c r="AL767" s="71"/>
      <c r="AM767" s="71"/>
      <c r="AN767" s="68"/>
      <c r="AO767" s="68"/>
      <c r="AP767" s="70"/>
      <c r="AQ767" s="71"/>
      <c r="AR767" s="77"/>
      <c r="AS767" s="70"/>
      <c r="AT767" s="68"/>
      <c r="AU767" s="70"/>
      <c r="AV767" s="70"/>
      <c r="AW767" s="71"/>
      <c r="AX767" s="71"/>
      <c r="AY767" s="70"/>
      <c r="AZ767" s="76"/>
      <c r="BA767" s="76"/>
      <c r="BB767" s="76"/>
      <c r="BC767" s="78"/>
    </row>
    <row r="768" spans="1:55" x14ac:dyDescent="0.25">
      <c r="A768" s="68"/>
      <c r="B768" s="68"/>
      <c r="C768" s="68"/>
      <c r="D768" s="70"/>
      <c r="E768" s="70"/>
      <c r="F768" s="70"/>
      <c r="G768" s="72"/>
      <c r="H768" s="74"/>
      <c r="I768" s="74"/>
      <c r="J768" s="75"/>
      <c r="K768" s="81"/>
      <c r="L768" s="76"/>
      <c r="M768" s="76"/>
      <c r="N768" s="76"/>
      <c r="O768" s="71"/>
      <c r="P768" s="70"/>
      <c r="Q768" s="71"/>
      <c r="R768" s="71"/>
      <c r="S768" s="70"/>
      <c r="T768" s="71"/>
      <c r="U768" s="71"/>
      <c r="V768" s="75"/>
      <c r="W768" s="69"/>
      <c r="X768" s="69"/>
      <c r="Y768" s="69"/>
      <c r="Z768" s="69"/>
      <c r="AA768" s="69"/>
      <c r="AB768" s="69"/>
      <c r="AC768" s="69"/>
      <c r="AD768" s="69"/>
      <c r="AE768" s="76"/>
      <c r="AF768" s="71"/>
      <c r="AG768" s="71"/>
      <c r="AH768" s="71"/>
      <c r="AI768" s="71"/>
      <c r="AJ768" s="71"/>
      <c r="AK768" s="71"/>
      <c r="AL768" s="71"/>
      <c r="AM768" s="71"/>
      <c r="AN768" s="68"/>
      <c r="AO768" s="68"/>
      <c r="AP768" s="70"/>
      <c r="AQ768" s="71"/>
      <c r="AR768" s="77"/>
      <c r="AS768" s="70"/>
      <c r="AT768" s="68"/>
      <c r="AU768" s="70"/>
      <c r="AV768" s="70"/>
      <c r="AW768" s="71"/>
      <c r="AX768" s="71"/>
      <c r="AY768" s="70"/>
      <c r="AZ768" s="76"/>
      <c r="BA768" s="76"/>
      <c r="BB768" s="76"/>
      <c r="BC768" s="78"/>
    </row>
    <row r="769" spans="1:55" x14ac:dyDescent="0.25">
      <c r="A769" s="68"/>
      <c r="B769" s="68"/>
      <c r="C769" s="68"/>
      <c r="D769" s="70"/>
      <c r="E769" s="70"/>
      <c r="F769" s="70"/>
      <c r="G769" s="72"/>
      <c r="H769" s="74"/>
      <c r="I769" s="74"/>
      <c r="J769" s="75"/>
      <c r="K769" s="81"/>
      <c r="L769" s="76"/>
      <c r="M769" s="76"/>
      <c r="N769" s="76"/>
      <c r="O769" s="71"/>
      <c r="P769" s="70"/>
      <c r="Q769" s="71"/>
      <c r="R769" s="71"/>
      <c r="S769" s="70"/>
      <c r="T769" s="71"/>
      <c r="U769" s="71"/>
      <c r="V769" s="75"/>
      <c r="W769" s="69"/>
      <c r="X769" s="69"/>
      <c r="Y769" s="69"/>
      <c r="Z769" s="69"/>
      <c r="AA769" s="69"/>
      <c r="AB769" s="69"/>
      <c r="AC769" s="69"/>
      <c r="AD769" s="69"/>
      <c r="AE769" s="76"/>
      <c r="AF769" s="71"/>
      <c r="AG769" s="71"/>
      <c r="AH769" s="71"/>
      <c r="AI769" s="71"/>
      <c r="AJ769" s="71"/>
      <c r="AK769" s="71"/>
      <c r="AL769" s="71"/>
      <c r="AM769" s="71"/>
      <c r="AN769" s="68"/>
      <c r="AO769" s="68"/>
      <c r="AP769" s="70"/>
      <c r="AQ769" s="71"/>
      <c r="AR769" s="77"/>
      <c r="AS769" s="70"/>
      <c r="AT769" s="68"/>
      <c r="AU769" s="70"/>
      <c r="AV769" s="70"/>
      <c r="AW769" s="71"/>
      <c r="AX769" s="71"/>
      <c r="AY769" s="70"/>
      <c r="AZ769" s="76"/>
      <c r="BA769" s="76"/>
      <c r="BB769" s="76"/>
      <c r="BC769" s="78"/>
    </row>
    <row r="770" spans="1:55" x14ac:dyDescent="0.25">
      <c r="A770" s="68"/>
      <c r="B770" s="68"/>
      <c r="C770" s="68"/>
      <c r="D770" s="70"/>
      <c r="E770" s="70"/>
      <c r="F770" s="70"/>
      <c r="G770" s="72"/>
      <c r="H770" s="74"/>
      <c r="I770" s="74"/>
      <c r="J770" s="75"/>
      <c r="K770" s="81"/>
      <c r="L770" s="76"/>
      <c r="M770" s="76"/>
      <c r="N770" s="76"/>
      <c r="O770" s="71"/>
      <c r="P770" s="70"/>
      <c r="Q770" s="71"/>
      <c r="R770" s="71"/>
      <c r="S770" s="70"/>
      <c r="T770" s="71"/>
      <c r="U770" s="71"/>
      <c r="V770" s="75"/>
      <c r="W770" s="69"/>
      <c r="X770" s="69"/>
      <c r="Y770" s="69"/>
      <c r="Z770" s="69"/>
      <c r="AA770" s="69"/>
      <c r="AB770" s="69"/>
      <c r="AC770" s="69"/>
      <c r="AD770" s="69"/>
      <c r="AE770" s="76"/>
      <c r="AF770" s="71"/>
      <c r="AG770" s="71"/>
      <c r="AH770" s="71"/>
      <c r="AI770" s="71"/>
      <c r="AJ770" s="71"/>
      <c r="AK770" s="71"/>
      <c r="AL770" s="71"/>
      <c r="AM770" s="71"/>
      <c r="AN770" s="68"/>
      <c r="AO770" s="68"/>
      <c r="AP770" s="70"/>
      <c r="AQ770" s="71"/>
      <c r="AR770" s="77"/>
      <c r="AS770" s="70"/>
      <c r="AT770" s="68"/>
      <c r="AU770" s="70"/>
      <c r="AV770" s="70"/>
      <c r="AW770" s="71"/>
      <c r="AX770" s="71"/>
      <c r="AY770" s="70"/>
      <c r="AZ770" s="76"/>
      <c r="BA770" s="76"/>
      <c r="BB770" s="76"/>
      <c r="BC770" s="78"/>
    </row>
    <row r="771" spans="1:55" x14ac:dyDescent="0.25">
      <c r="A771" s="68"/>
      <c r="B771" s="68"/>
      <c r="C771" s="68"/>
      <c r="D771" s="70"/>
      <c r="E771" s="70"/>
      <c r="F771" s="70"/>
      <c r="G771" s="72"/>
      <c r="H771" s="74"/>
      <c r="I771" s="74"/>
      <c r="J771" s="75"/>
      <c r="K771" s="81"/>
      <c r="L771" s="76"/>
      <c r="M771" s="76"/>
      <c r="N771" s="76"/>
      <c r="O771" s="71"/>
      <c r="P771" s="70"/>
      <c r="Q771" s="71"/>
      <c r="R771" s="71"/>
      <c r="S771" s="70"/>
      <c r="T771" s="71"/>
      <c r="U771" s="71"/>
      <c r="V771" s="75"/>
      <c r="W771" s="69"/>
      <c r="X771" s="69"/>
      <c r="Y771" s="69"/>
      <c r="Z771" s="69"/>
      <c r="AA771" s="69"/>
      <c r="AB771" s="69"/>
      <c r="AC771" s="69"/>
      <c r="AD771" s="69"/>
      <c r="AE771" s="76"/>
      <c r="AF771" s="71"/>
      <c r="AG771" s="71"/>
      <c r="AH771" s="71"/>
      <c r="AI771" s="71"/>
      <c r="AJ771" s="71"/>
      <c r="AK771" s="71"/>
      <c r="AL771" s="71"/>
      <c r="AM771" s="71"/>
      <c r="AN771" s="68"/>
      <c r="AO771" s="68"/>
      <c r="AP771" s="70"/>
      <c r="AQ771" s="71"/>
      <c r="AR771" s="77"/>
      <c r="AS771" s="70"/>
      <c r="AT771" s="68"/>
      <c r="AU771" s="70"/>
      <c r="AV771" s="70"/>
      <c r="AW771" s="71"/>
      <c r="AX771" s="71"/>
      <c r="AY771" s="70"/>
      <c r="AZ771" s="76"/>
      <c r="BA771" s="76"/>
      <c r="BB771" s="76"/>
      <c r="BC771" s="78"/>
    </row>
    <row r="772" spans="1:55" x14ac:dyDescent="0.25">
      <c r="A772" s="68"/>
      <c r="B772" s="68"/>
      <c r="C772" s="68"/>
      <c r="D772" s="70"/>
      <c r="E772" s="70"/>
      <c r="F772" s="70"/>
      <c r="G772" s="72"/>
      <c r="H772" s="74"/>
      <c r="I772" s="74"/>
      <c r="J772" s="75"/>
      <c r="K772" s="81"/>
      <c r="L772" s="76"/>
      <c r="M772" s="76"/>
      <c r="N772" s="76"/>
      <c r="O772" s="71"/>
      <c r="P772" s="70"/>
      <c r="Q772" s="71"/>
      <c r="R772" s="71"/>
      <c r="S772" s="70"/>
      <c r="T772" s="71"/>
      <c r="U772" s="71"/>
      <c r="V772" s="75"/>
      <c r="W772" s="69"/>
      <c r="X772" s="69"/>
      <c r="Y772" s="69"/>
      <c r="Z772" s="69"/>
      <c r="AA772" s="69"/>
      <c r="AB772" s="69"/>
      <c r="AC772" s="69"/>
      <c r="AD772" s="69"/>
      <c r="AE772" s="76"/>
      <c r="AF772" s="71"/>
      <c r="AG772" s="71"/>
      <c r="AH772" s="71"/>
      <c r="AI772" s="71"/>
      <c r="AJ772" s="71"/>
      <c r="AK772" s="71"/>
      <c r="AL772" s="71"/>
      <c r="AM772" s="71"/>
      <c r="AN772" s="68"/>
      <c r="AO772" s="68"/>
      <c r="AP772" s="70"/>
      <c r="AQ772" s="71"/>
      <c r="AR772" s="77"/>
      <c r="AS772" s="70"/>
      <c r="AT772" s="68"/>
      <c r="AU772" s="70"/>
      <c r="AV772" s="70"/>
      <c r="AW772" s="71"/>
      <c r="AX772" s="71"/>
      <c r="AY772" s="70"/>
      <c r="AZ772" s="76"/>
      <c r="BA772" s="76"/>
      <c r="BB772" s="76"/>
      <c r="BC772" s="78"/>
    </row>
    <row r="773" spans="1:55" x14ac:dyDescent="0.25">
      <c r="A773" s="68"/>
      <c r="B773" s="68"/>
      <c r="C773" s="68"/>
      <c r="D773" s="70"/>
      <c r="E773" s="70"/>
      <c r="F773" s="70"/>
      <c r="G773" s="72"/>
      <c r="H773" s="74"/>
      <c r="I773" s="74"/>
      <c r="J773" s="75"/>
      <c r="K773" s="81"/>
      <c r="L773" s="76"/>
      <c r="M773" s="76"/>
      <c r="N773" s="76"/>
      <c r="O773" s="71"/>
      <c r="P773" s="70"/>
      <c r="Q773" s="71"/>
      <c r="R773" s="71"/>
      <c r="S773" s="70"/>
      <c r="T773" s="71"/>
      <c r="U773" s="71"/>
      <c r="V773" s="75"/>
      <c r="W773" s="69"/>
      <c r="X773" s="69"/>
      <c r="Y773" s="69"/>
      <c r="Z773" s="69"/>
      <c r="AA773" s="69"/>
      <c r="AB773" s="69"/>
      <c r="AC773" s="69"/>
      <c r="AD773" s="69"/>
      <c r="AE773" s="76"/>
      <c r="AF773" s="71"/>
      <c r="AG773" s="71"/>
      <c r="AH773" s="71"/>
      <c r="AI773" s="71"/>
      <c r="AJ773" s="71"/>
      <c r="AK773" s="71"/>
      <c r="AL773" s="71"/>
      <c r="AM773" s="71"/>
      <c r="AN773" s="68"/>
      <c r="AO773" s="68"/>
      <c r="AP773" s="70"/>
      <c r="AQ773" s="71"/>
      <c r="AR773" s="77"/>
      <c r="AS773" s="70"/>
      <c r="AT773" s="68"/>
      <c r="AU773" s="70"/>
      <c r="AV773" s="70"/>
      <c r="AW773" s="71"/>
      <c r="AX773" s="71"/>
      <c r="AY773" s="70"/>
      <c r="AZ773" s="76"/>
      <c r="BA773" s="76"/>
      <c r="BB773" s="76"/>
      <c r="BC773" s="78"/>
    </row>
    <row r="774" spans="1:55" x14ac:dyDescent="0.25">
      <c r="A774" s="68"/>
      <c r="B774" s="68"/>
      <c r="C774" s="68"/>
      <c r="D774" s="70"/>
      <c r="E774" s="70"/>
      <c r="F774" s="70"/>
      <c r="G774" s="72"/>
      <c r="H774" s="74"/>
      <c r="I774" s="74"/>
      <c r="J774" s="75"/>
      <c r="K774" s="81"/>
      <c r="L774" s="76"/>
      <c r="M774" s="76"/>
      <c r="N774" s="76"/>
      <c r="O774" s="71"/>
      <c r="P774" s="70"/>
      <c r="Q774" s="71"/>
      <c r="R774" s="71"/>
      <c r="S774" s="70"/>
      <c r="T774" s="71"/>
      <c r="U774" s="71"/>
      <c r="V774" s="75"/>
      <c r="W774" s="69"/>
      <c r="X774" s="69"/>
      <c r="Y774" s="69"/>
      <c r="Z774" s="69"/>
      <c r="AA774" s="69"/>
      <c r="AB774" s="69"/>
      <c r="AC774" s="69"/>
      <c r="AD774" s="69"/>
      <c r="AE774" s="76"/>
      <c r="AF774" s="71"/>
      <c r="AG774" s="71"/>
      <c r="AH774" s="71"/>
      <c r="AI774" s="71"/>
      <c r="AJ774" s="71"/>
      <c r="AK774" s="71"/>
      <c r="AL774" s="71"/>
      <c r="AM774" s="71"/>
      <c r="AN774" s="68"/>
      <c r="AO774" s="68"/>
      <c r="AP774" s="70"/>
      <c r="AQ774" s="71"/>
      <c r="AR774" s="77"/>
      <c r="AS774" s="70"/>
      <c r="AT774" s="68"/>
      <c r="AU774" s="70"/>
      <c r="AV774" s="70"/>
      <c r="AW774" s="71"/>
      <c r="AX774" s="71"/>
      <c r="AY774" s="70"/>
      <c r="AZ774" s="76"/>
      <c r="BA774" s="76"/>
      <c r="BB774" s="76"/>
      <c r="BC774" s="78"/>
    </row>
    <row r="775" spans="1:55" x14ac:dyDescent="0.25">
      <c r="A775" s="68"/>
      <c r="B775" s="68"/>
      <c r="C775" s="68"/>
      <c r="D775" s="70"/>
      <c r="E775" s="70"/>
      <c r="F775" s="70"/>
      <c r="G775" s="72"/>
      <c r="H775" s="74"/>
      <c r="I775" s="74"/>
      <c r="J775" s="75"/>
      <c r="K775" s="81"/>
      <c r="L775" s="76"/>
      <c r="M775" s="76"/>
      <c r="N775" s="76"/>
      <c r="O775" s="71"/>
      <c r="P775" s="70"/>
      <c r="Q775" s="71"/>
      <c r="R775" s="71"/>
      <c r="S775" s="70"/>
      <c r="T775" s="71"/>
      <c r="U775" s="71"/>
      <c r="V775" s="75"/>
      <c r="W775" s="69"/>
      <c r="X775" s="69"/>
      <c r="Y775" s="69"/>
      <c r="Z775" s="69"/>
      <c r="AA775" s="69"/>
      <c r="AB775" s="69"/>
      <c r="AC775" s="69"/>
      <c r="AD775" s="69"/>
      <c r="AE775" s="76"/>
      <c r="AF775" s="71"/>
      <c r="AG775" s="71"/>
      <c r="AH775" s="71"/>
      <c r="AI775" s="71"/>
      <c r="AJ775" s="71"/>
      <c r="AK775" s="71"/>
      <c r="AL775" s="71"/>
      <c r="AM775" s="71"/>
      <c r="AN775" s="68"/>
      <c r="AO775" s="68"/>
      <c r="AP775" s="70"/>
      <c r="AQ775" s="71"/>
      <c r="AR775" s="77"/>
      <c r="AS775" s="70"/>
      <c r="AT775" s="68"/>
      <c r="AU775" s="70"/>
      <c r="AV775" s="70"/>
      <c r="AW775" s="71"/>
      <c r="AX775" s="71"/>
      <c r="AY775" s="70"/>
      <c r="AZ775" s="76"/>
      <c r="BA775" s="76"/>
      <c r="BB775" s="76"/>
      <c r="BC775" s="78"/>
    </row>
    <row r="776" spans="1:55" x14ac:dyDescent="0.25">
      <c r="A776" s="68"/>
      <c r="B776" s="68"/>
      <c r="C776" s="68"/>
      <c r="D776" s="70"/>
      <c r="E776" s="70"/>
      <c r="F776" s="70"/>
      <c r="G776" s="72"/>
      <c r="H776" s="74"/>
      <c r="I776" s="74"/>
      <c r="J776" s="75"/>
      <c r="K776" s="81"/>
      <c r="L776" s="76"/>
      <c r="M776" s="76"/>
      <c r="N776" s="76"/>
      <c r="O776" s="71"/>
      <c r="P776" s="70"/>
      <c r="Q776" s="71"/>
      <c r="R776" s="71"/>
      <c r="S776" s="70"/>
      <c r="T776" s="71"/>
      <c r="U776" s="71"/>
      <c r="V776" s="75"/>
      <c r="W776" s="69"/>
      <c r="X776" s="69"/>
      <c r="Y776" s="69"/>
      <c r="Z776" s="69"/>
      <c r="AA776" s="69"/>
      <c r="AB776" s="69"/>
      <c r="AC776" s="69"/>
      <c r="AD776" s="69"/>
      <c r="AE776" s="76"/>
      <c r="AF776" s="71"/>
      <c r="AG776" s="71"/>
      <c r="AH776" s="71"/>
      <c r="AI776" s="71"/>
      <c r="AJ776" s="71"/>
      <c r="AK776" s="71"/>
      <c r="AL776" s="71"/>
      <c r="AM776" s="71"/>
      <c r="AN776" s="68"/>
      <c r="AO776" s="68"/>
      <c r="AP776" s="70"/>
      <c r="AQ776" s="71"/>
      <c r="AR776" s="77"/>
      <c r="AS776" s="70"/>
      <c r="AT776" s="68"/>
      <c r="AU776" s="70"/>
      <c r="AV776" s="70"/>
      <c r="AW776" s="71"/>
      <c r="AX776" s="71"/>
      <c r="AY776" s="70"/>
      <c r="AZ776" s="76"/>
      <c r="BA776" s="76"/>
      <c r="BB776" s="76"/>
      <c r="BC776" s="78"/>
    </row>
    <row r="777" spans="1:55" x14ac:dyDescent="0.25">
      <c r="A777" s="68"/>
      <c r="B777" s="68"/>
      <c r="C777" s="68"/>
      <c r="D777" s="70"/>
      <c r="E777" s="70"/>
      <c r="F777" s="70"/>
      <c r="G777" s="72"/>
      <c r="H777" s="74"/>
      <c r="I777" s="74"/>
      <c r="J777" s="75"/>
      <c r="K777" s="81"/>
      <c r="L777" s="76"/>
      <c r="M777" s="76"/>
      <c r="N777" s="76"/>
      <c r="O777" s="71"/>
      <c r="P777" s="70"/>
      <c r="Q777" s="71"/>
      <c r="R777" s="71"/>
      <c r="S777" s="70"/>
      <c r="T777" s="71"/>
      <c r="U777" s="71"/>
      <c r="V777" s="75"/>
      <c r="W777" s="69"/>
      <c r="X777" s="69"/>
      <c r="Y777" s="69"/>
      <c r="Z777" s="69"/>
      <c r="AA777" s="69"/>
      <c r="AB777" s="69"/>
      <c r="AC777" s="69"/>
      <c r="AD777" s="69"/>
      <c r="AE777" s="76"/>
      <c r="AF777" s="71"/>
      <c r="AG777" s="71"/>
      <c r="AH777" s="71"/>
      <c r="AI777" s="71"/>
      <c r="AJ777" s="71"/>
      <c r="AK777" s="71"/>
      <c r="AL777" s="71"/>
      <c r="AM777" s="71"/>
      <c r="AN777" s="68"/>
      <c r="AO777" s="68"/>
      <c r="AP777" s="70"/>
      <c r="AQ777" s="71"/>
      <c r="AR777" s="77"/>
      <c r="AS777" s="70"/>
      <c r="AT777" s="68"/>
      <c r="AU777" s="70"/>
      <c r="AV777" s="70"/>
      <c r="AW777" s="71"/>
      <c r="AX777" s="71"/>
      <c r="AY777" s="70"/>
      <c r="AZ777" s="76"/>
      <c r="BA777" s="76"/>
      <c r="BB777" s="76"/>
      <c r="BC777" s="78"/>
    </row>
    <row r="778" spans="1:55" x14ac:dyDescent="0.25">
      <c r="A778" s="68"/>
      <c r="B778" s="68"/>
      <c r="C778" s="68"/>
      <c r="D778" s="70"/>
      <c r="E778" s="70"/>
      <c r="F778" s="70"/>
      <c r="G778" s="72"/>
      <c r="H778" s="74"/>
      <c r="I778" s="74"/>
      <c r="J778" s="75"/>
      <c r="K778" s="81"/>
      <c r="L778" s="76"/>
      <c r="M778" s="76"/>
      <c r="N778" s="76"/>
      <c r="O778" s="71"/>
      <c r="P778" s="70"/>
      <c r="Q778" s="71"/>
      <c r="R778" s="71"/>
      <c r="S778" s="70"/>
      <c r="T778" s="71"/>
      <c r="U778" s="71"/>
      <c r="V778" s="75"/>
      <c r="W778" s="69"/>
      <c r="X778" s="69"/>
      <c r="Y778" s="69"/>
      <c r="Z778" s="69"/>
      <c r="AA778" s="69"/>
      <c r="AB778" s="69"/>
      <c r="AC778" s="69"/>
      <c r="AD778" s="69"/>
      <c r="AE778" s="76"/>
      <c r="AF778" s="71"/>
      <c r="AG778" s="71"/>
      <c r="AH778" s="71"/>
      <c r="AI778" s="71"/>
      <c r="AJ778" s="71"/>
      <c r="AK778" s="71"/>
      <c r="AL778" s="71"/>
      <c r="AM778" s="71"/>
      <c r="AN778" s="68"/>
      <c r="AO778" s="68"/>
      <c r="AP778" s="70"/>
      <c r="AQ778" s="71"/>
      <c r="AR778" s="77"/>
      <c r="AS778" s="70"/>
      <c r="AT778" s="68"/>
      <c r="AU778" s="70"/>
      <c r="AV778" s="70"/>
      <c r="AW778" s="71"/>
      <c r="AX778" s="71"/>
      <c r="AY778" s="70"/>
      <c r="AZ778" s="76"/>
      <c r="BA778" s="76"/>
      <c r="BB778" s="76"/>
      <c r="BC778" s="78"/>
    </row>
    <row r="779" spans="1:55" x14ac:dyDescent="0.25">
      <c r="A779" s="68"/>
      <c r="B779" s="68"/>
      <c r="C779" s="68"/>
      <c r="D779" s="70"/>
      <c r="E779" s="70"/>
      <c r="F779" s="70"/>
      <c r="G779" s="72"/>
      <c r="H779" s="74"/>
      <c r="I779" s="74"/>
      <c r="J779" s="75"/>
      <c r="K779" s="81"/>
      <c r="L779" s="76"/>
      <c r="M779" s="76"/>
      <c r="N779" s="76"/>
      <c r="O779" s="71"/>
      <c r="P779" s="70"/>
      <c r="Q779" s="71"/>
      <c r="R779" s="71"/>
      <c r="S779" s="70"/>
      <c r="T779" s="71"/>
      <c r="U779" s="71"/>
      <c r="V779" s="75"/>
      <c r="W779" s="69"/>
      <c r="X779" s="69"/>
      <c r="Y779" s="69"/>
      <c r="Z779" s="69"/>
      <c r="AA779" s="69"/>
      <c r="AB779" s="69"/>
      <c r="AC779" s="69"/>
      <c r="AD779" s="69"/>
      <c r="AE779" s="76"/>
      <c r="AF779" s="71"/>
      <c r="AG779" s="71"/>
      <c r="AH779" s="71"/>
      <c r="AI779" s="71"/>
      <c r="AJ779" s="71"/>
      <c r="AK779" s="71"/>
      <c r="AL779" s="71"/>
      <c r="AM779" s="71"/>
      <c r="AN779" s="68"/>
      <c r="AO779" s="68"/>
      <c r="AP779" s="70"/>
      <c r="AQ779" s="71"/>
      <c r="AR779" s="77"/>
      <c r="AS779" s="70"/>
      <c r="AT779" s="68"/>
      <c r="AU779" s="70"/>
      <c r="AV779" s="70"/>
      <c r="AW779" s="71"/>
      <c r="AX779" s="71"/>
      <c r="AY779" s="70"/>
      <c r="AZ779" s="76"/>
      <c r="BA779" s="76"/>
      <c r="BB779" s="76"/>
      <c r="BC779" s="78"/>
    </row>
    <row r="780" spans="1:55" x14ac:dyDescent="0.25">
      <c r="A780" s="68"/>
      <c r="B780" s="68"/>
      <c r="C780" s="68"/>
      <c r="D780" s="70"/>
      <c r="E780" s="70"/>
      <c r="F780" s="70"/>
      <c r="G780" s="72"/>
      <c r="H780" s="74"/>
      <c r="I780" s="74"/>
      <c r="J780" s="75"/>
      <c r="K780" s="81"/>
      <c r="L780" s="76"/>
      <c r="M780" s="76"/>
      <c r="N780" s="76"/>
      <c r="O780" s="71"/>
      <c r="P780" s="70"/>
      <c r="Q780" s="71"/>
      <c r="R780" s="71"/>
      <c r="S780" s="70"/>
      <c r="T780" s="71"/>
      <c r="U780" s="71"/>
      <c r="V780" s="75"/>
      <c r="W780" s="69"/>
      <c r="X780" s="69"/>
      <c r="Y780" s="69"/>
      <c r="Z780" s="69"/>
      <c r="AA780" s="69"/>
      <c r="AB780" s="69"/>
      <c r="AC780" s="69"/>
      <c r="AD780" s="69"/>
      <c r="AE780" s="76"/>
      <c r="AF780" s="71"/>
      <c r="AG780" s="71"/>
      <c r="AH780" s="71"/>
      <c r="AI780" s="71"/>
      <c r="AJ780" s="71"/>
      <c r="AK780" s="71"/>
      <c r="AL780" s="71"/>
      <c r="AM780" s="71"/>
      <c r="AN780" s="68"/>
      <c r="AO780" s="68"/>
      <c r="AP780" s="70"/>
      <c r="AQ780" s="71"/>
      <c r="AR780" s="77"/>
      <c r="AS780" s="70"/>
      <c r="AT780" s="68"/>
      <c r="AU780" s="70"/>
      <c r="AV780" s="70"/>
      <c r="AW780" s="71"/>
      <c r="AX780" s="71"/>
      <c r="AY780" s="70"/>
      <c r="AZ780" s="76"/>
      <c r="BA780" s="76"/>
      <c r="BB780" s="76"/>
      <c r="BC780" s="78"/>
    </row>
    <row r="781" spans="1:55" x14ac:dyDescent="0.25">
      <c r="A781" s="68"/>
      <c r="B781" s="68"/>
      <c r="C781" s="68"/>
      <c r="D781" s="70"/>
      <c r="E781" s="70"/>
      <c r="F781" s="70"/>
      <c r="G781" s="72"/>
      <c r="H781" s="74"/>
      <c r="I781" s="74"/>
      <c r="J781" s="75"/>
      <c r="K781" s="81"/>
      <c r="L781" s="76"/>
      <c r="M781" s="76"/>
      <c r="N781" s="76"/>
      <c r="O781" s="71"/>
      <c r="P781" s="70"/>
      <c r="Q781" s="71"/>
      <c r="R781" s="71"/>
      <c r="S781" s="70"/>
      <c r="T781" s="71"/>
      <c r="U781" s="71"/>
      <c r="V781" s="75"/>
      <c r="W781" s="69"/>
      <c r="X781" s="69"/>
      <c r="Y781" s="69"/>
      <c r="Z781" s="69"/>
      <c r="AA781" s="69"/>
      <c r="AB781" s="69"/>
      <c r="AC781" s="69"/>
      <c r="AD781" s="69"/>
      <c r="AE781" s="76"/>
      <c r="AF781" s="71"/>
      <c r="AG781" s="71"/>
      <c r="AH781" s="71"/>
      <c r="AI781" s="71"/>
      <c r="AJ781" s="71"/>
      <c r="AK781" s="71"/>
      <c r="AL781" s="71"/>
      <c r="AM781" s="71"/>
      <c r="AN781" s="68"/>
      <c r="AO781" s="68"/>
      <c r="AP781" s="70"/>
      <c r="AQ781" s="71"/>
      <c r="AR781" s="77"/>
      <c r="AS781" s="70"/>
      <c r="AT781" s="68"/>
      <c r="AU781" s="70"/>
      <c r="AV781" s="70"/>
      <c r="AW781" s="71"/>
      <c r="AX781" s="71"/>
      <c r="AY781" s="70"/>
      <c r="AZ781" s="76"/>
      <c r="BA781" s="76"/>
      <c r="BB781" s="76"/>
      <c r="BC781" s="78"/>
    </row>
    <row r="782" spans="1:55" x14ac:dyDescent="0.25">
      <c r="A782" s="68"/>
      <c r="B782" s="68"/>
      <c r="C782" s="68"/>
      <c r="D782" s="70"/>
      <c r="E782" s="70"/>
      <c r="F782" s="70"/>
      <c r="G782" s="72"/>
      <c r="H782" s="74"/>
      <c r="I782" s="74"/>
      <c r="J782" s="75"/>
      <c r="K782" s="81"/>
      <c r="L782" s="76"/>
      <c r="M782" s="76"/>
      <c r="N782" s="76"/>
      <c r="O782" s="71"/>
      <c r="P782" s="70"/>
      <c r="Q782" s="71"/>
      <c r="R782" s="71"/>
      <c r="S782" s="70"/>
      <c r="T782" s="71"/>
      <c r="U782" s="71"/>
      <c r="V782" s="75"/>
      <c r="W782" s="69"/>
      <c r="X782" s="69"/>
      <c r="Y782" s="69"/>
      <c r="Z782" s="69"/>
      <c r="AA782" s="69"/>
      <c r="AB782" s="69"/>
      <c r="AC782" s="69"/>
      <c r="AD782" s="69"/>
      <c r="AE782" s="76"/>
      <c r="AF782" s="71"/>
      <c r="AG782" s="71"/>
      <c r="AH782" s="71"/>
      <c r="AI782" s="71"/>
      <c r="AJ782" s="71"/>
      <c r="AK782" s="71"/>
      <c r="AL782" s="71"/>
      <c r="AM782" s="71"/>
      <c r="AN782" s="68"/>
      <c r="AO782" s="68"/>
      <c r="AP782" s="70"/>
      <c r="AQ782" s="71"/>
      <c r="AR782" s="77"/>
      <c r="AS782" s="70"/>
      <c r="AT782" s="68"/>
      <c r="AU782" s="70"/>
      <c r="AV782" s="70"/>
      <c r="AW782" s="71"/>
      <c r="AX782" s="71"/>
      <c r="AY782" s="70"/>
      <c r="AZ782" s="76"/>
      <c r="BA782" s="76"/>
      <c r="BB782" s="76"/>
      <c r="BC782" s="78"/>
    </row>
    <row r="783" spans="1:55" x14ac:dyDescent="0.25">
      <c r="A783" s="68"/>
      <c r="B783" s="68"/>
      <c r="C783" s="68"/>
      <c r="D783" s="70"/>
      <c r="E783" s="70"/>
      <c r="F783" s="70"/>
      <c r="G783" s="72"/>
      <c r="H783" s="74"/>
      <c r="I783" s="74"/>
      <c r="J783" s="75"/>
      <c r="K783" s="81"/>
      <c r="L783" s="76"/>
      <c r="M783" s="76"/>
      <c r="N783" s="76"/>
      <c r="O783" s="71"/>
      <c r="P783" s="70"/>
      <c r="Q783" s="71"/>
      <c r="R783" s="71"/>
      <c r="S783" s="70"/>
      <c r="T783" s="71"/>
      <c r="U783" s="71"/>
      <c r="V783" s="75"/>
      <c r="W783" s="69"/>
      <c r="X783" s="69"/>
      <c r="Y783" s="69"/>
      <c r="Z783" s="69"/>
      <c r="AA783" s="69"/>
      <c r="AB783" s="69"/>
      <c r="AC783" s="69"/>
      <c r="AD783" s="69"/>
      <c r="AE783" s="76"/>
      <c r="AF783" s="71"/>
      <c r="AG783" s="71"/>
      <c r="AH783" s="71"/>
      <c r="AI783" s="71"/>
      <c r="AJ783" s="71"/>
      <c r="AK783" s="71"/>
      <c r="AL783" s="71"/>
      <c r="AM783" s="71"/>
      <c r="AN783" s="68"/>
      <c r="AO783" s="68"/>
      <c r="AP783" s="70"/>
      <c r="AQ783" s="71"/>
      <c r="AR783" s="77"/>
      <c r="AS783" s="70"/>
      <c r="AT783" s="68"/>
      <c r="AU783" s="70"/>
      <c r="AV783" s="70"/>
      <c r="AW783" s="71"/>
      <c r="AX783" s="71"/>
      <c r="AY783" s="70"/>
      <c r="AZ783" s="76"/>
      <c r="BA783" s="76"/>
      <c r="BB783" s="76"/>
      <c r="BC783" s="78"/>
    </row>
    <row r="784" spans="1:55" x14ac:dyDescent="0.25">
      <c r="A784" s="68"/>
      <c r="B784" s="68"/>
      <c r="C784" s="68"/>
      <c r="D784" s="70"/>
      <c r="E784" s="70"/>
      <c r="F784" s="70"/>
      <c r="G784" s="72"/>
      <c r="H784" s="74"/>
      <c r="I784" s="74"/>
      <c r="J784" s="75"/>
      <c r="K784" s="81"/>
      <c r="L784" s="76"/>
      <c r="M784" s="76"/>
      <c r="N784" s="76"/>
      <c r="O784" s="71"/>
      <c r="P784" s="70"/>
      <c r="Q784" s="71"/>
      <c r="R784" s="71"/>
      <c r="S784" s="70"/>
      <c r="T784" s="71"/>
      <c r="U784" s="71"/>
      <c r="V784" s="75"/>
      <c r="W784" s="69"/>
      <c r="X784" s="69"/>
      <c r="Y784" s="69"/>
      <c r="Z784" s="69"/>
      <c r="AA784" s="69"/>
      <c r="AB784" s="69"/>
      <c r="AC784" s="69"/>
      <c r="AD784" s="69"/>
      <c r="AE784" s="76"/>
      <c r="AF784" s="71"/>
      <c r="AG784" s="71"/>
      <c r="AH784" s="71"/>
      <c r="AI784" s="71"/>
      <c r="AJ784" s="71"/>
      <c r="AK784" s="71"/>
      <c r="AL784" s="71"/>
      <c r="AM784" s="71"/>
      <c r="AN784" s="68"/>
      <c r="AO784" s="68"/>
      <c r="AP784" s="70"/>
      <c r="AQ784" s="71"/>
      <c r="AR784" s="77"/>
      <c r="AS784" s="70"/>
      <c r="AT784" s="68"/>
      <c r="AU784" s="70"/>
      <c r="AV784" s="70"/>
      <c r="AW784" s="71"/>
      <c r="AX784" s="71"/>
      <c r="AY784" s="70"/>
      <c r="AZ784" s="76"/>
      <c r="BA784" s="76"/>
      <c r="BB784" s="76"/>
      <c r="BC784" s="78"/>
    </row>
    <row r="785" spans="1:55" x14ac:dyDescent="0.25">
      <c r="A785" s="68"/>
      <c r="B785" s="68"/>
      <c r="C785" s="68"/>
      <c r="D785" s="70"/>
      <c r="E785" s="70"/>
      <c r="F785" s="70"/>
      <c r="G785" s="72"/>
      <c r="H785" s="74"/>
      <c r="I785" s="74"/>
      <c r="J785" s="75"/>
      <c r="K785" s="81"/>
      <c r="L785" s="76"/>
      <c r="M785" s="76"/>
      <c r="N785" s="76"/>
      <c r="O785" s="71"/>
      <c r="P785" s="70"/>
      <c r="Q785" s="71"/>
      <c r="R785" s="71"/>
      <c r="S785" s="70"/>
      <c r="T785" s="71"/>
      <c r="U785" s="71"/>
      <c r="V785" s="75"/>
      <c r="W785" s="69"/>
      <c r="X785" s="69"/>
      <c r="Y785" s="69"/>
      <c r="Z785" s="69"/>
      <c r="AA785" s="69"/>
      <c r="AB785" s="69"/>
      <c r="AC785" s="69"/>
      <c r="AD785" s="69"/>
      <c r="AE785" s="76"/>
      <c r="AF785" s="71"/>
      <c r="AG785" s="71"/>
      <c r="AH785" s="71"/>
      <c r="AI785" s="71"/>
      <c r="AJ785" s="71"/>
      <c r="AK785" s="71"/>
      <c r="AL785" s="71"/>
      <c r="AM785" s="71"/>
      <c r="AN785" s="68"/>
      <c r="AO785" s="68"/>
      <c r="AP785" s="70"/>
      <c r="AQ785" s="71"/>
      <c r="AR785" s="77"/>
      <c r="AS785" s="70"/>
      <c r="AT785" s="68"/>
      <c r="AU785" s="70"/>
      <c r="AV785" s="70"/>
      <c r="AW785" s="71"/>
      <c r="AX785" s="71"/>
      <c r="AY785" s="70"/>
      <c r="AZ785" s="76"/>
      <c r="BA785" s="76"/>
      <c r="BB785" s="76"/>
      <c r="BC785" s="78"/>
    </row>
    <row r="786" spans="1:55" x14ac:dyDescent="0.25">
      <c r="A786" s="68"/>
      <c r="B786" s="68"/>
      <c r="C786" s="68"/>
      <c r="D786" s="70"/>
      <c r="E786" s="70"/>
      <c r="F786" s="70"/>
      <c r="G786" s="72"/>
      <c r="H786" s="74"/>
      <c r="I786" s="74"/>
      <c r="J786" s="75"/>
      <c r="K786" s="81"/>
      <c r="L786" s="76"/>
      <c r="M786" s="76"/>
      <c r="N786" s="76"/>
      <c r="O786" s="71"/>
      <c r="P786" s="70"/>
      <c r="Q786" s="71"/>
      <c r="R786" s="71"/>
      <c r="S786" s="70"/>
      <c r="T786" s="71"/>
      <c r="U786" s="71"/>
      <c r="V786" s="75"/>
      <c r="W786" s="69"/>
      <c r="X786" s="69"/>
      <c r="Y786" s="69"/>
      <c r="Z786" s="69"/>
      <c r="AA786" s="69"/>
      <c r="AB786" s="69"/>
      <c r="AC786" s="69"/>
      <c r="AD786" s="69"/>
      <c r="AE786" s="76"/>
      <c r="AF786" s="71"/>
      <c r="AG786" s="71"/>
      <c r="AH786" s="71"/>
      <c r="AI786" s="71"/>
      <c r="AJ786" s="71"/>
      <c r="AK786" s="71"/>
      <c r="AL786" s="71"/>
      <c r="AM786" s="71"/>
      <c r="AN786" s="68"/>
      <c r="AO786" s="68"/>
      <c r="AP786" s="70"/>
      <c r="AQ786" s="71"/>
      <c r="AR786" s="77"/>
      <c r="AS786" s="70"/>
      <c r="AT786" s="68"/>
      <c r="AU786" s="70"/>
      <c r="AV786" s="70"/>
      <c r="AW786" s="71"/>
      <c r="AX786" s="71"/>
      <c r="AY786" s="70"/>
      <c r="AZ786" s="76"/>
      <c r="BA786" s="76"/>
      <c r="BB786" s="76"/>
      <c r="BC786" s="78"/>
    </row>
    <row r="787" spans="1:55" x14ac:dyDescent="0.25">
      <c r="A787" s="68"/>
      <c r="B787" s="68"/>
      <c r="C787" s="68"/>
      <c r="D787" s="70"/>
      <c r="E787" s="70"/>
      <c r="F787" s="70"/>
      <c r="G787" s="72"/>
      <c r="H787" s="74"/>
      <c r="I787" s="74"/>
      <c r="J787" s="75"/>
      <c r="K787" s="81"/>
      <c r="L787" s="76"/>
      <c r="M787" s="76"/>
      <c r="N787" s="76"/>
      <c r="O787" s="71"/>
      <c r="P787" s="70"/>
      <c r="Q787" s="71"/>
      <c r="R787" s="71"/>
      <c r="S787" s="70"/>
      <c r="T787" s="71"/>
      <c r="U787" s="71"/>
      <c r="V787" s="75"/>
      <c r="W787" s="69"/>
      <c r="X787" s="69"/>
      <c r="Y787" s="69"/>
      <c r="Z787" s="69"/>
      <c r="AA787" s="69"/>
      <c r="AB787" s="69"/>
      <c r="AC787" s="69"/>
      <c r="AD787" s="69"/>
      <c r="AE787" s="76"/>
      <c r="AF787" s="71"/>
      <c r="AG787" s="71"/>
      <c r="AH787" s="71"/>
      <c r="AI787" s="71"/>
      <c r="AJ787" s="71"/>
      <c r="AK787" s="71"/>
      <c r="AL787" s="71"/>
      <c r="AM787" s="71"/>
      <c r="AN787" s="68"/>
      <c r="AO787" s="68"/>
      <c r="AP787" s="70"/>
      <c r="AQ787" s="71"/>
      <c r="AR787" s="77"/>
      <c r="AS787" s="70"/>
      <c r="AT787" s="68"/>
      <c r="AU787" s="70"/>
      <c r="AV787" s="70"/>
      <c r="AW787" s="71"/>
      <c r="AX787" s="71"/>
      <c r="AY787" s="70"/>
      <c r="AZ787" s="76"/>
      <c r="BA787" s="76"/>
      <c r="BB787" s="76"/>
      <c r="BC787" s="78"/>
    </row>
    <row r="788" spans="1:55" x14ac:dyDescent="0.25">
      <c r="A788" s="68"/>
      <c r="B788" s="68"/>
      <c r="C788" s="68"/>
      <c r="D788" s="70"/>
      <c r="E788" s="70"/>
      <c r="F788" s="70"/>
      <c r="G788" s="72"/>
      <c r="H788" s="74"/>
      <c r="I788" s="74"/>
      <c r="J788" s="75"/>
      <c r="K788" s="81"/>
      <c r="L788" s="76"/>
      <c r="M788" s="76"/>
      <c r="N788" s="76"/>
      <c r="O788" s="71"/>
      <c r="P788" s="70"/>
      <c r="Q788" s="71"/>
      <c r="R788" s="71"/>
      <c r="S788" s="70"/>
      <c r="T788" s="71"/>
      <c r="U788" s="71"/>
      <c r="V788" s="75"/>
      <c r="W788" s="69"/>
      <c r="X788" s="69"/>
      <c r="Y788" s="69"/>
      <c r="Z788" s="69"/>
      <c r="AA788" s="69"/>
      <c r="AB788" s="69"/>
      <c r="AC788" s="69"/>
      <c r="AD788" s="69"/>
      <c r="AE788" s="76"/>
      <c r="AF788" s="71"/>
      <c r="AG788" s="71"/>
      <c r="AH788" s="71"/>
      <c r="AI788" s="71"/>
      <c r="AJ788" s="71"/>
      <c r="AK788" s="71"/>
      <c r="AL788" s="71"/>
      <c r="AM788" s="71"/>
      <c r="AN788" s="68"/>
      <c r="AO788" s="68"/>
      <c r="AP788" s="70"/>
      <c r="AQ788" s="71"/>
      <c r="AR788" s="77"/>
      <c r="AS788" s="70"/>
      <c r="AT788" s="68"/>
      <c r="AU788" s="70"/>
      <c r="AV788" s="70"/>
      <c r="AW788" s="71"/>
      <c r="AX788" s="71"/>
      <c r="AY788" s="70"/>
      <c r="AZ788" s="76"/>
      <c r="BA788" s="76"/>
      <c r="BB788" s="76"/>
      <c r="BC788" s="78"/>
    </row>
    <row r="789" spans="1:55" x14ac:dyDescent="0.25">
      <c r="A789" s="68"/>
      <c r="B789" s="68"/>
      <c r="C789" s="68"/>
      <c r="D789" s="70"/>
      <c r="E789" s="70"/>
      <c r="F789" s="70"/>
      <c r="G789" s="72"/>
      <c r="H789" s="74"/>
      <c r="I789" s="74"/>
      <c r="J789" s="75"/>
      <c r="K789" s="81"/>
      <c r="L789" s="76"/>
      <c r="M789" s="76"/>
      <c r="N789" s="76"/>
      <c r="O789" s="71"/>
      <c r="P789" s="70"/>
      <c r="Q789" s="71"/>
      <c r="R789" s="71"/>
      <c r="S789" s="70"/>
      <c r="T789" s="71"/>
      <c r="U789" s="71"/>
      <c r="V789" s="75"/>
      <c r="W789" s="69"/>
      <c r="X789" s="69"/>
      <c r="Y789" s="69"/>
      <c r="Z789" s="69"/>
      <c r="AA789" s="69"/>
      <c r="AB789" s="69"/>
      <c r="AC789" s="69"/>
      <c r="AD789" s="69"/>
      <c r="AE789" s="76"/>
      <c r="AF789" s="71"/>
      <c r="AG789" s="71"/>
      <c r="AH789" s="71"/>
      <c r="AI789" s="71"/>
      <c r="AJ789" s="71"/>
      <c r="AK789" s="71"/>
      <c r="AL789" s="71"/>
      <c r="AM789" s="71"/>
      <c r="AN789" s="68"/>
      <c r="AO789" s="68"/>
      <c r="AP789" s="70"/>
      <c r="AQ789" s="71"/>
      <c r="AR789" s="77"/>
      <c r="AS789" s="70"/>
      <c r="AT789" s="68"/>
      <c r="AU789" s="70"/>
      <c r="AV789" s="70"/>
      <c r="AW789" s="71"/>
      <c r="AX789" s="71"/>
      <c r="AY789" s="70"/>
      <c r="AZ789" s="76"/>
      <c r="BA789" s="76"/>
      <c r="BB789" s="76"/>
      <c r="BC789" s="78"/>
    </row>
    <row r="790" spans="1:55" x14ac:dyDescent="0.25">
      <c r="A790" s="68"/>
      <c r="B790" s="68"/>
      <c r="C790" s="68"/>
      <c r="D790" s="70"/>
      <c r="E790" s="70"/>
      <c r="F790" s="70"/>
      <c r="G790" s="72"/>
      <c r="H790" s="74"/>
      <c r="I790" s="74"/>
      <c r="J790" s="75"/>
      <c r="K790" s="81"/>
      <c r="L790" s="76"/>
      <c r="M790" s="76"/>
      <c r="N790" s="76"/>
      <c r="O790" s="71"/>
      <c r="P790" s="70"/>
      <c r="Q790" s="71"/>
      <c r="R790" s="71"/>
      <c r="S790" s="70"/>
      <c r="T790" s="71"/>
      <c r="U790" s="71"/>
      <c r="V790" s="75"/>
      <c r="W790" s="69"/>
      <c r="X790" s="69"/>
      <c r="Y790" s="69"/>
      <c r="Z790" s="69"/>
      <c r="AA790" s="69"/>
      <c r="AB790" s="69"/>
      <c r="AC790" s="69"/>
      <c r="AD790" s="69"/>
      <c r="AE790" s="76"/>
      <c r="AF790" s="71"/>
      <c r="AG790" s="71"/>
      <c r="AH790" s="71"/>
      <c r="AI790" s="71"/>
      <c r="AJ790" s="71"/>
      <c r="AK790" s="71"/>
      <c r="AL790" s="71"/>
      <c r="AM790" s="71"/>
      <c r="AN790" s="68"/>
      <c r="AO790" s="68"/>
      <c r="AP790" s="70"/>
      <c r="AQ790" s="71"/>
      <c r="AR790" s="77"/>
      <c r="AS790" s="70"/>
      <c r="AT790" s="68"/>
      <c r="AU790" s="70"/>
      <c r="AV790" s="70"/>
      <c r="AW790" s="71"/>
      <c r="AX790" s="71"/>
      <c r="AY790" s="70"/>
      <c r="AZ790" s="76"/>
      <c r="BA790" s="76"/>
      <c r="BB790" s="76"/>
      <c r="BC790" s="78"/>
    </row>
    <row r="791" spans="1:55" x14ac:dyDescent="0.25">
      <c r="A791" s="68"/>
      <c r="B791" s="68"/>
      <c r="C791" s="68"/>
      <c r="D791" s="70"/>
      <c r="E791" s="70"/>
      <c r="F791" s="70"/>
      <c r="G791" s="72"/>
      <c r="H791" s="74"/>
      <c r="I791" s="74"/>
      <c r="J791" s="75"/>
      <c r="K791" s="81"/>
      <c r="L791" s="76"/>
      <c r="M791" s="76"/>
      <c r="N791" s="76"/>
      <c r="O791" s="71"/>
      <c r="P791" s="70"/>
      <c r="Q791" s="71"/>
      <c r="R791" s="71"/>
      <c r="S791" s="70"/>
      <c r="T791" s="71"/>
      <c r="U791" s="71"/>
      <c r="V791" s="75"/>
      <c r="W791" s="69"/>
      <c r="X791" s="69"/>
      <c r="Y791" s="69"/>
      <c r="Z791" s="69"/>
      <c r="AA791" s="69"/>
      <c r="AB791" s="69"/>
      <c r="AC791" s="69"/>
      <c r="AD791" s="69"/>
      <c r="AE791" s="76"/>
      <c r="AF791" s="71"/>
      <c r="AG791" s="71"/>
      <c r="AH791" s="71"/>
      <c r="AI791" s="71"/>
      <c r="AJ791" s="71"/>
      <c r="AK791" s="71"/>
      <c r="AL791" s="71"/>
      <c r="AM791" s="71"/>
      <c r="AN791" s="68"/>
      <c r="AO791" s="68"/>
      <c r="AP791" s="70"/>
      <c r="AQ791" s="71"/>
      <c r="AR791" s="77"/>
      <c r="AS791" s="70"/>
      <c r="AT791" s="68"/>
      <c r="AU791" s="70"/>
      <c r="AV791" s="70"/>
      <c r="AW791" s="71"/>
      <c r="AX791" s="71"/>
      <c r="AY791" s="70"/>
      <c r="AZ791" s="76"/>
      <c r="BA791" s="76"/>
      <c r="BB791" s="76"/>
      <c r="BC791" s="78"/>
    </row>
    <row r="792" spans="1:55" x14ac:dyDescent="0.25">
      <c r="A792" s="68"/>
      <c r="B792" s="68"/>
      <c r="C792" s="68"/>
      <c r="D792" s="70"/>
      <c r="E792" s="70"/>
      <c r="F792" s="70"/>
      <c r="G792" s="72"/>
      <c r="H792" s="74"/>
      <c r="I792" s="74"/>
      <c r="J792" s="75"/>
      <c r="K792" s="81"/>
      <c r="L792" s="76"/>
      <c r="M792" s="76"/>
      <c r="N792" s="76"/>
      <c r="O792" s="71"/>
      <c r="P792" s="70"/>
      <c r="Q792" s="71"/>
      <c r="R792" s="71"/>
      <c r="S792" s="70"/>
      <c r="T792" s="71"/>
      <c r="U792" s="71"/>
      <c r="V792" s="75"/>
      <c r="W792" s="69"/>
      <c r="X792" s="69"/>
      <c r="Y792" s="69"/>
      <c r="Z792" s="69"/>
      <c r="AA792" s="69"/>
      <c r="AB792" s="69"/>
      <c r="AC792" s="69"/>
      <c r="AD792" s="69"/>
      <c r="AE792" s="76"/>
      <c r="AF792" s="71"/>
      <c r="AG792" s="71"/>
      <c r="AH792" s="71"/>
      <c r="AI792" s="71"/>
      <c r="AJ792" s="71"/>
      <c r="AK792" s="71"/>
      <c r="AL792" s="71"/>
      <c r="AM792" s="71"/>
      <c r="AN792" s="68"/>
      <c r="AO792" s="68"/>
      <c r="AP792" s="70"/>
      <c r="AQ792" s="71"/>
      <c r="AR792" s="77"/>
      <c r="AS792" s="70"/>
      <c r="AT792" s="68"/>
      <c r="AU792" s="70"/>
      <c r="AV792" s="70"/>
      <c r="AW792" s="71"/>
      <c r="AX792" s="71"/>
      <c r="AY792" s="70"/>
      <c r="AZ792" s="76"/>
      <c r="BA792" s="76"/>
      <c r="BB792" s="76"/>
      <c r="BC792" s="78"/>
    </row>
    <row r="793" spans="1:55" x14ac:dyDescent="0.25">
      <c r="A793" s="68"/>
      <c r="B793" s="68"/>
      <c r="C793" s="68"/>
      <c r="D793" s="70"/>
      <c r="E793" s="70"/>
      <c r="F793" s="70"/>
      <c r="G793" s="72"/>
      <c r="H793" s="74"/>
      <c r="I793" s="74"/>
      <c r="J793" s="75"/>
      <c r="K793" s="81"/>
      <c r="L793" s="76"/>
      <c r="M793" s="76"/>
      <c r="N793" s="76"/>
      <c r="O793" s="71"/>
      <c r="P793" s="70"/>
      <c r="Q793" s="71"/>
      <c r="R793" s="71"/>
      <c r="S793" s="70"/>
      <c r="T793" s="71"/>
      <c r="U793" s="71"/>
      <c r="V793" s="75"/>
      <c r="W793" s="69"/>
      <c r="X793" s="69"/>
      <c r="Y793" s="69"/>
      <c r="Z793" s="69"/>
      <c r="AA793" s="69"/>
      <c r="AB793" s="69"/>
      <c r="AC793" s="69"/>
      <c r="AD793" s="69"/>
      <c r="AE793" s="76"/>
      <c r="AF793" s="71"/>
      <c r="AG793" s="71"/>
      <c r="AH793" s="71"/>
      <c r="AI793" s="71"/>
      <c r="AJ793" s="71"/>
      <c r="AK793" s="71"/>
      <c r="AL793" s="71"/>
      <c r="AM793" s="71"/>
      <c r="AN793" s="68"/>
      <c r="AO793" s="68"/>
      <c r="AP793" s="70"/>
      <c r="AQ793" s="71"/>
      <c r="AR793" s="77"/>
      <c r="AS793" s="70"/>
      <c r="AT793" s="68"/>
      <c r="AU793" s="70"/>
      <c r="AV793" s="70"/>
      <c r="AW793" s="71"/>
      <c r="AX793" s="71"/>
      <c r="AY793" s="70"/>
      <c r="AZ793" s="76"/>
      <c r="BA793" s="76"/>
      <c r="BB793" s="76"/>
      <c r="BC793" s="78"/>
    </row>
    <row r="794" spans="1:55" x14ac:dyDescent="0.25">
      <c r="A794" s="68"/>
      <c r="B794" s="68"/>
      <c r="C794" s="68"/>
      <c r="D794" s="70"/>
      <c r="E794" s="70"/>
      <c r="F794" s="70"/>
      <c r="G794" s="72"/>
      <c r="H794" s="74"/>
      <c r="I794" s="74"/>
      <c r="J794" s="75"/>
      <c r="K794" s="81"/>
      <c r="L794" s="76"/>
      <c r="M794" s="76"/>
      <c r="N794" s="76"/>
      <c r="O794" s="71"/>
      <c r="P794" s="70"/>
      <c r="Q794" s="71"/>
      <c r="R794" s="71"/>
      <c r="S794" s="70"/>
      <c r="T794" s="71"/>
      <c r="U794" s="71"/>
      <c r="V794" s="75"/>
      <c r="W794" s="69"/>
      <c r="X794" s="69"/>
      <c r="Y794" s="69"/>
      <c r="Z794" s="69"/>
      <c r="AA794" s="69"/>
      <c r="AB794" s="69"/>
      <c r="AC794" s="69"/>
      <c r="AD794" s="69"/>
      <c r="AE794" s="76"/>
      <c r="AF794" s="71"/>
      <c r="AG794" s="71"/>
      <c r="AH794" s="71"/>
      <c r="AI794" s="71"/>
      <c r="AJ794" s="71"/>
      <c r="AK794" s="71"/>
      <c r="AL794" s="71"/>
      <c r="AM794" s="71"/>
      <c r="AN794" s="68"/>
      <c r="AO794" s="68"/>
      <c r="AP794" s="70"/>
      <c r="AQ794" s="71"/>
      <c r="AR794" s="77"/>
      <c r="AS794" s="70"/>
      <c r="AT794" s="68"/>
      <c r="AU794" s="70"/>
      <c r="AV794" s="70"/>
      <c r="AW794" s="71"/>
      <c r="AX794" s="71"/>
      <c r="AY794" s="70"/>
      <c r="AZ794" s="76"/>
      <c r="BA794" s="76"/>
      <c r="BB794" s="76"/>
      <c r="BC794" s="78"/>
    </row>
    <row r="795" spans="1:55" x14ac:dyDescent="0.25">
      <c r="A795" s="68"/>
      <c r="B795" s="68"/>
      <c r="C795" s="68"/>
      <c r="D795" s="70"/>
      <c r="E795" s="70"/>
      <c r="F795" s="70"/>
      <c r="G795" s="72"/>
      <c r="H795" s="74"/>
      <c r="I795" s="74"/>
      <c r="J795" s="75"/>
      <c r="K795" s="81"/>
      <c r="L795" s="76"/>
      <c r="M795" s="76"/>
      <c r="N795" s="76"/>
      <c r="O795" s="71"/>
      <c r="P795" s="70"/>
      <c r="Q795" s="71"/>
      <c r="R795" s="71"/>
      <c r="S795" s="70"/>
      <c r="T795" s="71"/>
      <c r="U795" s="71"/>
      <c r="V795" s="75"/>
      <c r="W795" s="69"/>
      <c r="X795" s="69"/>
      <c r="Y795" s="69"/>
      <c r="Z795" s="69"/>
      <c r="AA795" s="69"/>
      <c r="AB795" s="69"/>
      <c r="AC795" s="69"/>
      <c r="AD795" s="69"/>
      <c r="AE795" s="76"/>
      <c r="AF795" s="71"/>
      <c r="AG795" s="71"/>
      <c r="AH795" s="71"/>
      <c r="AI795" s="71"/>
      <c r="AJ795" s="71"/>
      <c r="AK795" s="71"/>
      <c r="AL795" s="71"/>
      <c r="AM795" s="71"/>
      <c r="AN795" s="68"/>
      <c r="AO795" s="68"/>
      <c r="AP795" s="70"/>
      <c r="AQ795" s="71"/>
      <c r="AR795" s="77"/>
      <c r="AS795" s="70"/>
      <c r="AT795" s="68"/>
      <c r="AU795" s="70"/>
      <c r="AV795" s="70"/>
      <c r="AW795" s="71"/>
      <c r="AX795" s="71"/>
      <c r="AY795" s="70"/>
      <c r="AZ795" s="76"/>
      <c r="BA795" s="76"/>
      <c r="BB795" s="76"/>
      <c r="BC795" s="78"/>
    </row>
    <row r="796" spans="1:55" x14ac:dyDescent="0.25">
      <c r="A796" s="68"/>
      <c r="B796" s="68"/>
      <c r="C796" s="68"/>
      <c r="D796" s="70"/>
      <c r="E796" s="70"/>
      <c r="F796" s="70"/>
      <c r="G796" s="72"/>
      <c r="H796" s="74"/>
      <c r="I796" s="74"/>
      <c r="J796" s="75"/>
      <c r="K796" s="81"/>
      <c r="L796" s="76"/>
      <c r="M796" s="76"/>
      <c r="N796" s="76"/>
      <c r="O796" s="71"/>
      <c r="P796" s="70"/>
      <c r="Q796" s="71"/>
      <c r="R796" s="71"/>
      <c r="S796" s="70"/>
      <c r="T796" s="71"/>
      <c r="U796" s="71"/>
      <c r="V796" s="75"/>
      <c r="W796" s="69"/>
      <c r="X796" s="69"/>
      <c r="Y796" s="69"/>
      <c r="Z796" s="69"/>
      <c r="AA796" s="69"/>
      <c r="AB796" s="69"/>
      <c r="AC796" s="69"/>
      <c r="AD796" s="69"/>
      <c r="AE796" s="76"/>
      <c r="AF796" s="71"/>
      <c r="AG796" s="71"/>
      <c r="AH796" s="71"/>
      <c r="AI796" s="71"/>
      <c r="AJ796" s="71"/>
      <c r="AK796" s="71"/>
      <c r="AL796" s="71"/>
      <c r="AM796" s="71"/>
      <c r="AN796" s="68"/>
      <c r="AO796" s="68"/>
      <c r="AP796" s="70"/>
      <c r="AQ796" s="71"/>
      <c r="AR796" s="77"/>
      <c r="AS796" s="70"/>
      <c r="AT796" s="68"/>
      <c r="AU796" s="70"/>
      <c r="AV796" s="70"/>
      <c r="AW796" s="71"/>
      <c r="AX796" s="71"/>
      <c r="AY796" s="70"/>
      <c r="AZ796" s="76"/>
      <c r="BA796" s="76"/>
      <c r="BB796" s="76"/>
      <c r="BC796" s="78"/>
    </row>
    <row r="797" spans="1:55" x14ac:dyDescent="0.25">
      <c r="A797" s="68"/>
      <c r="B797" s="68"/>
      <c r="C797" s="68"/>
      <c r="D797" s="70"/>
      <c r="E797" s="70"/>
      <c r="F797" s="70"/>
      <c r="G797" s="72"/>
      <c r="H797" s="74"/>
      <c r="I797" s="74"/>
      <c r="J797" s="75"/>
      <c r="K797" s="81"/>
      <c r="L797" s="76"/>
      <c r="M797" s="76"/>
      <c r="N797" s="76"/>
      <c r="O797" s="71"/>
      <c r="P797" s="70"/>
      <c r="Q797" s="71"/>
      <c r="R797" s="71"/>
      <c r="S797" s="70"/>
      <c r="T797" s="71"/>
      <c r="U797" s="71"/>
      <c r="V797" s="75"/>
      <c r="W797" s="69"/>
      <c r="X797" s="69"/>
      <c r="Y797" s="69"/>
      <c r="Z797" s="69"/>
      <c r="AA797" s="69"/>
      <c r="AB797" s="69"/>
      <c r="AC797" s="69"/>
      <c r="AD797" s="69"/>
      <c r="AE797" s="76"/>
      <c r="AF797" s="71"/>
      <c r="AG797" s="71"/>
      <c r="AH797" s="71"/>
      <c r="AI797" s="71"/>
      <c r="AJ797" s="71"/>
      <c r="AK797" s="71"/>
      <c r="AL797" s="71"/>
      <c r="AM797" s="71"/>
      <c r="AN797" s="68"/>
      <c r="AO797" s="68"/>
      <c r="AP797" s="70"/>
      <c r="AQ797" s="71"/>
      <c r="AR797" s="77"/>
      <c r="AS797" s="70"/>
      <c r="AT797" s="68"/>
      <c r="AU797" s="70"/>
      <c r="AV797" s="70"/>
      <c r="AW797" s="71"/>
      <c r="AX797" s="71"/>
      <c r="AY797" s="70"/>
      <c r="AZ797" s="76"/>
      <c r="BA797" s="76"/>
      <c r="BB797" s="76"/>
      <c r="BC797" s="78"/>
    </row>
    <row r="798" spans="1:55" x14ac:dyDescent="0.25">
      <c r="A798" s="68"/>
      <c r="B798" s="68"/>
      <c r="C798" s="68"/>
      <c r="D798" s="70"/>
      <c r="E798" s="70"/>
      <c r="F798" s="70"/>
      <c r="G798" s="72"/>
      <c r="H798" s="74"/>
      <c r="I798" s="74"/>
      <c r="J798" s="75"/>
      <c r="K798" s="81"/>
      <c r="L798" s="76"/>
      <c r="M798" s="76"/>
      <c r="N798" s="76"/>
      <c r="O798" s="71"/>
      <c r="P798" s="70"/>
      <c r="Q798" s="71"/>
      <c r="R798" s="71"/>
      <c r="S798" s="70"/>
      <c r="T798" s="71"/>
      <c r="U798" s="71"/>
      <c r="V798" s="75"/>
      <c r="W798" s="69"/>
      <c r="X798" s="69"/>
      <c r="Y798" s="69"/>
      <c r="Z798" s="69"/>
      <c r="AA798" s="69"/>
      <c r="AB798" s="69"/>
      <c r="AC798" s="69"/>
      <c r="AD798" s="69"/>
      <c r="AE798" s="76"/>
      <c r="AF798" s="71"/>
      <c r="AG798" s="71"/>
      <c r="AH798" s="71"/>
      <c r="AI798" s="71"/>
      <c r="AJ798" s="71"/>
      <c r="AK798" s="71"/>
      <c r="AL798" s="71"/>
      <c r="AM798" s="71"/>
      <c r="AN798" s="68"/>
      <c r="AO798" s="68"/>
      <c r="AP798" s="70"/>
      <c r="AQ798" s="71"/>
      <c r="AR798" s="77"/>
      <c r="AS798" s="70"/>
      <c r="AT798" s="68"/>
      <c r="AU798" s="70"/>
      <c r="AV798" s="70"/>
      <c r="AW798" s="71"/>
      <c r="AX798" s="71"/>
      <c r="AY798" s="70"/>
      <c r="AZ798" s="76"/>
      <c r="BA798" s="76"/>
      <c r="BB798" s="76"/>
      <c r="BC798" s="78"/>
    </row>
    <row r="799" spans="1:55" x14ac:dyDescent="0.25">
      <c r="A799" s="68"/>
      <c r="B799" s="68"/>
      <c r="C799" s="68"/>
      <c r="D799" s="70"/>
      <c r="E799" s="70"/>
      <c r="F799" s="70"/>
      <c r="G799" s="72"/>
      <c r="H799" s="74"/>
      <c r="I799" s="74"/>
      <c r="J799" s="75"/>
      <c r="K799" s="81"/>
      <c r="L799" s="76"/>
      <c r="M799" s="76"/>
      <c r="N799" s="76"/>
      <c r="O799" s="71"/>
      <c r="P799" s="70"/>
      <c r="Q799" s="71"/>
      <c r="R799" s="71"/>
      <c r="S799" s="70"/>
      <c r="T799" s="71"/>
      <c r="U799" s="71"/>
      <c r="V799" s="75"/>
      <c r="W799" s="69"/>
      <c r="X799" s="69"/>
      <c r="Y799" s="69"/>
      <c r="Z799" s="69"/>
      <c r="AA799" s="69"/>
      <c r="AB799" s="69"/>
      <c r="AC799" s="69"/>
      <c r="AD799" s="69"/>
      <c r="AE799" s="76"/>
      <c r="AF799" s="71"/>
      <c r="AG799" s="71"/>
      <c r="AH799" s="71"/>
      <c r="AI799" s="71"/>
      <c r="AJ799" s="71"/>
      <c r="AK799" s="71"/>
      <c r="AL799" s="71"/>
      <c r="AM799" s="71"/>
      <c r="AN799" s="68"/>
      <c r="AO799" s="68"/>
      <c r="AP799" s="70"/>
      <c r="AQ799" s="71"/>
      <c r="AR799" s="77"/>
      <c r="AS799" s="70"/>
      <c r="AT799" s="68"/>
      <c r="AU799" s="70"/>
      <c r="AV799" s="70"/>
      <c r="AW799" s="71"/>
      <c r="AX799" s="71"/>
      <c r="AY799" s="70"/>
      <c r="AZ799" s="76"/>
      <c r="BA799" s="76"/>
      <c r="BB799" s="76"/>
      <c r="BC799" s="78"/>
    </row>
    <row r="800" spans="1:55" x14ac:dyDescent="0.25">
      <c r="A800" s="68"/>
      <c r="B800" s="68"/>
      <c r="C800" s="68"/>
      <c r="D800" s="70"/>
      <c r="E800" s="70"/>
      <c r="F800" s="70"/>
      <c r="G800" s="72"/>
      <c r="H800" s="74"/>
      <c r="I800" s="74"/>
      <c r="J800" s="75"/>
      <c r="K800" s="81"/>
      <c r="L800" s="76"/>
      <c r="M800" s="76"/>
      <c r="N800" s="76"/>
      <c r="O800" s="71"/>
      <c r="P800" s="70"/>
      <c r="Q800" s="71"/>
      <c r="R800" s="71"/>
      <c r="S800" s="70"/>
      <c r="T800" s="71"/>
      <c r="U800" s="71"/>
      <c r="V800" s="75"/>
      <c r="W800" s="69"/>
      <c r="X800" s="69"/>
      <c r="Y800" s="69"/>
      <c r="Z800" s="69"/>
      <c r="AA800" s="69"/>
      <c r="AB800" s="69"/>
      <c r="AC800" s="69"/>
      <c r="AD800" s="69"/>
      <c r="AE800" s="76"/>
      <c r="AF800" s="71"/>
      <c r="AG800" s="71"/>
      <c r="AH800" s="71"/>
      <c r="AI800" s="71"/>
      <c r="AJ800" s="71"/>
      <c r="AK800" s="71"/>
      <c r="AL800" s="71"/>
      <c r="AM800" s="71"/>
      <c r="AN800" s="68"/>
      <c r="AO800" s="68"/>
      <c r="AP800" s="70"/>
      <c r="AQ800" s="71"/>
      <c r="AR800" s="77"/>
      <c r="AS800" s="70"/>
      <c r="AT800" s="68"/>
      <c r="AU800" s="70"/>
      <c r="AV800" s="70"/>
      <c r="AW800" s="71"/>
      <c r="AX800" s="71"/>
      <c r="AY800" s="70"/>
      <c r="AZ800" s="76"/>
      <c r="BA800" s="76"/>
      <c r="BB800" s="76"/>
      <c r="BC800" s="78"/>
    </row>
    <row r="801" spans="1:55" x14ac:dyDescent="0.25">
      <c r="A801" s="68"/>
      <c r="B801" s="68"/>
      <c r="C801" s="68"/>
      <c r="D801" s="70"/>
      <c r="E801" s="70"/>
      <c r="F801" s="70"/>
      <c r="G801" s="72"/>
      <c r="H801" s="74"/>
      <c r="I801" s="74"/>
      <c r="J801" s="75"/>
      <c r="K801" s="81"/>
      <c r="L801" s="76"/>
      <c r="M801" s="76"/>
      <c r="N801" s="76"/>
      <c r="O801" s="71"/>
      <c r="P801" s="70"/>
      <c r="Q801" s="71"/>
      <c r="R801" s="71"/>
      <c r="S801" s="70"/>
      <c r="T801" s="71"/>
      <c r="U801" s="71"/>
      <c r="V801" s="75"/>
      <c r="W801" s="69"/>
      <c r="X801" s="69"/>
      <c r="Y801" s="69"/>
      <c r="Z801" s="69"/>
      <c r="AA801" s="69"/>
      <c r="AB801" s="69"/>
      <c r="AC801" s="69"/>
      <c r="AD801" s="69"/>
      <c r="AE801" s="76"/>
      <c r="AF801" s="71"/>
      <c r="AG801" s="71"/>
      <c r="AH801" s="71"/>
      <c r="AI801" s="71"/>
      <c r="AJ801" s="71"/>
      <c r="AK801" s="71"/>
      <c r="AL801" s="71"/>
      <c r="AM801" s="71"/>
      <c r="AN801" s="68"/>
      <c r="AO801" s="68"/>
      <c r="AP801" s="70"/>
      <c r="AQ801" s="71"/>
      <c r="AR801" s="77"/>
      <c r="AS801" s="70"/>
      <c r="AT801" s="68"/>
      <c r="AU801" s="70"/>
      <c r="AV801" s="70"/>
      <c r="AW801" s="71"/>
      <c r="AX801" s="71"/>
      <c r="AY801" s="70"/>
      <c r="AZ801" s="76"/>
      <c r="BA801" s="76"/>
      <c r="BB801" s="76"/>
      <c r="BC801" s="78"/>
    </row>
    <row r="802" spans="1:55" x14ac:dyDescent="0.25">
      <c r="A802" s="68"/>
      <c r="B802" s="68"/>
      <c r="C802" s="68"/>
      <c r="D802" s="70"/>
      <c r="E802" s="70"/>
      <c r="F802" s="70"/>
      <c r="G802" s="72"/>
      <c r="H802" s="74"/>
      <c r="I802" s="74"/>
      <c r="J802" s="75"/>
      <c r="K802" s="81"/>
      <c r="L802" s="76"/>
      <c r="M802" s="76"/>
      <c r="N802" s="76"/>
      <c r="O802" s="71"/>
      <c r="P802" s="70"/>
      <c r="Q802" s="71"/>
      <c r="R802" s="71"/>
      <c r="S802" s="70"/>
      <c r="T802" s="71"/>
      <c r="U802" s="71"/>
      <c r="V802" s="75"/>
      <c r="W802" s="69"/>
      <c r="X802" s="69"/>
      <c r="Y802" s="69"/>
      <c r="Z802" s="69"/>
      <c r="AA802" s="69"/>
      <c r="AB802" s="69"/>
      <c r="AC802" s="69"/>
      <c r="AD802" s="69"/>
      <c r="AE802" s="76"/>
      <c r="AF802" s="71"/>
      <c r="AG802" s="71"/>
      <c r="AH802" s="71"/>
      <c r="AI802" s="71"/>
      <c r="AJ802" s="71"/>
      <c r="AK802" s="71"/>
      <c r="AL802" s="71"/>
      <c r="AM802" s="71"/>
      <c r="AN802" s="68"/>
      <c r="AO802" s="68"/>
      <c r="AP802" s="70"/>
      <c r="AQ802" s="71"/>
      <c r="AR802" s="77"/>
      <c r="AS802" s="70"/>
      <c r="AT802" s="68"/>
      <c r="AU802" s="70"/>
      <c r="AV802" s="70"/>
      <c r="AW802" s="71"/>
      <c r="AX802" s="71"/>
      <c r="AY802" s="70"/>
      <c r="AZ802" s="76"/>
      <c r="BA802" s="76"/>
      <c r="BB802" s="76"/>
      <c r="BC802" s="78"/>
    </row>
    <row r="803" spans="1:55" x14ac:dyDescent="0.25">
      <c r="A803" s="68"/>
      <c r="B803" s="68"/>
      <c r="C803" s="68"/>
      <c r="D803" s="70"/>
      <c r="E803" s="70"/>
      <c r="F803" s="70"/>
      <c r="G803" s="72"/>
      <c r="H803" s="74"/>
      <c r="I803" s="74"/>
      <c r="J803" s="75"/>
      <c r="K803" s="81"/>
      <c r="L803" s="76"/>
      <c r="M803" s="76"/>
      <c r="N803" s="76"/>
      <c r="O803" s="71"/>
      <c r="P803" s="70"/>
      <c r="Q803" s="71"/>
      <c r="R803" s="71"/>
      <c r="S803" s="70"/>
      <c r="T803" s="71"/>
      <c r="U803" s="71"/>
      <c r="V803" s="75"/>
      <c r="W803" s="69"/>
      <c r="X803" s="69"/>
      <c r="Y803" s="69"/>
      <c r="Z803" s="69"/>
      <c r="AA803" s="69"/>
      <c r="AB803" s="69"/>
      <c r="AC803" s="69"/>
      <c r="AD803" s="69"/>
      <c r="AE803" s="76"/>
      <c r="AF803" s="71"/>
      <c r="AG803" s="71"/>
      <c r="AH803" s="71"/>
      <c r="AI803" s="71"/>
      <c r="AJ803" s="71"/>
      <c r="AK803" s="71"/>
      <c r="AL803" s="71"/>
      <c r="AM803" s="71"/>
      <c r="AN803" s="68"/>
      <c r="AO803" s="68"/>
      <c r="AP803" s="70"/>
      <c r="AQ803" s="71"/>
      <c r="AR803" s="77"/>
      <c r="AS803" s="70"/>
      <c r="AT803" s="68"/>
      <c r="AU803" s="70"/>
      <c r="AV803" s="70"/>
      <c r="AW803" s="71"/>
      <c r="AX803" s="71"/>
      <c r="AY803" s="70"/>
      <c r="AZ803" s="76"/>
      <c r="BA803" s="76"/>
      <c r="BB803" s="76"/>
      <c r="BC803" s="78"/>
    </row>
    <row r="804" spans="1:55" x14ac:dyDescent="0.25">
      <c r="A804" s="68"/>
      <c r="B804" s="68"/>
      <c r="C804" s="68"/>
      <c r="D804" s="70"/>
      <c r="E804" s="70"/>
      <c r="F804" s="70"/>
      <c r="G804" s="72"/>
      <c r="H804" s="74"/>
      <c r="I804" s="74"/>
      <c r="J804" s="75"/>
      <c r="K804" s="81"/>
      <c r="L804" s="76"/>
      <c r="M804" s="76"/>
      <c r="N804" s="76"/>
      <c r="O804" s="71"/>
      <c r="P804" s="70"/>
      <c r="Q804" s="71"/>
      <c r="R804" s="71"/>
      <c r="S804" s="70"/>
      <c r="T804" s="71"/>
      <c r="U804" s="71"/>
      <c r="V804" s="75"/>
      <c r="W804" s="69"/>
      <c r="X804" s="69"/>
      <c r="Y804" s="69"/>
      <c r="Z804" s="69"/>
      <c r="AA804" s="69"/>
      <c r="AB804" s="69"/>
      <c r="AC804" s="69"/>
      <c r="AD804" s="69"/>
      <c r="AE804" s="76"/>
      <c r="AF804" s="71"/>
      <c r="AG804" s="71"/>
      <c r="AH804" s="71"/>
      <c r="AI804" s="71"/>
      <c r="AJ804" s="71"/>
      <c r="AK804" s="71"/>
      <c r="AL804" s="71"/>
      <c r="AM804" s="71"/>
      <c r="AN804" s="68"/>
      <c r="AO804" s="68"/>
      <c r="AP804" s="70"/>
      <c r="AQ804" s="71"/>
      <c r="AR804" s="77"/>
      <c r="AS804" s="70"/>
      <c r="AT804" s="68"/>
      <c r="AU804" s="70"/>
      <c r="AV804" s="70"/>
      <c r="AW804" s="71"/>
      <c r="AX804" s="71"/>
      <c r="AY804" s="70"/>
      <c r="AZ804" s="76"/>
      <c r="BA804" s="76"/>
      <c r="BB804" s="76"/>
      <c r="BC804" s="78"/>
    </row>
    <row r="805" spans="1:55" x14ac:dyDescent="0.25">
      <c r="A805" s="68"/>
      <c r="B805" s="68"/>
      <c r="C805" s="68"/>
      <c r="D805" s="70"/>
      <c r="E805" s="70"/>
      <c r="F805" s="70"/>
      <c r="G805" s="72"/>
      <c r="H805" s="74"/>
      <c r="I805" s="74"/>
      <c r="J805" s="75"/>
      <c r="K805" s="81"/>
      <c r="L805" s="76"/>
      <c r="M805" s="76"/>
      <c r="N805" s="76"/>
      <c r="O805" s="71"/>
      <c r="P805" s="70"/>
      <c r="Q805" s="71"/>
      <c r="R805" s="71"/>
      <c r="S805" s="70"/>
      <c r="T805" s="71"/>
      <c r="U805" s="71"/>
      <c r="V805" s="75"/>
      <c r="W805" s="69"/>
      <c r="X805" s="69"/>
      <c r="Y805" s="69"/>
      <c r="Z805" s="69"/>
      <c r="AA805" s="69"/>
      <c r="AB805" s="69"/>
      <c r="AC805" s="69"/>
      <c r="AD805" s="69"/>
      <c r="AE805" s="76"/>
      <c r="AF805" s="71"/>
      <c r="AG805" s="71"/>
      <c r="AH805" s="71"/>
      <c r="AI805" s="71"/>
      <c r="AJ805" s="71"/>
      <c r="AK805" s="71"/>
      <c r="AL805" s="71"/>
      <c r="AM805" s="71"/>
      <c r="AN805" s="68"/>
      <c r="AO805" s="68"/>
      <c r="AP805" s="70"/>
      <c r="AQ805" s="71"/>
      <c r="AR805" s="77"/>
      <c r="AS805" s="70"/>
      <c r="AT805" s="68"/>
      <c r="AU805" s="70"/>
      <c r="AV805" s="70"/>
      <c r="AW805" s="71"/>
      <c r="AX805" s="71"/>
      <c r="AY805" s="70"/>
      <c r="AZ805" s="76"/>
      <c r="BA805" s="76"/>
      <c r="BB805" s="76"/>
      <c r="BC805" s="78"/>
    </row>
    <row r="806" spans="1:55" x14ac:dyDescent="0.25">
      <c r="A806" s="68"/>
      <c r="B806" s="68"/>
      <c r="C806" s="68"/>
      <c r="D806" s="70"/>
      <c r="E806" s="70"/>
      <c r="F806" s="70"/>
      <c r="G806" s="72"/>
      <c r="H806" s="74"/>
      <c r="I806" s="74"/>
      <c r="J806" s="75"/>
      <c r="K806" s="81"/>
      <c r="L806" s="76"/>
      <c r="M806" s="76"/>
      <c r="N806" s="76"/>
      <c r="O806" s="71"/>
      <c r="P806" s="70"/>
      <c r="Q806" s="71"/>
      <c r="R806" s="71"/>
      <c r="S806" s="70"/>
      <c r="T806" s="71"/>
      <c r="U806" s="71"/>
      <c r="V806" s="75"/>
      <c r="W806" s="69"/>
      <c r="X806" s="69"/>
      <c r="Y806" s="69"/>
      <c r="Z806" s="69"/>
      <c r="AA806" s="69"/>
      <c r="AB806" s="69"/>
      <c r="AC806" s="69"/>
      <c r="AD806" s="69"/>
      <c r="AE806" s="76"/>
      <c r="AF806" s="71"/>
      <c r="AG806" s="71"/>
      <c r="AH806" s="71"/>
      <c r="AI806" s="71"/>
      <c r="AJ806" s="71"/>
      <c r="AK806" s="71"/>
      <c r="AL806" s="71"/>
      <c r="AM806" s="71"/>
      <c r="AN806" s="68"/>
      <c r="AO806" s="68"/>
      <c r="AP806" s="70"/>
      <c r="AQ806" s="71"/>
      <c r="AR806" s="77"/>
      <c r="AS806" s="70"/>
      <c r="AT806" s="68"/>
      <c r="AU806" s="70"/>
      <c r="AV806" s="70"/>
      <c r="AW806" s="71"/>
      <c r="AX806" s="71"/>
      <c r="AY806" s="70"/>
      <c r="AZ806" s="76"/>
      <c r="BA806" s="76"/>
      <c r="BB806" s="76"/>
      <c r="BC806" s="78"/>
    </row>
    <row r="807" spans="1:55" x14ac:dyDescent="0.25">
      <c r="A807" s="68"/>
      <c r="B807" s="68"/>
      <c r="C807" s="68"/>
      <c r="D807" s="70"/>
      <c r="E807" s="70"/>
      <c r="F807" s="70"/>
      <c r="G807" s="72"/>
      <c r="H807" s="74"/>
      <c r="I807" s="74"/>
      <c r="J807" s="75"/>
      <c r="K807" s="81"/>
      <c r="L807" s="76"/>
      <c r="M807" s="76"/>
      <c r="N807" s="76"/>
      <c r="O807" s="71"/>
      <c r="P807" s="70"/>
      <c r="Q807" s="71"/>
      <c r="R807" s="71"/>
      <c r="S807" s="70"/>
      <c r="T807" s="71"/>
      <c r="U807" s="71"/>
      <c r="V807" s="75"/>
      <c r="W807" s="69"/>
      <c r="X807" s="69"/>
      <c r="Y807" s="69"/>
      <c r="Z807" s="69"/>
      <c r="AA807" s="69"/>
      <c r="AB807" s="69"/>
      <c r="AC807" s="69"/>
      <c r="AD807" s="69"/>
      <c r="AE807" s="76"/>
      <c r="AF807" s="71"/>
      <c r="AG807" s="71"/>
      <c r="AH807" s="71"/>
      <c r="AI807" s="71"/>
      <c r="AJ807" s="71"/>
      <c r="AK807" s="71"/>
      <c r="AL807" s="71"/>
      <c r="AM807" s="71"/>
      <c r="AN807" s="68"/>
      <c r="AO807" s="68"/>
      <c r="AP807" s="70"/>
      <c r="AQ807" s="71"/>
      <c r="AR807" s="77"/>
      <c r="AS807" s="70"/>
      <c r="AT807" s="68"/>
      <c r="AU807" s="70"/>
      <c r="AV807" s="70"/>
      <c r="AW807" s="71"/>
      <c r="AX807" s="71"/>
      <c r="AY807" s="70"/>
      <c r="AZ807" s="76"/>
      <c r="BA807" s="76"/>
      <c r="BB807" s="76"/>
      <c r="BC807" s="78"/>
    </row>
    <row r="808" spans="1:55" x14ac:dyDescent="0.25">
      <c r="A808" s="68"/>
      <c r="B808" s="68"/>
      <c r="C808" s="68"/>
      <c r="D808" s="70"/>
      <c r="E808" s="70"/>
      <c r="F808" s="70"/>
      <c r="G808" s="72"/>
      <c r="H808" s="74"/>
      <c r="I808" s="74"/>
      <c r="J808" s="75"/>
      <c r="K808" s="81"/>
      <c r="L808" s="76"/>
      <c r="M808" s="76"/>
      <c r="N808" s="76"/>
      <c r="O808" s="71"/>
      <c r="P808" s="70"/>
      <c r="Q808" s="71"/>
      <c r="R808" s="71"/>
      <c r="S808" s="70"/>
      <c r="T808" s="71"/>
      <c r="U808" s="71"/>
      <c r="V808" s="75"/>
      <c r="W808" s="69"/>
      <c r="X808" s="69"/>
      <c r="Y808" s="69"/>
      <c r="Z808" s="69"/>
      <c r="AA808" s="69"/>
      <c r="AB808" s="69"/>
      <c r="AC808" s="69"/>
      <c r="AD808" s="69"/>
      <c r="AE808" s="76"/>
      <c r="AF808" s="71"/>
      <c r="AG808" s="71"/>
      <c r="AH808" s="71"/>
      <c r="AI808" s="71"/>
      <c r="AJ808" s="71"/>
      <c r="AK808" s="71"/>
      <c r="AL808" s="71"/>
      <c r="AM808" s="71"/>
      <c r="AN808" s="68"/>
      <c r="AO808" s="68"/>
      <c r="AP808" s="70"/>
      <c r="AQ808" s="71"/>
      <c r="AR808" s="77"/>
      <c r="AS808" s="70"/>
      <c r="AT808" s="68"/>
      <c r="AU808" s="70"/>
      <c r="AV808" s="70"/>
      <c r="AW808" s="71"/>
      <c r="AX808" s="71"/>
      <c r="AY808" s="70"/>
      <c r="AZ808" s="76"/>
      <c r="BA808" s="76"/>
      <c r="BB808" s="76"/>
      <c r="BC808" s="78"/>
    </row>
    <row r="809" spans="1:55" x14ac:dyDescent="0.25">
      <c r="A809" s="68"/>
      <c r="B809" s="68"/>
      <c r="C809" s="68"/>
      <c r="D809" s="70"/>
      <c r="E809" s="70"/>
      <c r="F809" s="70"/>
      <c r="G809" s="72"/>
      <c r="H809" s="74"/>
      <c r="I809" s="74"/>
      <c r="J809" s="75"/>
      <c r="K809" s="81"/>
      <c r="L809" s="76"/>
      <c r="M809" s="76"/>
      <c r="N809" s="76"/>
      <c r="O809" s="71"/>
      <c r="P809" s="70"/>
      <c r="Q809" s="71"/>
      <c r="R809" s="71"/>
      <c r="S809" s="70"/>
      <c r="T809" s="71"/>
      <c r="U809" s="71"/>
      <c r="V809" s="75"/>
      <c r="W809" s="69"/>
      <c r="X809" s="69"/>
      <c r="Y809" s="69"/>
      <c r="Z809" s="69"/>
      <c r="AA809" s="69"/>
      <c r="AB809" s="69"/>
      <c r="AC809" s="69"/>
      <c r="AD809" s="69"/>
      <c r="AE809" s="76"/>
      <c r="AF809" s="71"/>
      <c r="AG809" s="71"/>
      <c r="AH809" s="71"/>
      <c r="AI809" s="71"/>
      <c r="AJ809" s="71"/>
      <c r="AK809" s="71"/>
      <c r="AL809" s="71"/>
      <c r="AM809" s="71"/>
      <c r="AN809" s="68"/>
      <c r="AO809" s="68"/>
      <c r="AP809" s="70"/>
      <c r="AQ809" s="71"/>
      <c r="AR809" s="77"/>
      <c r="AS809" s="70"/>
      <c r="AT809" s="68"/>
      <c r="AU809" s="70"/>
      <c r="AV809" s="70"/>
      <c r="AW809" s="71"/>
      <c r="AX809" s="71"/>
      <c r="AY809" s="70"/>
      <c r="AZ809" s="76"/>
      <c r="BA809" s="76"/>
      <c r="BB809" s="76"/>
      <c r="BC809" s="78"/>
    </row>
    <row r="810" spans="1:55" x14ac:dyDescent="0.25">
      <c r="A810" s="68"/>
      <c r="B810" s="68"/>
      <c r="C810" s="68"/>
      <c r="D810" s="70"/>
      <c r="E810" s="70"/>
      <c r="F810" s="70"/>
      <c r="G810" s="72"/>
      <c r="H810" s="74"/>
      <c r="I810" s="74"/>
      <c r="J810" s="75"/>
      <c r="K810" s="81"/>
      <c r="L810" s="76"/>
      <c r="M810" s="76"/>
      <c r="N810" s="76"/>
      <c r="O810" s="71"/>
      <c r="P810" s="70"/>
      <c r="Q810" s="71"/>
      <c r="R810" s="71"/>
      <c r="S810" s="70"/>
      <c r="T810" s="71"/>
      <c r="U810" s="71"/>
      <c r="V810" s="75"/>
      <c r="W810" s="69"/>
      <c r="X810" s="69"/>
      <c r="Y810" s="69"/>
      <c r="Z810" s="69"/>
      <c r="AA810" s="69"/>
      <c r="AB810" s="69"/>
      <c r="AC810" s="69"/>
      <c r="AD810" s="69"/>
      <c r="AE810" s="76"/>
      <c r="AF810" s="71"/>
      <c r="AG810" s="71"/>
      <c r="AH810" s="71"/>
      <c r="AI810" s="71"/>
      <c r="AJ810" s="71"/>
      <c r="AK810" s="71"/>
      <c r="AL810" s="71"/>
      <c r="AM810" s="71"/>
      <c r="AN810" s="68"/>
      <c r="AO810" s="68"/>
      <c r="AP810" s="70"/>
      <c r="AQ810" s="71"/>
      <c r="AR810" s="77"/>
      <c r="AS810" s="70"/>
      <c r="AT810" s="68"/>
      <c r="AU810" s="70"/>
      <c r="AV810" s="70"/>
      <c r="AW810" s="71"/>
      <c r="AX810" s="71"/>
      <c r="AY810" s="70"/>
      <c r="AZ810" s="76"/>
      <c r="BA810" s="76"/>
      <c r="BB810" s="76"/>
      <c r="BC810" s="78"/>
    </row>
    <row r="811" spans="1:55" x14ac:dyDescent="0.25">
      <c r="A811" s="68"/>
      <c r="B811" s="68"/>
      <c r="C811" s="68"/>
      <c r="D811" s="70"/>
      <c r="E811" s="70"/>
      <c r="F811" s="70"/>
      <c r="G811" s="72"/>
      <c r="H811" s="74"/>
      <c r="I811" s="74"/>
      <c r="J811" s="75"/>
      <c r="K811" s="81"/>
      <c r="L811" s="76"/>
      <c r="M811" s="76"/>
      <c r="N811" s="76"/>
      <c r="O811" s="71"/>
      <c r="P811" s="70"/>
      <c r="Q811" s="71"/>
      <c r="R811" s="71"/>
      <c r="S811" s="70"/>
      <c r="T811" s="71"/>
      <c r="U811" s="71"/>
      <c r="V811" s="75"/>
      <c r="W811" s="69"/>
      <c r="X811" s="69"/>
      <c r="Y811" s="69"/>
      <c r="Z811" s="69"/>
      <c r="AA811" s="69"/>
      <c r="AB811" s="69"/>
      <c r="AC811" s="69"/>
      <c r="AD811" s="69"/>
      <c r="AE811" s="76"/>
      <c r="AF811" s="71"/>
      <c r="AG811" s="71"/>
      <c r="AH811" s="71"/>
      <c r="AI811" s="71"/>
      <c r="AJ811" s="71"/>
      <c r="AK811" s="71"/>
      <c r="AL811" s="71"/>
      <c r="AM811" s="71"/>
      <c r="AN811" s="68"/>
      <c r="AO811" s="68"/>
      <c r="AP811" s="70"/>
      <c r="AQ811" s="71"/>
      <c r="AR811" s="77"/>
      <c r="AS811" s="70"/>
      <c r="AT811" s="68"/>
      <c r="AU811" s="70"/>
      <c r="AV811" s="70"/>
      <c r="AW811" s="71"/>
      <c r="AX811" s="71"/>
      <c r="AY811" s="70"/>
      <c r="AZ811" s="76"/>
      <c r="BA811" s="76"/>
      <c r="BB811" s="76"/>
      <c r="BC811" s="78"/>
    </row>
    <row r="812" spans="1:55" x14ac:dyDescent="0.25">
      <c r="A812" s="68"/>
      <c r="B812" s="68"/>
      <c r="C812" s="68"/>
      <c r="D812" s="70"/>
      <c r="E812" s="70"/>
      <c r="F812" s="70"/>
      <c r="G812" s="72"/>
      <c r="H812" s="74"/>
      <c r="I812" s="74"/>
      <c r="J812" s="75"/>
      <c r="K812" s="81"/>
      <c r="L812" s="76"/>
      <c r="M812" s="76"/>
      <c r="N812" s="76"/>
      <c r="O812" s="71"/>
      <c r="P812" s="70"/>
      <c r="Q812" s="71"/>
      <c r="R812" s="71"/>
      <c r="S812" s="70"/>
      <c r="T812" s="71"/>
      <c r="U812" s="71"/>
      <c r="V812" s="75"/>
      <c r="W812" s="69"/>
      <c r="X812" s="69"/>
      <c r="Y812" s="69"/>
      <c r="Z812" s="69"/>
      <c r="AA812" s="69"/>
      <c r="AB812" s="69"/>
      <c r="AC812" s="69"/>
      <c r="AD812" s="69"/>
      <c r="AE812" s="76"/>
      <c r="AF812" s="71"/>
      <c r="AG812" s="71"/>
      <c r="AH812" s="71"/>
      <c r="AI812" s="71"/>
      <c r="AJ812" s="71"/>
      <c r="AK812" s="71"/>
      <c r="AL812" s="71"/>
      <c r="AM812" s="71"/>
      <c r="AN812" s="68"/>
      <c r="AO812" s="68"/>
      <c r="AP812" s="70"/>
      <c r="AQ812" s="71"/>
      <c r="AR812" s="77"/>
      <c r="AS812" s="70"/>
      <c r="AT812" s="68"/>
      <c r="AU812" s="70"/>
      <c r="AV812" s="70"/>
      <c r="AW812" s="71"/>
      <c r="AX812" s="71"/>
      <c r="AY812" s="70"/>
      <c r="AZ812" s="76"/>
      <c r="BA812" s="76"/>
      <c r="BB812" s="76"/>
      <c r="BC812" s="78"/>
    </row>
    <row r="813" spans="1:55" x14ac:dyDescent="0.25">
      <c r="A813" s="68"/>
      <c r="B813" s="68"/>
      <c r="C813" s="68"/>
      <c r="D813" s="70"/>
      <c r="E813" s="70"/>
      <c r="F813" s="70"/>
      <c r="G813" s="72"/>
      <c r="H813" s="74"/>
      <c r="I813" s="74"/>
      <c r="J813" s="75"/>
      <c r="K813" s="81"/>
      <c r="L813" s="76"/>
      <c r="M813" s="76"/>
      <c r="N813" s="76"/>
      <c r="O813" s="71"/>
      <c r="P813" s="70"/>
      <c r="Q813" s="71"/>
      <c r="R813" s="71"/>
      <c r="S813" s="70"/>
      <c r="T813" s="71"/>
      <c r="U813" s="71"/>
      <c r="V813" s="75"/>
      <c r="W813" s="69"/>
      <c r="X813" s="69"/>
      <c r="Y813" s="69"/>
      <c r="Z813" s="69"/>
      <c r="AA813" s="69"/>
      <c r="AB813" s="69"/>
      <c r="AC813" s="69"/>
      <c r="AD813" s="69"/>
      <c r="AE813" s="76"/>
      <c r="AF813" s="71"/>
      <c r="AG813" s="71"/>
      <c r="AH813" s="71"/>
      <c r="AI813" s="71"/>
      <c r="AJ813" s="71"/>
      <c r="AK813" s="71"/>
      <c r="AL813" s="71"/>
      <c r="AM813" s="71"/>
      <c r="AN813" s="68"/>
      <c r="AO813" s="68"/>
      <c r="AP813" s="70"/>
      <c r="AQ813" s="71"/>
      <c r="AR813" s="77"/>
      <c r="AS813" s="70"/>
      <c r="AT813" s="68"/>
      <c r="AU813" s="70"/>
      <c r="AV813" s="70"/>
      <c r="AW813" s="71"/>
      <c r="AX813" s="71"/>
      <c r="AY813" s="70"/>
      <c r="AZ813" s="76"/>
      <c r="BA813" s="76"/>
      <c r="BB813" s="76"/>
      <c r="BC813" s="78"/>
    </row>
    <row r="814" spans="1:55" x14ac:dyDescent="0.25">
      <c r="A814" s="68"/>
      <c r="B814" s="68"/>
      <c r="C814" s="68"/>
      <c r="D814" s="70"/>
      <c r="E814" s="70"/>
      <c r="F814" s="70"/>
      <c r="G814" s="72"/>
      <c r="H814" s="74"/>
      <c r="I814" s="74"/>
      <c r="J814" s="75"/>
      <c r="K814" s="81"/>
      <c r="L814" s="76"/>
      <c r="M814" s="76"/>
      <c r="N814" s="76"/>
      <c r="O814" s="71"/>
      <c r="P814" s="70"/>
      <c r="Q814" s="71"/>
      <c r="R814" s="71"/>
      <c r="S814" s="70"/>
      <c r="T814" s="71"/>
      <c r="U814" s="71"/>
      <c r="V814" s="75"/>
      <c r="W814" s="69"/>
      <c r="X814" s="69"/>
      <c r="Y814" s="69"/>
      <c r="Z814" s="69"/>
      <c r="AA814" s="69"/>
      <c r="AB814" s="69"/>
      <c r="AC814" s="69"/>
      <c r="AD814" s="69"/>
      <c r="AE814" s="76"/>
      <c r="AF814" s="71"/>
      <c r="AG814" s="71"/>
      <c r="AH814" s="71"/>
      <c r="AI814" s="71"/>
      <c r="AJ814" s="71"/>
      <c r="AK814" s="71"/>
      <c r="AL814" s="71"/>
      <c r="AM814" s="71"/>
      <c r="AN814" s="68"/>
      <c r="AO814" s="68"/>
      <c r="AP814" s="70"/>
      <c r="AQ814" s="71"/>
      <c r="AR814" s="77"/>
      <c r="AS814" s="70"/>
      <c r="AT814" s="68"/>
      <c r="AU814" s="70"/>
      <c r="AV814" s="70"/>
      <c r="AW814" s="71"/>
      <c r="AX814" s="71"/>
      <c r="AY814" s="70"/>
      <c r="AZ814" s="76"/>
      <c r="BA814" s="76"/>
      <c r="BB814" s="76"/>
      <c r="BC814" s="78"/>
    </row>
    <row r="815" spans="1:55" x14ac:dyDescent="0.25">
      <c r="A815" s="68"/>
      <c r="B815" s="68"/>
      <c r="C815" s="68"/>
      <c r="D815" s="70"/>
      <c r="E815" s="70"/>
      <c r="F815" s="70"/>
      <c r="G815" s="72"/>
      <c r="H815" s="74"/>
      <c r="I815" s="74"/>
      <c r="J815" s="75"/>
      <c r="K815" s="81"/>
      <c r="L815" s="76"/>
      <c r="M815" s="76"/>
      <c r="N815" s="76"/>
      <c r="O815" s="71"/>
      <c r="P815" s="70"/>
      <c r="Q815" s="71"/>
      <c r="R815" s="71"/>
      <c r="S815" s="70"/>
      <c r="T815" s="71"/>
      <c r="U815" s="71"/>
      <c r="V815" s="75"/>
      <c r="W815" s="69"/>
      <c r="X815" s="69"/>
      <c r="Y815" s="69"/>
      <c r="Z815" s="69"/>
      <c r="AA815" s="69"/>
      <c r="AB815" s="69"/>
      <c r="AC815" s="69"/>
      <c r="AD815" s="69"/>
      <c r="AE815" s="76"/>
      <c r="AF815" s="71"/>
      <c r="AG815" s="71"/>
      <c r="AH815" s="71"/>
      <c r="AI815" s="71"/>
      <c r="AJ815" s="71"/>
      <c r="AK815" s="71"/>
      <c r="AL815" s="71"/>
      <c r="AM815" s="71"/>
      <c r="AN815" s="68"/>
      <c r="AO815" s="68"/>
      <c r="AP815" s="70"/>
      <c r="AQ815" s="71"/>
      <c r="AR815" s="77"/>
      <c r="AS815" s="70"/>
      <c r="AT815" s="68"/>
      <c r="AU815" s="70"/>
      <c r="AV815" s="70"/>
      <c r="AW815" s="71"/>
      <c r="AX815" s="71"/>
      <c r="AY815" s="70"/>
      <c r="AZ815" s="76"/>
      <c r="BA815" s="76"/>
      <c r="BB815" s="76"/>
      <c r="BC815" s="78"/>
    </row>
    <row r="816" spans="1:55" x14ac:dyDescent="0.25">
      <c r="A816" s="68"/>
      <c r="B816" s="68"/>
      <c r="C816" s="68"/>
      <c r="D816" s="70"/>
      <c r="E816" s="70"/>
      <c r="F816" s="70"/>
      <c r="G816" s="72"/>
      <c r="H816" s="74"/>
      <c r="I816" s="74"/>
      <c r="J816" s="75"/>
      <c r="K816" s="81"/>
      <c r="L816" s="76"/>
      <c r="M816" s="76"/>
      <c r="N816" s="76"/>
      <c r="O816" s="71"/>
      <c r="P816" s="70"/>
      <c r="Q816" s="71"/>
      <c r="R816" s="71"/>
      <c r="S816" s="70"/>
      <c r="T816" s="71"/>
      <c r="U816" s="71"/>
      <c r="V816" s="75"/>
      <c r="W816" s="69"/>
      <c r="X816" s="69"/>
      <c r="Y816" s="69"/>
      <c r="Z816" s="69"/>
      <c r="AA816" s="69"/>
      <c r="AB816" s="69"/>
      <c r="AC816" s="69"/>
      <c r="AD816" s="69"/>
      <c r="AE816" s="76"/>
      <c r="AF816" s="71"/>
      <c r="AG816" s="71"/>
      <c r="AH816" s="71"/>
      <c r="AI816" s="71"/>
      <c r="AJ816" s="71"/>
      <c r="AK816" s="71"/>
      <c r="AL816" s="71"/>
      <c r="AM816" s="71"/>
      <c r="AN816" s="68"/>
      <c r="AO816" s="68"/>
      <c r="AP816" s="70"/>
      <c r="AQ816" s="71"/>
      <c r="AR816" s="77"/>
      <c r="AS816" s="70"/>
      <c r="AT816" s="68"/>
      <c r="AU816" s="70"/>
      <c r="AV816" s="70"/>
      <c r="AW816" s="71"/>
      <c r="AX816" s="71"/>
      <c r="AY816" s="70"/>
      <c r="AZ816" s="76"/>
      <c r="BA816" s="76"/>
      <c r="BB816" s="76"/>
      <c r="BC816" s="78"/>
    </row>
    <row r="817" spans="1:55" x14ac:dyDescent="0.25">
      <c r="A817" s="68"/>
      <c r="B817" s="68"/>
      <c r="C817" s="68"/>
      <c r="D817" s="70"/>
      <c r="E817" s="70"/>
      <c r="F817" s="70"/>
      <c r="G817" s="72"/>
      <c r="H817" s="74"/>
      <c r="I817" s="74"/>
      <c r="J817" s="75"/>
      <c r="K817" s="81"/>
      <c r="L817" s="76"/>
      <c r="M817" s="76"/>
      <c r="N817" s="76"/>
      <c r="O817" s="71"/>
      <c r="P817" s="70"/>
      <c r="Q817" s="71"/>
      <c r="R817" s="71"/>
      <c r="S817" s="70"/>
      <c r="T817" s="71"/>
      <c r="U817" s="71"/>
      <c r="V817" s="75"/>
      <c r="W817" s="69"/>
      <c r="X817" s="69"/>
      <c r="Y817" s="69"/>
      <c r="Z817" s="69"/>
      <c r="AA817" s="69"/>
      <c r="AB817" s="69"/>
      <c r="AC817" s="69"/>
      <c r="AD817" s="69"/>
      <c r="AE817" s="76"/>
      <c r="AF817" s="71"/>
      <c r="AG817" s="71"/>
      <c r="AH817" s="71"/>
      <c r="AI817" s="71"/>
      <c r="AJ817" s="71"/>
      <c r="AK817" s="71"/>
      <c r="AL817" s="71"/>
      <c r="AM817" s="71"/>
      <c r="AN817" s="68"/>
      <c r="AO817" s="68"/>
      <c r="AP817" s="70"/>
      <c r="AQ817" s="71"/>
      <c r="AR817" s="77"/>
      <c r="AS817" s="70"/>
      <c r="AT817" s="68"/>
      <c r="AU817" s="70"/>
      <c r="AV817" s="70"/>
      <c r="AW817" s="71"/>
      <c r="AX817" s="71"/>
      <c r="AY817" s="70"/>
      <c r="AZ817" s="76"/>
      <c r="BA817" s="76"/>
      <c r="BB817" s="76"/>
      <c r="BC817" s="78"/>
    </row>
    <row r="818" spans="1:55" x14ac:dyDescent="0.25">
      <c r="A818" s="68"/>
      <c r="B818" s="68"/>
      <c r="C818" s="68"/>
      <c r="D818" s="70"/>
      <c r="E818" s="70"/>
      <c r="F818" s="70"/>
      <c r="G818" s="72"/>
      <c r="H818" s="74"/>
      <c r="I818" s="74"/>
      <c r="J818" s="75"/>
      <c r="K818" s="81"/>
      <c r="L818" s="76"/>
      <c r="M818" s="76"/>
      <c r="N818" s="76"/>
      <c r="O818" s="71"/>
      <c r="P818" s="70"/>
      <c r="Q818" s="71"/>
      <c r="R818" s="71"/>
      <c r="S818" s="70"/>
      <c r="T818" s="71"/>
      <c r="U818" s="71"/>
      <c r="V818" s="75"/>
      <c r="W818" s="69"/>
      <c r="X818" s="69"/>
      <c r="Y818" s="69"/>
      <c r="Z818" s="69"/>
      <c r="AA818" s="69"/>
      <c r="AB818" s="69"/>
      <c r="AC818" s="69"/>
      <c r="AD818" s="69"/>
      <c r="AE818" s="76"/>
      <c r="AF818" s="71"/>
      <c r="AG818" s="71"/>
      <c r="AH818" s="71"/>
      <c r="AI818" s="71"/>
      <c r="AJ818" s="71"/>
      <c r="AK818" s="71"/>
      <c r="AL818" s="71"/>
      <c r="AM818" s="71"/>
      <c r="AN818" s="68"/>
      <c r="AO818" s="68"/>
      <c r="AP818" s="70"/>
      <c r="AQ818" s="71"/>
      <c r="AR818" s="77"/>
      <c r="AS818" s="70"/>
      <c r="AT818" s="68"/>
      <c r="AU818" s="70"/>
      <c r="AV818" s="70"/>
      <c r="AW818" s="71"/>
      <c r="AX818" s="71"/>
      <c r="AY818" s="70"/>
      <c r="AZ818" s="76"/>
      <c r="BA818" s="76"/>
      <c r="BB818" s="76"/>
      <c r="BC818" s="78"/>
    </row>
    <row r="819" spans="1:55" x14ac:dyDescent="0.25">
      <c r="A819" s="68"/>
      <c r="B819" s="68"/>
      <c r="C819" s="68"/>
      <c r="D819" s="70"/>
      <c r="E819" s="70"/>
      <c r="F819" s="70"/>
      <c r="G819" s="72"/>
      <c r="H819" s="74"/>
      <c r="I819" s="74"/>
      <c r="J819" s="75"/>
      <c r="K819" s="81"/>
      <c r="L819" s="76"/>
      <c r="M819" s="76"/>
      <c r="N819" s="76"/>
      <c r="O819" s="71"/>
      <c r="P819" s="70"/>
      <c r="Q819" s="71"/>
      <c r="R819" s="71"/>
      <c r="S819" s="70"/>
      <c r="T819" s="71"/>
      <c r="U819" s="71"/>
      <c r="V819" s="75"/>
      <c r="W819" s="69"/>
      <c r="X819" s="69"/>
      <c r="Y819" s="69"/>
      <c r="Z819" s="69"/>
      <c r="AA819" s="69"/>
      <c r="AB819" s="69"/>
      <c r="AC819" s="69"/>
      <c r="AD819" s="69"/>
      <c r="AE819" s="76"/>
      <c r="AF819" s="71"/>
      <c r="AG819" s="71"/>
      <c r="AH819" s="71"/>
      <c r="AI819" s="71"/>
      <c r="AJ819" s="71"/>
      <c r="AK819" s="71"/>
      <c r="AL819" s="71"/>
      <c r="AM819" s="71"/>
      <c r="AN819" s="68"/>
      <c r="AO819" s="68"/>
      <c r="AP819" s="70"/>
      <c r="AQ819" s="71"/>
      <c r="AR819" s="77"/>
      <c r="AS819" s="70"/>
      <c r="AT819" s="68"/>
      <c r="AU819" s="70"/>
      <c r="AV819" s="70"/>
      <c r="AW819" s="71"/>
      <c r="AX819" s="71"/>
      <c r="AY819" s="70"/>
      <c r="AZ819" s="76"/>
      <c r="BA819" s="76"/>
      <c r="BB819" s="76"/>
      <c r="BC819" s="78"/>
    </row>
    <row r="820" spans="1:55" x14ac:dyDescent="0.25">
      <c r="A820" s="68"/>
      <c r="B820" s="68"/>
      <c r="C820" s="68"/>
      <c r="D820" s="70"/>
      <c r="E820" s="70"/>
      <c r="F820" s="70"/>
      <c r="G820" s="72"/>
      <c r="H820" s="74"/>
      <c r="I820" s="74"/>
      <c r="J820" s="75"/>
      <c r="K820" s="81"/>
      <c r="L820" s="76"/>
      <c r="M820" s="76"/>
      <c r="N820" s="76"/>
      <c r="O820" s="71"/>
      <c r="P820" s="70"/>
      <c r="Q820" s="71"/>
      <c r="R820" s="71"/>
      <c r="S820" s="70"/>
      <c r="T820" s="71"/>
      <c r="U820" s="71"/>
      <c r="V820" s="75"/>
      <c r="W820" s="69"/>
      <c r="X820" s="69"/>
      <c r="Y820" s="69"/>
      <c r="Z820" s="69"/>
      <c r="AA820" s="69"/>
      <c r="AB820" s="69"/>
      <c r="AC820" s="69"/>
      <c r="AD820" s="69"/>
      <c r="AE820" s="76"/>
      <c r="AF820" s="71"/>
      <c r="AG820" s="71"/>
      <c r="AH820" s="71"/>
      <c r="AI820" s="71"/>
      <c r="AJ820" s="71"/>
      <c r="AK820" s="71"/>
      <c r="AL820" s="71"/>
      <c r="AM820" s="71"/>
      <c r="AN820" s="68"/>
      <c r="AO820" s="68"/>
      <c r="AP820" s="70"/>
      <c r="AQ820" s="71"/>
      <c r="AR820" s="77"/>
      <c r="AS820" s="70"/>
      <c r="AT820" s="68"/>
      <c r="AU820" s="70"/>
      <c r="AV820" s="70"/>
      <c r="AW820" s="71"/>
      <c r="AX820" s="71"/>
      <c r="AY820" s="70"/>
      <c r="AZ820" s="76"/>
      <c r="BA820" s="76"/>
      <c r="BB820" s="76"/>
      <c r="BC820" s="78"/>
    </row>
    <row r="821" spans="1:55" x14ac:dyDescent="0.25">
      <c r="A821" s="68"/>
      <c r="B821" s="68"/>
      <c r="C821" s="68"/>
      <c r="D821" s="70"/>
      <c r="E821" s="70"/>
      <c r="F821" s="70"/>
      <c r="G821" s="72"/>
      <c r="H821" s="74"/>
      <c r="I821" s="74"/>
      <c r="J821" s="75"/>
      <c r="K821" s="81"/>
      <c r="L821" s="76"/>
      <c r="M821" s="76"/>
      <c r="N821" s="76"/>
      <c r="O821" s="71"/>
      <c r="P821" s="70"/>
      <c r="Q821" s="71"/>
      <c r="R821" s="71"/>
      <c r="S821" s="70"/>
      <c r="T821" s="71"/>
      <c r="U821" s="71"/>
      <c r="V821" s="75"/>
      <c r="W821" s="69"/>
      <c r="X821" s="69"/>
      <c r="Y821" s="69"/>
      <c r="Z821" s="69"/>
      <c r="AA821" s="69"/>
      <c r="AB821" s="69"/>
      <c r="AC821" s="69"/>
      <c r="AD821" s="69"/>
      <c r="AE821" s="76"/>
      <c r="AF821" s="71"/>
      <c r="AG821" s="71"/>
      <c r="AH821" s="71"/>
      <c r="AI821" s="71"/>
      <c r="AJ821" s="71"/>
      <c r="AK821" s="71"/>
      <c r="AL821" s="71"/>
      <c r="AM821" s="71"/>
      <c r="AN821" s="68"/>
      <c r="AO821" s="68"/>
      <c r="AP821" s="70"/>
      <c r="AQ821" s="71"/>
      <c r="AR821" s="77"/>
      <c r="AS821" s="70"/>
      <c r="AT821" s="68"/>
      <c r="AU821" s="70"/>
      <c r="AV821" s="70"/>
      <c r="AW821" s="71"/>
      <c r="AX821" s="71"/>
      <c r="AY821" s="70"/>
      <c r="AZ821" s="76"/>
      <c r="BA821" s="76"/>
      <c r="BB821" s="76"/>
      <c r="BC821" s="78"/>
    </row>
    <row r="822" spans="1:55" x14ac:dyDescent="0.25">
      <c r="A822" s="68"/>
      <c r="B822" s="68"/>
      <c r="C822" s="68"/>
      <c r="D822" s="70"/>
      <c r="E822" s="70"/>
      <c r="F822" s="70"/>
      <c r="G822" s="72"/>
      <c r="H822" s="74"/>
      <c r="I822" s="74"/>
      <c r="J822" s="75"/>
      <c r="K822" s="81"/>
      <c r="L822" s="76"/>
      <c r="M822" s="76"/>
      <c r="N822" s="76"/>
      <c r="O822" s="71"/>
      <c r="P822" s="70"/>
      <c r="Q822" s="71"/>
      <c r="R822" s="71"/>
      <c r="S822" s="70"/>
      <c r="T822" s="71"/>
      <c r="U822" s="71"/>
      <c r="V822" s="75"/>
      <c r="W822" s="69"/>
      <c r="X822" s="69"/>
      <c r="Y822" s="69"/>
      <c r="Z822" s="69"/>
      <c r="AA822" s="69"/>
      <c r="AB822" s="69"/>
      <c r="AC822" s="69"/>
      <c r="AD822" s="69"/>
      <c r="AE822" s="76"/>
      <c r="AF822" s="71"/>
      <c r="AG822" s="71"/>
      <c r="AH822" s="71"/>
      <c r="AI822" s="71"/>
      <c r="AJ822" s="71"/>
      <c r="AK822" s="71"/>
      <c r="AL822" s="71"/>
      <c r="AM822" s="71"/>
      <c r="AN822" s="68"/>
      <c r="AO822" s="68"/>
      <c r="AP822" s="70"/>
      <c r="AQ822" s="71"/>
      <c r="AR822" s="77"/>
      <c r="AS822" s="70"/>
      <c r="AT822" s="68"/>
      <c r="AU822" s="70"/>
      <c r="AV822" s="70"/>
      <c r="AW822" s="71"/>
      <c r="AX822" s="71"/>
      <c r="AY822" s="70"/>
      <c r="AZ822" s="76"/>
      <c r="BA822" s="76"/>
      <c r="BB822" s="76"/>
      <c r="BC822" s="78"/>
    </row>
    <row r="823" spans="1:55" x14ac:dyDescent="0.25">
      <c r="A823" s="68"/>
      <c r="B823" s="68"/>
      <c r="C823" s="68"/>
      <c r="D823" s="70"/>
      <c r="E823" s="70"/>
      <c r="F823" s="70"/>
      <c r="G823" s="72"/>
      <c r="H823" s="74"/>
      <c r="I823" s="74"/>
      <c r="J823" s="75"/>
      <c r="K823" s="81"/>
      <c r="L823" s="76"/>
      <c r="M823" s="76"/>
      <c r="N823" s="76"/>
      <c r="O823" s="71"/>
      <c r="P823" s="70"/>
      <c r="Q823" s="71"/>
      <c r="R823" s="71"/>
      <c r="S823" s="70"/>
      <c r="T823" s="71"/>
      <c r="U823" s="71"/>
      <c r="V823" s="75"/>
      <c r="W823" s="69"/>
      <c r="X823" s="69"/>
      <c r="Y823" s="69"/>
      <c r="Z823" s="69"/>
      <c r="AA823" s="69"/>
      <c r="AB823" s="69"/>
      <c r="AC823" s="69"/>
      <c r="AD823" s="69"/>
      <c r="AE823" s="76"/>
      <c r="AF823" s="71"/>
      <c r="AG823" s="71"/>
      <c r="AH823" s="71"/>
      <c r="AI823" s="71"/>
      <c r="AJ823" s="71"/>
      <c r="AK823" s="71"/>
      <c r="AL823" s="71"/>
      <c r="AM823" s="71"/>
      <c r="AN823" s="68"/>
      <c r="AO823" s="68"/>
      <c r="AP823" s="70"/>
      <c r="AQ823" s="71"/>
      <c r="AR823" s="77"/>
      <c r="AS823" s="70"/>
      <c r="AT823" s="68"/>
      <c r="AU823" s="70"/>
      <c r="AV823" s="70"/>
      <c r="AW823" s="71"/>
      <c r="AX823" s="71"/>
      <c r="AY823" s="70"/>
      <c r="AZ823" s="76"/>
      <c r="BA823" s="76"/>
      <c r="BB823" s="76"/>
      <c r="BC823" s="78"/>
    </row>
    <row r="824" spans="1:55" x14ac:dyDescent="0.25">
      <c r="A824" s="68"/>
      <c r="B824" s="68"/>
      <c r="C824" s="68"/>
      <c r="D824" s="70"/>
      <c r="E824" s="70"/>
      <c r="F824" s="70"/>
      <c r="G824" s="72"/>
      <c r="H824" s="74"/>
      <c r="I824" s="74"/>
      <c r="J824" s="75"/>
      <c r="K824" s="81"/>
      <c r="L824" s="76"/>
      <c r="M824" s="76"/>
      <c r="N824" s="76"/>
      <c r="O824" s="71"/>
      <c r="P824" s="70"/>
      <c r="Q824" s="71"/>
      <c r="R824" s="71"/>
      <c r="S824" s="70"/>
      <c r="T824" s="71"/>
      <c r="U824" s="71"/>
      <c r="V824" s="75"/>
      <c r="W824" s="69"/>
      <c r="X824" s="69"/>
      <c r="Y824" s="69"/>
      <c r="Z824" s="69"/>
      <c r="AA824" s="69"/>
      <c r="AB824" s="69"/>
      <c r="AC824" s="69"/>
      <c r="AD824" s="69"/>
      <c r="AE824" s="76"/>
      <c r="AF824" s="71"/>
      <c r="AG824" s="71"/>
      <c r="AH824" s="71"/>
      <c r="AI824" s="71"/>
      <c r="AJ824" s="71"/>
      <c r="AK824" s="71"/>
      <c r="AL824" s="71"/>
      <c r="AM824" s="71"/>
      <c r="AN824" s="68"/>
      <c r="AO824" s="68"/>
      <c r="AP824" s="70"/>
      <c r="AQ824" s="71"/>
      <c r="AR824" s="77"/>
      <c r="AS824" s="70"/>
      <c r="AT824" s="68"/>
      <c r="AU824" s="70"/>
      <c r="AV824" s="70"/>
      <c r="AW824" s="71"/>
      <c r="AX824" s="71"/>
      <c r="AY824" s="70"/>
      <c r="AZ824" s="76"/>
      <c r="BA824" s="76"/>
      <c r="BB824" s="76"/>
      <c r="BC824" s="78"/>
    </row>
    <row r="825" spans="1:55" x14ac:dyDescent="0.25">
      <c r="A825" s="68"/>
      <c r="B825" s="68"/>
      <c r="C825" s="68"/>
      <c r="D825" s="70"/>
      <c r="E825" s="70"/>
      <c r="F825" s="70"/>
      <c r="G825" s="72"/>
      <c r="H825" s="74"/>
      <c r="I825" s="74"/>
      <c r="J825" s="75"/>
      <c r="K825" s="81"/>
      <c r="L825" s="76"/>
      <c r="M825" s="76"/>
      <c r="N825" s="76"/>
      <c r="O825" s="71"/>
      <c r="P825" s="70"/>
      <c r="Q825" s="71"/>
      <c r="R825" s="71"/>
      <c r="S825" s="70"/>
      <c r="T825" s="71"/>
      <c r="U825" s="71"/>
      <c r="V825" s="75"/>
      <c r="W825" s="69"/>
      <c r="X825" s="69"/>
      <c r="Y825" s="69"/>
      <c r="Z825" s="69"/>
      <c r="AA825" s="69"/>
      <c r="AB825" s="69"/>
      <c r="AC825" s="69"/>
      <c r="AD825" s="69"/>
      <c r="AE825" s="76"/>
      <c r="AF825" s="71"/>
      <c r="AG825" s="71"/>
      <c r="AH825" s="71"/>
      <c r="AI825" s="71"/>
      <c r="AJ825" s="71"/>
      <c r="AK825" s="71"/>
      <c r="AL825" s="71"/>
      <c r="AM825" s="71"/>
      <c r="AN825" s="68"/>
      <c r="AO825" s="68"/>
      <c r="AP825" s="70"/>
      <c r="AQ825" s="71"/>
      <c r="AR825" s="77"/>
      <c r="AS825" s="70"/>
      <c r="AT825" s="68"/>
      <c r="AU825" s="70"/>
      <c r="AV825" s="70"/>
      <c r="AW825" s="71"/>
      <c r="AX825" s="71"/>
      <c r="AY825" s="70"/>
      <c r="AZ825" s="76"/>
      <c r="BA825" s="76"/>
      <c r="BB825" s="76"/>
      <c r="BC825" s="78"/>
    </row>
    <row r="826" spans="1:55" x14ac:dyDescent="0.25">
      <c r="A826" s="68"/>
      <c r="B826" s="68"/>
      <c r="C826" s="68"/>
      <c r="D826" s="70"/>
      <c r="E826" s="70"/>
      <c r="F826" s="70"/>
      <c r="G826" s="72"/>
      <c r="H826" s="74"/>
      <c r="I826" s="74"/>
      <c r="J826" s="75"/>
      <c r="K826" s="81"/>
      <c r="L826" s="76"/>
      <c r="M826" s="76"/>
      <c r="N826" s="76"/>
      <c r="O826" s="71"/>
      <c r="P826" s="70"/>
      <c r="Q826" s="71"/>
      <c r="R826" s="71"/>
      <c r="S826" s="70"/>
      <c r="T826" s="71"/>
      <c r="U826" s="71"/>
      <c r="V826" s="75"/>
      <c r="W826" s="69"/>
      <c r="X826" s="69"/>
      <c r="Y826" s="69"/>
      <c r="Z826" s="69"/>
      <c r="AA826" s="69"/>
      <c r="AB826" s="69"/>
      <c r="AC826" s="69"/>
      <c r="AD826" s="69"/>
      <c r="AE826" s="76"/>
      <c r="AF826" s="71"/>
      <c r="AG826" s="71"/>
      <c r="AH826" s="71"/>
      <c r="AI826" s="71"/>
      <c r="AJ826" s="71"/>
      <c r="AK826" s="71"/>
      <c r="AL826" s="71"/>
      <c r="AM826" s="71"/>
      <c r="AN826" s="68"/>
      <c r="AO826" s="68"/>
      <c r="AP826" s="70"/>
      <c r="AQ826" s="71"/>
      <c r="AR826" s="77"/>
      <c r="AS826" s="70"/>
      <c r="AT826" s="68"/>
      <c r="AU826" s="70"/>
      <c r="AV826" s="70"/>
      <c r="AW826" s="71"/>
      <c r="AX826" s="71"/>
      <c r="AY826" s="70"/>
      <c r="AZ826" s="76"/>
      <c r="BA826" s="76"/>
      <c r="BB826" s="76"/>
      <c r="BC826" s="78"/>
    </row>
    <row r="827" spans="1:55" x14ac:dyDescent="0.25">
      <c r="A827" s="68"/>
      <c r="B827" s="68"/>
      <c r="C827" s="68"/>
      <c r="D827" s="70"/>
      <c r="E827" s="70"/>
      <c r="F827" s="70"/>
      <c r="G827" s="72"/>
      <c r="H827" s="74"/>
      <c r="I827" s="74"/>
      <c r="J827" s="75"/>
      <c r="K827" s="81"/>
      <c r="L827" s="76"/>
      <c r="M827" s="76"/>
      <c r="N827" s="76"/>
      <c r="O827" s="71"/>
      <c r="P827" s="70"/>
      <c r="Q827" s="71"/>
      <c r="R827" s="71"/>
      <c r="S827" s="70"/>
      <c r="T827" s="71"/>
      <c r="U827" s="71"/>
      <c r="V827" s="75"/>
      <c r="W827" s="69"/>
      <c r="X827" s="69"/>
      <c r="Y827" s="69"/>
      <c r="Z827" s="69"/>
      <c r="AA827" s="69"/>
      <c r="AB827" s="69"/>
      <c r="AC827" s="69"/>
      <c r="AD827" s="69"/>
      <c r="AE827" s="76"/>
      <c r="AF827" s="71"/>
      <c r="AG827" s="71"/>
      <c r="AH827" s="71"/>
      <c r="AI827" s="71"/>
      <c r="AJ827" s="71"/>
      <c r="AK827" s="71"/>
      <c r="AL827" s="71"/>
      <c r="AM827" s="71"/>
      <c r="AN827" s="68"/>
      <c r="AO827" s="68"/>
      <c r="AP827" s="70"/>
      <c r="AQ827" s="71"/>
      <c r="AR827" s="77"/>
      <c r="AS827" s="70"/>
      <c r="AT827" s="68"/>
      <c r="AU827" s="70"/>
      <c r="AV827" s="70"/>
      <c r="AW827" s="71"/>
      <c r="AX827" s="71"/>
      <c r="AY827" s="70"/>
      <c r="AZ827" s="76"/>
      <c r="BA827" s="76"/>
      <c r="BB827" s="76"/>
      <c r="BC827" s="78"/>
    </row>
    <row r="828" spans="1:55" x14ac:dyDescent="0.25">
      <c r="A828" s="68"/>
      <c r="B828" s="68"/>
      <c r="C828" s="68"/>
      <c r="D828" s="70"/>
      <c r="E828" s="70"/>
      <c r="F828" s="70"/>
      <c r="G828" s="72"/>
      <c r="H828" s="74"/>
      <c r="I828" s="74"/>
      <c r="J828" s="75"/>
      <c r="K828" s="81"/>
      <c r="L828" s="76"/>
      <c r="M828" s="76"/>
      <c r="N828" s="76"/>
      <c r="O828" s="71"/>
      <c r="P828" s="70"/>
      <c r="Q828" s="71"/>
      <c r="R828" s="71"/>
      <c r="S828" s="70"/>
      <c r="T828" s="71"/>
      <c r="U828" s="71"/>
      <c r="V828" s="75"/>
      <c r="W828" s="69"/>
      <c r="X828" s="69"/>
      <c r="Y828" s="69"/>
      <c r="Z828" s="69"/>
      <c r="AA828" s="69"/>
      <c r="AB828" s="69"/>
      <c r="AC828" s="69"/>
      <c r="AD828" s="69"/>
      <c r="AE828" s="76"/>
      <c r="AF828" s="71"/>
      <c r="AG828" s="71"/>
      <c r="AH828" s="71"/>
      <c r="AI828" s="71"/>
      <c r="AJ828" s="71"/>
      <c r="AK828" s="71"/>
      <c r="AL828" s="71"/>
      <c r="AM828" s="71"/>
      <c r="AN828" s="68"/>
      <c r="AO828" s="68"/>
      <c r="AP828" s="70"/>
      <c r="AQ828" s="71"/>
      <c r="AR828" s="77"/>
      <c r="AS828" s="70"/>
      <c r="AT828" s="68"/>
      <c r="AU828" s="70"/>
      <c r="AV828" s="70"/>
      <c r="AW828" s="71"/>
      <c r="AX828" s="71"/>
      <c r="AY828" s="70"/>
      <c r="AZ828" s="76"/>
      <c r="BA828" s="76"/>
      <c r="BB828" s="76"/>
      <c r="BC828" s="78"/>
    </row>
    <row r="829" spans="1:55" x14ac:dyDescent="0.25">
      <c r="A829" s="68"/>
      <c r="B829" s="68"/>
      <c r="C829" s="68"/>
      <c r="D829" s="70"/>
      <c r="E829" s="70"/>
      <c r="F829" s="70"/>
      <c r="G829" s="72"/>
      <c r="H829" s="74"/>
      <c r="I829" s="74"/>
      <c r="J829" s="75"/>
      <c r="K829" s="81"/>
      <c r="L829" s="76"/>
      <c r="M829" s="76"/>
      <c r="N829" s="76"/>
      <c r="O829" s="71"/>
      <c r="P829" s="70"/>
      <c r="Q829" s="71"/>
      <c r="R829" s="71"/>
      <c r="S829" s="70"/>
      <c r="T829" s="71"/>
      <c r="U829" s="71"/>
      <c r="V829" s="75"/>
      <c r="W829" s="69"/>
      <c r="X829" s="69"/>
      <c r="Y829" s="69"/>
      <c r="Z829" s="69"/>
      <c r="AA829" s="69"/>
      <c r="AB829" s="69"/>
      <c r="AC829" s="69"/>
      <c r="AD829" s="69"/>
      <c r="AE829" s="76"/>
      <c r="AF829" s="71"/>
      <c r="AG829" s="71"/>
      <c r="AH829" s="71"/>
      <c r="AI829" s="71"/>
      <c r="AJ829" s="71"/>
      <c r="AK829" s="71"/>
      <c r="AL829" s="71"/>
      <c r="AM829" s="71"/>
      <c r="AN829" s="68"/>
      <c r="AO829" s="68"/>
      <c r="AP829" s="70"/>
      <c r="AQ829" s="71"/>
      <c r="AR829" s="77"/>
      <c r="AS829" s="70"/>
      <c r="AT829" s="68"/>
      <c r="AU829" s="70"/>
      <c r="AV829" s="70"/>
      <c r="AW829" s="71"/>
      <c r="AX829" s="71"/>
      <c r="AY829" s="70"/>
      <c r="AZ829" s="76"/>
      <c r="BA829" s="76"/>
      <c r="BB829" s="76"/>
      <c r="BC829" s="78"/>
    </row>
    <row r="830" spans="1:55" x14ac:dyDescent="0.25">
      <c r="A830" s="68"/>
      <c r="B830" s="68"/>
      <c r="C830" s="68"/>
      <c r="D830" s="70"/>
      <c r="E830" s="70"/>
      <c r="F830" s="70"/>
      <c r="G830" s="72"/>
      <c r="H830" s="74"/>
      <c r="I830" s="74"/>
      <c r="J830" s="75"/>
      <c r="K830" s="81"/>
      <c r="L830" s="76"/>
      <c r="M830" s="76"/>
      <c r="N830" s="76"/>
      <c r="O830" s="71"/>
      <c r="P830" s="70"/>
      <c r="Q830" s="71"/>
      <c r="R830" s="71"/>
      <c r="S830" s="70"/>
      <c r="T830" s="71"/>
      <c r="U830" s="71"/>
      <c r="V830" s="75"/>
      <c r="W830" s="69"/>
      <c r="X830" s="69"/>
      <c r="Y830" s="69"/>
      <c r="Z830" s="69"/>
      <c r="AA830" s="69"/>
      <c r="AB830" s="69"/>
      <c r="AC830" s="69"/>
      <c r="AD830" s="69"/>
      <c r="AE830" s="76"/>
      <c r="AF830" s="71"/>
      <c r="AG830" s="71"/>
      <c r="AH830" s="71"/>
      <c r="AI830" s="71"/>
      <c r="AJ830" s="71"/>
      <c r="AK830" s="71"/>
      <c r="AL830" s="71"/>
      <c r="AM830" s="71"/>
      <c r="AN830" s="68"/>
      <c r="AO830" s="68"/>
      <c r="AP830" s="70"/>
      <c r="AQ830" s="71"/>
      <c r="AR830" s="77"/>
      <c r="AS830" s="70"/>
      <c r="AT830" s="68"/>
      <c r="AU830" s="70"/>
      <c r="AV830" s="70"/>
      <c r="AW830" s="71"/>
      <c r="AX830" s="71"/>
      <c r="AY830" s="70"/>
      <c r="AZ830" s="76"/>
      <c r="BA830" s="76"/>
      <c r="BB830" s="76"/>
      <c r="BC830" s="78"/>
    </row>
    <row r="831" spans="1:55" x14ac:dyDescent="0.25">
      <c r="A831" s="68"/>
      <c r="B831" s="68"/>
      <c r="C831" s="68"/>
      <c r="D831" s="70"/>
      <c r="E831" s="70"/>
      <c r="F831" s="70"/>
      <c r="G831" s="72"/>
      <c r="H831" s="74"/>
      <c r="I831" s="74"/>
      <c r="J831" s="75"/>
      <c r="K831" s="81"/>
      <c r="L831" s="76"/>
      <c r="M831" s="76"/>
      <c r="N831" s="76"/>
      <c r="O831" s="71"/>
      <c r="P831" s="70"/>
      <c r="Q831" s="71"/>
      <c r="R831" s="71"/>
      <c r="S831" s="70"/>
      <c r="T831" s="71"/>
      <c r="U831" s="71"/>
      <c r="V831" s="75"/>
      <c r="W831" s="69"/>
      <c r="X831" s="69"/>
      <c r="Y831" s="69"/>
      <c r="Z831" s="69"/>
      <c r="AA831" s="69"/>
      <c r="AB831" s="69"/>
      <c r="AC831" s="69"/>
      <c r="AD831" s="69"/>
      <c r="AE831" s="76"/>
      <c r="AF831" s="71"/>
      <c r="AG831" s="71"/>
      <c r="AH831" s="71"/>
      <c r="AI831" s="71"/>
      <c r="AJ831" s="71"/>
      <c r="AK831" s="71"/>
      <c r="AL831" s="71"/>
      <c r="AM831" s="71"/>
      <c r="AN831" s="68"/>
      <c r="AO831" s="68"/>
      <c r="AP831" s="70"/>
      <c r="AQ831" s="71"/>
      <c r="AR831" s="77"/>
      <c r="AS831" s="70"/>
      <c r="AT831" s="68"/>
      <c r="AU831" s="70"/>
      <c r="AV831" s="70"/>
      <c r="AW831" s="71"/>
      <c r="AX831" s="71"/>
      <c r="AY831" s="70"/>
      <c r="AZ831" s="76"/>
      <c r="BA831" s="76"/>
      <c r="BB831" s="76"/>
      <c r="BC831" s="78"/>
    </row>
    <row r="832" spans="1:55" x14ac:dyDescent="0.25">
      <c r="A832" s="68"/>
      <c r="B832" s="68"/>
      <c r="C832" s="68"/>
      <c r="D832" s="70"/>
      <c r="E832" s="70"/>
      <c r="F832" s="70"/>
      <c r="G832" s="72"/>
      <c r="H832" s="74"/>
      <c r="I832" s="74"/>
      <c r="J832" s="75"/>
      <c r="K832" s="81"/>
      <c r="L832" s="76"/>
      <c r="M832" s="76"/>
      <c r="N832" s="76"/>
      <c r="O832" s="71"/>
      <c r="P832" s="70"/>
      <c r="Q832" s="71"/>
      <c r="R832" s="71"/>
      <c r="S832" s="70"/>
      <c r="T832" s="71"/>
      <c r="U832" s="71"/>
      <c r="V832" s="75"/>
      <c r="W832" s="69"/>
      <c r="X832" s="69"/>
      <c r="Y832" s="69"/>
      <c r="Z832" s="69"/>
      <c r="AA832" s="69"/>
      <c r="AB832" s="69"/>
      <c r="AC832" s="69"/>
      <c r="AD832" s="69"/>
      <c r="AE832" s="76"/>
      <c r="AF832" s="71"/>
      <c r="AG832" s="71"/>
      <c r="AH832" s="71"/>
      <c r="AI832" s="71"/>
      <c r="AJ832" s="71"/>
      <c r="AK832" s="71"/>
      <c r="AL832" s="71"/>
      <c r="AM832" s="71"/>
      <c r="AN832" s="68"/>
      <c r="AO832" s="68"/>
      <c r="AP832" s="70"/>
      <c r="AQ832" s="71"/>
      <c r="AR832" s="77"/>
      <c r="AS832" s="70"/>
      <c r="AT832" s="68"/>
      <c r="AU832" s="70"/>
      <c r="AV832" s="70"/>
      <c r="AW832" s="71"/>
      <c r="AX832" s="71"/>
      <c r="AY832" s="70"/>
      <c r="AZ832" s="76"/>
      <c r="BA832" s="76"/>
      <c r="BB832" s="76"/>
      <c r="BC832" s="78"/>
    </row>
    <row r="833" spans="1:55" x14ac:dyDescent="0.25">
      <c r="A833" s="68"/>
      <c r="B833" s="68"/>
      <c r="C833" s="68"/>
      <c r="D833" s="70"/>
      <c r="E833" s="70"/>
      <c r="F833" s="70"/>
      <c r="G833" s="72"/>
      <c r="H833" s="74"/>
      <c r="I833" s="74"/>
      <c r="J833" s="75"/>
      <c r="K833" s="81"/>
      <c r="L833" s="76"/>
      <c r="M833" s="76"/>
      <c r="N833" s="76"/>
      <c r="O833" s="71"/>
      <c r="P833" s="70"/>
      <c r="Q833" s="71"/>
      <c r="R833" s="71"/>
      <c r="S833" s="70"/>
      <c r="T833" s="71"/>
      <c r="U833" s="71"/>
      <c r="V833" s="75"/>
      <c r="W833" s="69"/>
      <c r="X833" s="69"/>
      <c r="Y833" s="69"/>
      <c r="Z833" s="69"/>
      <c r="AA833" s="69"/>
      <c r="AB833" s="69"/>
      <c r="AC833" s="69"/>
      <c r="AD833" s="69"/>
      <c r="AE833" s="76"/>
      <c r="AF833" s="71"/>
      <c r="AG833" s="71"/>
      <c r="AH833" s="71"/>
      <c r="AI833" s="71"/>
      <c r="AJ833" s="71"/>
      <c r="AK833" s="71"/>
      <c r="AL833" s="71"/>
      <c r="AM833" s="71"/>
      <c r="AN833" s="68"/>
      <c r="AO833" s="68"/>
      <c r="AP833" s="70"/>
      <c r="AQ833" s="71"/>
      <c r="AR833" s="77"/>
      <c r="AS833" s="70"/>
      <c r="AT833" s="68"/>
      <c r="AU833" s="70"/>
      <c r="AV833" s="70"/>
      <c r="AW833" s="71"/>
      <c r="AX833" s="71"/>
      <c r="AY833" s="70"/>
      <c r="AZ833" s="76"/>
      <c r="BA833" s="76"/>
      <c r="BB833" s="76"/>
      <c r="BC833" s="78"/>
    </row>
    <row r="834" spans="1:55" x14ac:dyDescent="0.25">
      <c r="A834" s="68"/>
      <c r="B834" s="68"/>
      <c r="C834" s="68"/>
      <c r="D834" s="70"/>
      <c r="E834" s="70"/>
      <c r="F834" s="70"/>
      <c r="G834" s="72"/>
      <c r="H834" s="74"/>
      <c r="I834" s="74"/>
      <c r="J834" s="75"/>
      <c r="K834" s="81"/>
      <c r="L834" s="76"/>
      <c r="M834" s="76"/>
      <c r="N834" s="76"/>
      <c r="O834" s="71"/>
      <c r="P834" s="70"/>
      <c r="Q834" s="71"/>
      <c r="R834" s="71"/>
      <c r="S834" s="70"/>
      <c r="T834" s="71"/>
      <c r="U834" s="71"/>
      <c r="V834" s="75"/>
      <c r="W834" s="69"/>
      <c r="X834" s="69"/>
      <c r="Y834" s="69"/>
      <c r="Z834" s="69"/>
      <c r="AA834" s="69"/>
      <c r="AB834" s="69"/>
      <c r="AC834" s="69"/>
      <c r="AD834" s="69"/>
      <c r="AE834" s="76"/>
      <c r="AF834" s="71"/>
      <c r="AG834" s="71"/>
      <c r="AH834" s="71"/>
      <c r="AI834" s="71"/>
      <c r="AJ834" s="71"/>
      <c r="AK834" s="71"/>
      <c r="AL834" s="71"/>
      <c r="AM834" s="71"/>
      <c r="AN834" s="68"/>
      <c r="AO834" s="68"/>
      <c r="AP834" s="70"/>
      <c r="AQ834" s="71"/>
      <c r="AR834" s="77"/>
      <c r="AS834" s="70"/>
      <c r="AT834" s="68"/>
      <c r="AU834" s="70"/>
      <c r="AV834" s="70"/>
      <c r="AW834" s="71"/>
      <c r="AX834" s="71"/>
      <c r="AY834" s="70"/>
      <c r="AZ834" s="76"/>
      <c r="BA834" s="76"/>
      <c r="BB834" s="76"/>
      <c r="BC834" s="78"/>
    </row>
    <row r="835" spans="1:55" x14ac:dyDescent="0.25">
      <c r="A835" s="68"/>
      <c r="B835" s="68"/>
      <c r="C835" s="68"/>
      <c r="D835" s="70"/>
      <c r="E835" s="70"/>
      <c r="F835" s="70"/>
      <c r="G835" s="72"/>
      <c r="H835" s="74"/>
      <c r="I835" s="74"/>
      <c r="J835" s="75"/>
      <c r="K835" s="81"/>
      <c r="L835" s="76"/>
      <c r="M835" s="76"/>
      <c r="N835" s="76"/>
      <c r="O835" s="71"/>
      <c r="P835" s="70"/>
      <c r="Q835" s="71"/>
      <c r="R835" s="71"/>
      <c r="S835" s="70"/>
      <c r="T835" s="71"/>
      <c r="U835" s="71"/>
      <c r="V835" s="75"/>
      <c r="W835" s="69"/>
      <c r="X835" s="69"/>
      <c r="Y835" s="69"/>
      <c r="Z835" s="69"/>
      <c r="AA835" s="69"/>
      <c r="AB835" s="69"/>
      <c r="AC835" s="69"/>
      <c r="AD835" s="69"/>
      <c r="AE835" s="76"/>
      <c r="AF835" s="71"/>
      <c r="AG835" s="71"/>
      <c r="AH835" s="71"/>
      <c r="AI835" s="71"/>
      <c r="AJ835" s="71"/>
      <c r="AK835" s="71"/>
      <c r="AL835" s="71"/>
      <c r="AM835" s="71"/>
      <c r="AN835" s="68"/>
      <c r="AO835" s="68"/>
      <c r="AP835" s="70"/>
      <c r="AQ835" s="71"/>
      <c r="AR835" s="77"/>
      <c r="AS835" s="70"/>
      <c r="AT835" s="68"/>
      <c r="AU835" s="70"/>
      <c r="AV835" s="70"/>
      <c r="AW835" s="71"/>
      <c r="AX835" s="71"/>
      <c r="AY835" s="70"/>
      <c r="AZ835" s="76"/>
      <c r="BA835" s="76"/>
      <c r="BB835" s="76"/>
      <c r="BC835" s="78"/>
    </row>
    <row r="836" spans="1:55" x14ac:dyDescent="0.25">
      <c r="A836" s="68"/>
      <c r="B836" s="68"/>
      <c r="C836" s="68"/>
      <c r="D836" s="70"/>
      <c r="E836" s="70"/>
      <c r="F836" s="70"/>
      <c r="G836" s="72"/>
      <c r="H836" s="74"/>
      <c r="I836" s="74"/>
      <c r="J836" s="75"/>
      <c r="K836" s="81"/>
      <c r="L836" s="76"/>
      <c r="M836" s="76"/>
      <c r="N836" s="76"/>
      <c r="O836" s="71"/>
      <c r="P836" s="70"/>
      <c r="Q836" s="71"/>
      <c r="R836" s="71"/>
      <c r="S836" s="70"/>
      <c r="T836" s="71"/>
      <c r="U836" s="71"/>
      <c r="V836" s="75"/>
      <c r="W836" s="69"/>
      <c r="X836" s="69"/>
      <c r="Y836" s="69"/>
      <c r="Z836" s="69"/>
      <c r="AA836" s="69"/>
      <c r="AB836" s="69"/>
      <c r="AC836" s="69"/>
      <c r="AD836" s="69"/>
      <c r="AE836" s="76"/>
      <c r="AF836" s="71"/>
      <c r="AG836" s="71"/>
      <c r="AH836" s="71"/>
      <c r="AI836" s="71"/>
      <c r="AJ836" s="71"/>
      <c r="AK836" s="71"/>
      <c r="AL836" s="71"/>
      <c r="AM836" s="71"/>
      <c r="AN836" s="68"/>
      <c r="AO836" s="68"/>
      <c r="AP836" s="70"/>
      <c r="AQ836" s="71"/>
      <c r="AR836" s="77"/>
      <c r="AS836" s="70"/>
      <c r="AT836" s="68"/>
      <c r="AU836" s="70"/>
      <c r="AV836" s="70"/>
      <c r="AW836" s="71"/>
      <c r="AX836" s="71"/>
      <c r="AY836" s="70"/>
      <c r="AZ836" s="76"/>
      <c r="BA836" s="76"/>
      <c r="BB836" s="76"/>
      <c r="BC836" s="78"/>
    </row>
    <row r="837" spans="1:55" x14ac:dyDescent="0.25">
      <c r="A837" s="68"/>
      <c r="B837" s="68"/>
      <c r="C837" s="68"/>
      <c r="D837" s="70"/>
      <c r="E837" s="70"/>
      <c r="F837" s="70"/>
      <c r="G837" s="72"/>
      <c r="H837" s="74"/>
      <c r="I837" s="74"/>
      <c r="J837" s="75"/>
      <c r="K837" s="81"/>
      <c r="L837" s="76"/>
      <c r="M837" s="76"/>
      <c r="N837" s="76"/>
      <c r="O837" s="71"/>
      <c r="P837" s="70"/>
      <c r="Q837" s="71"/>
      <c r="R837" s="71"/>
      <c r="S837" s="70"/>
      <c r="T837" s="71"/>
      <c r="U837" s="71"/>
      <c r="V837" s="75"/>
      <c r="W837" s="69"/>
      <c r="X837" s="69"/>
      <c r="Y837" s="69"/>
      <c r="Z837" s="69"/>
      <c r="AA837" s="69"/>
      <c r="AB837" s="69"/>
      <c r="AC837" s="69"/>
      <c r="AD837" s="69"/>
      <c r="AE837" s="76"/>
      <c r="AF837" s="71"/>
      <c r="AG837" s="71"/>
      <c r="AH837" s="71"/>
      <c r="AI837" s="71"/>
      <c r="AJ837" s="71"/>
      <c r="AK837" s="71"/>
      <c r="AL837" s="71"/>
      <c r="AM837" s="71"/>
      <c r="AN837" s="68"/>
      <c r="AO837" s="68"/>
      <c r="AP837" s="70"/>
      <c r="AQ837" s="71"/>
      <c r="AR837" s="77"/>
      <c r="AS837" s="70"/>
      <c r="AT837" s="68"/>
      <c r="AU837" s="70"/>
      <c r="AV837" s="70"/>
      <c r="AW837" s="71"/>
      <c r="AX837" s="71"/>
      <c r="AY837" s="70"/>
      <c r="AZ837" s="76"/>
      <c r="BA837" s="76"/>
      <c r="BB837" s="76"/>
      <c r="BC837" s="78"/>
    </row>
    <row r="838" spans="1:55" x14ac:dyDescent="0.25">
      <c r="A838" s="68"/>
      <c r="B838" s="68"/>
      <c r="C838" s="68"/>
      <c r="D838" s="70"/>
      <c r="E838" s="70"/>
      <c r="F838" s="70"/>
      <c r="G838" s="72"/>
      <c r="H838" s="74"/>
      <c r="I838" s="74"/>
      <c r="J838" s="75"/>
      <c r="K838" s="81"/>
      <c r="L838" s="76"/>
      <c r="M838" s="76"/>
      <c r="N838" s="76"/>
      <c r="O838" s="71"/>
      <c r="P838" s="70"/>
      <c r="Q838" s="71"/>
      <c r="R838" s="71"/>
      <c r="S838" s="70"/>
      <c r="T838" s="71"/>
      <c r="U838" s="71"/>
      <c r="V838" s="75"/>
      <c r="W838" s="69"/>
      <c r="X838" s="69"/>
      <c r="Y838" s="69"/>
      <c r="Z838" s="69"/>
      <c r="AA838" s="69"/>
      <c r="AB838" s="69"/>
      <c r="AC838" s="69"/>
      <c r="AD838" s="69"/>
      <c r="AE838" s="76"/>
      <c r="AF838" s="71"/>
      <c r="AG838" s="71"/>
      <c r="AH838" s="71"/>
      <c r="AI838" s="71"/>
      <c r="AJ838" s="71"/>
      <c r="AK838" s="71"/>
      <c r="AL838" s="71"/>
      <c r="AM838" s="71"/>
      <c r="AN838" s="68"/>
      <c r="AO838" s="68"/>
      <c r="AP838" s="70"/>
      <c r="AQ838" s="71"/>
      <c r="AR838" s="77"/>
      <c r="AS838" s="70"/>
      <c r="AT838" s="68"/>
      <c r="AU838" s="70"/>
      <c r="AV838" s="70"/>
      <c r="AW838" s="71"/>
      <c r="AX838" s="71"/>
      <c r="AY838" s="70"/>
      <c r="AZ838" s="76"/>
      <c r="BA838" s="76"/>
      <c r="BB838" s="76"/>
      <c r="BC838" s="78"/>
    </row>
    <row r="839" spans="1:55" x14ac:dyDescent="0.25">
      <c r="A839" s="68"/>
      <c r="B839" s="68"/>
      <c r="C839" s="68"/>
      <c r="D839" s="70"/>
      <c r="E839" s="70"/>
      <c r="F839" s="70"/>
      <c r="G839" s="72"/>
      <c r="H839" s="74"/>
      <c r="I839" s="74"/>
      <c r="J839" s="75"/>
      <c r="K839" s="81"/>
      <c r="L839" s="76"/>
      <c r="M839" s="76"/>
      <c r="N839" s="76"/>
      <c r="O839" s="71"/>
      <c r="P839" s="70"/>
      <c r="Q839" s="71"/>
      <c r="R839" s="71"/>
      <c r="S839" s="70"/>
      <c r="T839" s="71"/>
      <c r="U839" s="71"/>
      <c r="V839" s="75"/>
      <c r="W839" s="69"/>
      <c r="X839" s="69"/>
      <c r="Y839" s="69"/>
      <c r="Z839" s="69"/>
      <c r="AA839" s="69"/>
      <c r="AB839" s="69"/>
      <c r="AC839" s="69"/>
      <c r="AD839" s="69"/>
      <c r="AE839" s="76"/>
      <c r="AF839" s="71"/>
      <c r="AG839" s="71"/>
      <c r="AH839" s="71"/>
      <c r="AI839" s="71"/>
      <c r="AJ839" s="71"/>
      <c r="AK839" s="71"/>
      <c r="AL839" s="71"/>
      <c r="AM839" s="71"/>
      <c r="AN839" s="68"/>
      <c r="AO839" s="68"/>
      <c r="AP839" s="70"/>
      <c r="AQ839" s="71"/>
      <c r="AR839" s="77"/>
      <c r="AS839" s="70"/>
      <c r="AT839" s="68"/>
      <c r="AU839" s="70"/>
      <c r="AV839" s="70"/>
      <c r="AW839" s="71"/>
      <c r="AX839" s="71"/>
      <c r="AY839" s="70"/>
      <c r="AZ839" s="76"/>
      <c r="BA839" s="76"/>
      <c r="BB839" s="76"/>
      <c r="BC839" s="78"/>
    </row>
    <row r="840" spans="1:55" x14ac:dyDescent="0.25">
      <c r="A840" s="68"/>
      <c r="B840" s="68"/>
      <c r="C840" s="68"/>
      <c r="D840" s="70"/>
      <c r="E840" s="70"/>
      <c r="F840" s="70"/>
      <c r="G840" s="72"/>
      <c r="H840" s="74"/>
      <c r="I840" s="74"/>
      <c r="J840" s="75"/>
      <c r="K840" s="81"/>
      <c r="L840" s="76"/>
      <c r="M840" s="76"/>
      <c r="N840" s="76"/>
      <c r="O840" s="71"/>
      <c r="P840" s="70"/>
      <c r="Q840" s="71"/>
      <c r="R840" s="71"/>
      <c r="S840" s="70"/>
      <c r="T840" s="71"/>
      <c r="U840" s="71"/>
      <c r="V840" s="75"/>
      <c r="W840" s="69"/>
      <c r="X840" s="69"/>
      <c r="Y840" s="69"/>
      <c r="Z840" s="69"/>
      <c r="AA840" s="69"/>
      <c r="AB840" s="69"/>
      <c r="AC840" s="69"/>
      <c r="AD840" s="69"/>
      <c r="AE840" s="76"/>
      <c r="AF840" s="71"/>
      <c r="AG840" s="71"/>
      <c r="AH840" s="71"/>
      <c r="AI840" s="71"/>
      <c r="AJ840" s="71"/>
      <c r="AK840" s="71"/>
      <c r="AL840" s="71"/>
      <c r="AM840" s="71"/>
      <c r="AN840" s="68"/>
      <c r="AO840" s="68"/>
      <c r="AP840" s="70"/>
      <c r="AQ840" s="71"/>
      <c r="AR840" s="77"/>
      <c r="AS840" s="70"/>
      <c r="AT840" s="68"/>
      <c r="AU840" s="70"/>
      <c r="AV840" s="70"/>
      <c r="AW840" s="71"/>
      <c r="AX840" s="71"/>
      <c r="AY840" s="70"/>
      <c r="AZ840" s="76"/>
      <c r="BA840" s="76"/>
      <c r="BB840" s="76"/>
      <c r="BC840" s="78"/>
    </row>
    <row r="841" spans="1:55" x14ac:dyDescent="0.25">
      <c r="A841" s="68"/>
      <c r="B841" s="68"/>
      <c r="C841" s="68"/>
      <c r="D841" s="70"/>
      <c r="E841" s="70"/>
      <c r="F841" s="70"/>
      <c r="G841" s="72"/>
      <c r="H841" s="74"/>
      <c r="I841" s="74"/>
      <c r="J841" s="75"/>
      <c r="K841" s="81"/>
      <c r="L841" s="76"/>
      <c r="M841" s="76"/>
      <c r="N841" s="76"/>
      <c r="O841" s="71"/>
      <c r="P841" s="70"/>
      <c r="Q841" s="71"/>
      <c r="R841" s="71"/>
      <c r="S841" s="70"/>
      <c r="T841" s="71"/>
      <c r="U841" s="71"/>
      <c r="V841" s="75"/>
      <c r="W841" s="69"/>
      <c r="X841" s="69"/>
      <c r="Y841" s="69"/>
      <c r="Z841" s="69"/>
      <c r="AA841" s="69"/>
      <c r="AB841" s="69"/>
      <c r="AC841" s="69"/>
      <c r="AD841" s="69"/>
      <c r="AE841" s="76"/>
      <c r="AF841" s="71"/>
      <c r="AG841" s="71"/>
      <c r="AH841" s="71"/>
      <c r="AI841" s="71"/>
      <c r="AJ841" s="71"/>
      <c r="AK841" s="71"/>
      <c r="AL841" s="71"/>
      <c r="AM841" s="71"/>
      <c r="AN841" s="68"/>
      <c r="AO841" s="68"/>
      <c r="AP841" s="70"/>
      <c r="AQ841" s="71"/>
      <c r="AR841" s="77"/>
      <c r="AS841" s="70"/>
      <c r="AT841" s="68"/>
      <c r="AU841" s="70"/>
      <c r="AV841" s="70"/>
      <c r="AW841" s="71"/>
      <c r="AX841" s="71"/>
      <c r="AY841" s="70"/>
      <c r="AZ841" s="76"/>
      <c r="BA841" s="76"/>
      <c r="BB841" s="76"/>
      <c r="BC841" s="78"/>
    </row>
    <row r="842" spans="1:55" x14ac:dyDescent="0.25">
      <c r="A842" s="68"/>
      <c r="B842" s="68"/>
      <c r="C842" s="68"/>
      <c r="D842" s="70"/>
      <c r="E842" s="70"/>
      <c r="F842" s="70"/>
      <c r="G842" s="72"/>
      <c r="H842" s="74"/>
      <c r="I842" s="74"/>
      <c r="J842" s="75"/>
      <c r="K842" s="81"/>
      <c r="L842" s="76"/>
      <c r="M842" s="76"/>
      <c r="N842" s="76"/>
      <c r="O842" s="71"/>
      <c r="P842" s="70"/>
      <c r="Q842" s="71"/>
      <c r="R842" s="71"/>
      <c r="S842" s="70"/>
      <c r="T842" s="71"/>
      <c r="U842" s="71"/>
      <c r="V842" s="75"/>
      <c r="W842" s="69"/>
      <c r="X842" s="69"/>
      <c r="Y842" s="69"/>
      <c r="Z842" s="69"/>
      <c r="AA842" s="69"/>
      <c r="AB842" s="69"/>
      <c r="AC842" s="69"/>
      <c r="AD842" s="69"/>
      <c r="AE842" s="76"/>
      <c r="AF842" s="71"/>
      <c r="AG842" s="71"/>
      <c r="AH842" s="71"/>
      <c r="AI842" s="71"/>
      <c r="AJ842" s="71"/>
      <c r="AK842" s="71"/>
      <c r="AL842" s="71"/>
      <c r="AM842" s="71"/>
      <c r="AN842" s="68"/>
      <c r="AO842" s="68"/>
      <c r="AP842" s="70"/>
      <c r="AQ842" s="71"/>
      <c r="AR842" s="77"/>
      <c r="AS842" s="70"/>
      <c r="AT842" s="68"/>
      <c r="AU842" s="70"/>
      <c r="AV842" s="70"/>
      <c r="AW842" s="71"/>
      <c r="AX842" s="71"/>
      <c r="AY842" s="70"/>
      <c r="AZ842" s="76"/>
      <c r="BA842" s="76"/>
      <c r="BB842" s="76"/>
      <c r="BC842" s="78"/>
    </row>
    <row r="843" spans="1:55" x14ac:dyDescent="0.25">
      <c r="A843" s="68"/>
      <c r="B843" s="68"/>
      <c r="C843" s="68"/>
      <c r="D843" s="70"/>
      <c r="E843" s="70"/>
      <c r="F843" s="70"/>
      <c r="G843" s="72"/>
      <c r="H843" s="74"/>
      <c r="I843" s="74"/>
      <c r="J843" s="75"/>
      <c r="K843" s="81"/>
      <c r="L843" s="76"/>
      <c r="M843" s="76"/>
      <c r="N843" s="76"/>
      <c r="O843" s="71"/>
      <c r="P843" s="70"/>
      <c r="Q843" s="71"/>
      <c r="R843" s="71"/>
      <c r="S843" s="70"/>
      <c r="T843" s="71"/>
      <c r="U843" s="71"/>
      <c r="V843" s="75"/>
      <c r="W843" s="69"/>
      <c r="X843" s="69"/>
      <c r="Y843" s="69"/>
      <c r="Z843" s="69"/>
      <c r="AA843" s="69"/>
      <c r="AB843" s="69"/>
      <c r="AC843" s="69"/>
      <c r="AD843" s="69"/>
      <c r="AE843" s="76"/>
      <c r="AF843" s="71"/>
      <c r="AG843" s="71"/>
      <c r="AH843" s="71"/>
      <c r="AI843" s="71"/>
      <c r="AJ843" s="71"/>
      <c r="AK843" s="71"/>
      <c r="AL843" s="71"/>
      <c r="AM843" s="71"/>
      <c r="AN843" s="68"/>
      <c r="AO843" s="68"/>
      <c r="AP843" s="70"/>
      <c r="AQ843" s="71"/>
      <c r="AR843" s="77"/>
      <c r="AS843" s="70"/>
      <c r="AT843" s="68"/>
      <c r="AU843" s="70"/>
      <c r="AV843" s="70"/>
      <c r="AW843" s="71"/>
      <c r="AX843" s="71"/>
      <c r="AY843" s="70"/>
      <c r="AZ843" s="76"/>
      <c r="BA843" s="76"/>
      <c r="BB843" s="76"/>
      <c r="BC843" s="78"/>
    </row>
    <row r="844" spans="1:55" x14ac:dyDescent="0.25">
      <c r="A844" s="68"/>
      <c r="B844" s="68"/>
      <c r="C844" s="68"/>
      <c r="D844" s="70"/>
      <c r="E844" s="70"/>
      <c r="F844" s="70"/>
      <c r="G844" s="72"/>
      <c r="H844" s="74"/>
      <c r="I844" s="74"/>
      <c r="J844" s="75"/>
      <c r="K844" s="81"/>
      <c r="L844" s="76"/>
      <c r="M844" s="76"/>
      <c r="N844" s="76"/>
      <c r="O844" s="71"/>
      <c r="P844" s="70"/>
      <c r="Q844" s="71"/>
      <c r="R844" s="71"/>
      <c r="S844" s="70"/>
      <c r="T844" s="71"/>
      <c r="U844" s="71"/>
      <c r="V844" s="75"/>
      <c r="W844" s="69"/>
      <c r="X844" s="69"/>
      <c r="Y844" s="69"/>
      <c r="Z844" s="69"/>
      <c r="AA844" s="69"/>
      <c r="AB844" s="69"/>
      <c r="AC844" s="69"/>
      <c r="AD844" s="69"/>
      <c r="AE844" s="76"/>
      <c r="AF844" s="71"/>
      <c r="AG844" s="71"/>
      <c r="AH844" s="71"/>
      <c r="AI844" s="71"/>
      <c r="AJ844" s="71"/>
      <c r="AK844" s="71"/>
      <c r="AL844" s="71"/>
      <c r="AM844" s="71"/>
      <c r="AN844" s="68"/>
      <c r="AO844" s="68"/>
      <c r="AP844" s="70"/>
      <c r="AQ844" s="71"/>
      <c r="AR844" s="77"/>
      <c r="AS844" s="70"/>
      <c r="AT844" s="68"/>
      <c r="AU844" s="70"/>
      <c r="AV844" s="70"/>
      <c r="AW844" s="71"/>
      <c r="AX844" s="71"/>
      <c r="AY844" s="70"/>
      <c r="AZ844" s="76"/>
      <c r="BA844" s="76"/>
      <c r="BB844" s="76"/>
      <c r="BC844" s="78"/>
    </row>
    <row r="845" spans="1:55" x14ac:dyDescent="0.25">
      <c r="A845" s="68"/>
      <c r="B845" s="68"/>
      <c r="C845" s="68"/>
      <c r="D845" s="70"/>
      <c r="E845" s="70"/>
      <c r="F845" s="70"/>
      <c r="G845" s="72"/>
      <c r="H845" s="74"/>
      <c r="I845" s="74"/>
      <c r="J845" s="75"/>
      <c r="K845" s="81"/>
      <c r="L845" s="76"/>
      <c r="M845" s="76"/>
      <c r="N845" s="76"/>
      <c r="O845" s="71"/>
      <c r="P845" s="70"/>
      <c r="Q845" s="71"/>
      <c r="R845" s="71"/>
      <c r="S845" s="70"/>
      <c r="T845" s="71"/>
      <c r="U845" s="71"/>
      <c r="V845" s="75"/>
      <c r="W845" s="69"/>
      <c r="X845" s="69"/>
      <c r="Y845" s="69"/>
      <c r="Z845" s="69"/>
      <c r="AA845" s="69"/>
      <c r="AB845" s="69"/>
      <c r="AC845" s="69"/>
      <c r="AD845" s="69"/>
      <c r="AE845" s="76"/>
      <c r="AF845" s="71"/>
      <c r="AG845" s="71"/>
      <c r="AH845" s="71"/>
      <c r="AI845" s="71"/>
      <c r="AJ845" s="71"/>
      <c r="AK845" s="71"/>
      <c r="AL845" s="71"/>
      <c r="AM845" s="71"/>
      <c r="AN845" s="68"/>
      <c r="AO845" s="68"/>
      <c r="AP845" s="70"/>
      <c r="AQ845" s="71"/>
      <c r="AR845" s="77"/>
      <c r="AS845" s="70"/>
      <c r="AT845" s="68"/>
      <c r="AU845" s="70"/>
      <c r="AV845" s="70"/>
      <c r="AW845" s="71"/>
      <c r="AX845" s="71"/>
      <c r="AY845" s="70"/>
      <c r="AZ845" s="76"/>
      <c r="BA845" s="76"/>
      <c r="BB845" s="76"/>
      <c r="BC845" s="78"/>
    </row>
    <row r="846" spans="1:55" x14ac:dyDescent="0.25">
      <c r="A846" s="68"/>
      <c r="B846" s="68"/>
      <c r="C846" s="68"/>
      <c r="D846" s="70"/>
      <c r="E846" s="70"/>
      <c r="F846" s="70"/>
      <c r="G846" s="72"/>
      <c r="H846" s="74"/>
      <c r="I846" s="74"/>
      <c r="J846" s="75"/>
      <c r="K846" s="81"/>
      <c r="L846" s="76"/>
      <c r="M846" s="76"/>
      <c r="N846" s="76"/>
      <c r="O846" s="71"/>
      <c r="P846" s="70"/>
      <c r="Q846" s="71"/>
      <c r="R846" s="71"/>
      <c r="S846" s="70"/>
      <c r="T846" s="71"/>
      <c r="U846" s="71"/>
      <c r="V846" s="75"/>
      <c r="W846" s="69"/>
      <c r="X846" s="69"/>
      <c r="Y846" s="69"/>
      <c r="Z846" s="69"/>
      <c r="AA846" s="69"/>
      <c r="AB846" s="69"/>
      <c r="AC846" s="69"/>
      <c r="AD846" s="69"/>
      <c r="AE846" s="76"/>
      <c r="AF846" s="71"/>
      <c r="AG846" s="71"/>
      <c r="AH846" s="71"/>
      <c r="AI846" s="71"/>
      <c r="AJ846" s="71"/>
      <c r="AK846" s="71"/>
      <c r="AL846" s="71"/>
      <c r="AM846" s="71"/>
      <c r="AN846" s="68"/>
      <c r="AO846" s="68"/>
      <c r="AP846" s="70"/>
      <c r="AQ846" s="71"/>
      <c r="AR846" s="77"/>
      <c r="AS846" s="70"/>
      <c r="AT846" s="68"/>
      <c r="AU846" s="70"/>
      <c r="AV846" s="70"/>
      <c r="AW846" s="71"/>
      <c r="AX846" s="71"/>
      <c r="AY846" s="70"/>
      <c r="AZ846" s="76"/>
      <c r="BA846" s="76"/>
      <c r="BB846" s="76"/>
      <c r="BC846" s="78"/>
    </row>
    <row r="847" spans="1:55" x14ac:dyDescent="0.25">
      <c r="A847" s="68"/>
      <c r="B847" s="68"/>
      <c r="C847" s="68"/>
      <c r="D847" s="70"/>
      <c r="E847" s="70"/>
      <c r="F847" s="70"/>
      <c r="G847" s="72"/>
      <c r="H847" s="74"/>
      <c r="I847" s="74"/>
      <c r="J847" s="75"/>
      <c r="K847" s="81"/>
      <c r="L847" s="76"/>
      <c r="M847" s="76"/>
      <c r="N847" s="76"/>
      <c r="O847" s="71"/>
      <c r="P847" s="70"/>
      <c r="Q847" s="71"/>
      <c r="R847" s="71"/>
      <c r="S847" s="70"/>
      <c r="T847" s="71"/>
      <c r="U847" s="71"/>
      <c r="V847" s="75"/>
      <c r="W847" s="69"/>
      <c r="X847" s="69"/>
      <c r="Y847" s="69"/>
      <c r="Z847" s="69"/>
      <c r="AA847" s="69"/>
      <c r="AB847" s="69"/>
      <c r="AC847" s="69"/>
      <c r="AD847" s="69"/>
      <c r="AE847" s="76"/>
      <c r="AF847" s="71"/>
      <c r="AG847" s="71"/>
      <c r="AH847" s="71"/>
      <c r="AI847" s="71"/>
      <c r="AJ847" s="71"/>
      <c r="AK847" s="71"/>
      <c r="AL847" s="71"/>
      <c r="AM847" s="71"/>
      <c r="AN847" s="68"/>
      <c r="AO847" s="68"/>
      <c r="AP847" s="70"/>
      <c r="AQ847" s="71"/>
      <c r="AR847" s="77"/>
      <c r="AS847" s="70"/>
      <c r="AT847" s="68"/>
      <c r="AU847" s="70"/>
      <c r="AV847" s="70"/>
      <c r="AW847" s="71"/>
      <c r="AX847" s="71"/>
      <c r="AY847" s="70"/>
      <c r="AZ847" s="76"/>
      <c r="BA847" s="76"/>
      <c r="BB847" s="76"/>
      <c r="BC847" s="78"/>
    </row>
    <row r="848" spans="1:55" x14ac:dyDescent="0.25">
      <c r="A848" s="68"/>
      <c r="B848" s="68"/>
      <c r="C848" s="68"/>
      <c r="D848" s="70"/>
      <c r="E848" s="70"/>
      <c r="F848" s="70"/>
      <c r="G848" s="72"/>
      <c r="H848" s="74"/>
      <c r="I848" s="74"/>
      <c r="J848" s="75"/>
      <c r="K848" s="81"/>
      <c r="L848" s="76"/>
      <c r="M848" s="76"/>
      <c r="N848" s="76"/>
      <c r="O848" s="71"/>
      <c r="P848" s="70"/>
      <c r="Q848" s="71"/>
      <c r="R848" s="71"/>
      <c r="S848" s="70"/>
      <c r="T848" s="71"/>
      <c r="U848" s="71"/>
      <c r="V848" s="75"/>
      <c r="W848" s="69"/>
      <c r="X848" s="69"/>
      <c r="Y848" s="69"/>
      <c r="Z848" s="69"/>
      <c r="AA848" s="69"/>
      <c r="AB848" s="69"/>
      <c r="AC848" s="69"/>
      <c r="AD848" s="69"/>
      <c r="AE848" s="76"/>
      <c r="AF848" s="71"/>
      <c r="AG848" s="71"/>
      <c r="AH848" s="71"/>
      <c r="AI848" s="71"/>
      <c r="AJ848" s="71"/>
      <c r="AK848" s="71"/>
      <c r="AL848" s="71"/>
      <c r="AM848" s="71"/>
      <c r="AN848" s="68"/>
      <c r="AO848" s="68"/>
      <c r="AP848" s="70"/>
      <c r="AQ848" s="71"/>
      <c r="AR848" s="77"/>
      <c r="AS848" s="70"/>
      <c r="AT848" s="68"/>
      <c r="AU848" s="70"/>
      <c r="AV848" s="70"/>
      <c r="AW848" s="71"/>
      <c r="AX848" s="71"/>
      <c r="AY848" s="70"/>
      <c r="AZ848" s="76"/>
      <c r="BA848" s="76"/>
      <c r="BB848" s="76"/>
      <c r="BC848" s="78"/>
    </row>
    <row r="849" spans="1:55" x14ac:dyDescent="0.25">
      <c r="A849" s="68"/>
      <c r="B849" s="68"/>
      <c r="C849" s="68"/>
      <c r="D849" s="70"/>
      <c r="E849" s="70"/>
      <c r="F849" s="70"/>
      <c r="G849" s="72"/>
      <c r="H849" s="74"/>
      <c r="I849" s="74"/>
      <c r="J849" s="75"/>
      <c r="K849" s="81"/>
      <c r="L849" s="76"/>
      <c r="M849" s="76"/>
      <c r="N849" s="76"/>
      <c r="O849" s="71"/>
      <c r="P849" s="70"/>
      <c r="Q849" s="71"/>
      <c r="R849" s="71"/>
      <c r="S849" s="70"/>
      <c r="T849" s="71"/>
      <c r="U849" s="71"/>
      <c r="V849" s="75"/>
      <c r="W849" s="69"/>
      <c r="X849" s="69"/>
      <c r="Y849" s="69"/>
      <c r="Z849" s="69"/>
      <c r="AA849" s="69"/>
      <c r="AB849" s="69"/>
      <c r="AC849" s="69"/>
      <c r="AD849" s="69"/>
      <c r="AE849" s="76"/>
      <c r="AF849" s="71"/>
      <c r="AG849" s="71"/>
      <c r="AH849" s="71"/>
      <c r="AI849" s="71"/>
      <c r="AJ849" s="71"/>
      <c r="AK849" s="71"/>
      <c r="AL849" s="71"/>
      <c r="AM849" s="71"/>
      <c r="AN849" s="68"/>
      <c r="AO849" s="68"/>
      <c r="AP849" s="70"/>
      <c r="AQ849" s="71"/>
      <c r="AR849" s="77"/>
      <c r="AS849" s="70"/>
      <c r="AT849" s="68"/>
      <c r="AU849" s="70"/>
      <c r="AV849" s="70"/>
      <c r="AW849" s="71"/>
      <c r="AX849" s="71"/>
      <c r="AY849" s="70"/>
      <c r="AZ849" s="76"/>
      <c r="BA849" s="76"/>
      <c r="BB849" s="76"/>
      <c r="BC849" s="78"/>
    </row>
    <row r="850" spans="1:55" x14ac:dyDescent="0.25">
      <c r="A850" s="68"/>
      <c r="B850" s="68"/>
      <c r="C850" s="68"/>
      <c r="D850" s="70"/>
      <c r="E850" s="70"/>
      <c r="F850" s="70"/>
      <c r="G850" s="72"/>
      <c r="H850" s="74"/>
      <c r="I850" s="74"/>
      <c r="J850" s="75"/>
      <c r="K850" s="81"/>
      <c r="L850" s="76"/>
      <c r="M850" s="76"/>
      <c r="N850" s="76"/>
      <c r="O850" s="71"/>
      <c r="P850" s="70"/>
      <c r="Q850" s="71"/>
      <c r="R850" s="71"/>
      <c r="S850" s="70"/>
      <c r="T850" s="71"/>
      <c r="U850" s="71"/>
      <c r="V850" s="75"/>
      <c r="W850" s="69"/>
      <c r="X850" s="69"/>
      <c r="Y850" s="69"/>
      <c r="Z850" s="69"/>
      <c r="AA850" s="69"/>
      <c r="AB850" s="69"/>
      <c r="AC850" s="69"/>
      <c r="AD850" s="69"/>
      <c r="AE850" s="76"/>
      <c r="AF850" s="71"/>
      <c r="AG850" s="71"/>
      <c r="AH850" s="71"/>
      <c r="AI850" s="71"/>
      <c r="AJ850" s="71"/>
      <c r="AK850" s="71"/>
      <c r="AL850" s="71"/>
      <c r="AM850" s="71"/>
      <c r="AN850" s="68"/>
      <c r="AO850" s="68"/>
      <c r="AP850" s="70"/>
      <c r="AQ850" s="71"/>
      <c r="AR850" s="77"/>
      <c r="AS850" s="70"/>
      <c r="AT850" s="68"/>
      <c r="AU850" s="70"/>
      <c r="AV850" s="70"/>
      <c r="AW850" s="71"/>
      <c r="AX850" s="71"/>
      <c r="AY850" s="70"/>
      <c r="AZ850" s="76"/>
      <c r="BA850" s="76"/>
      <c r="BB850" s="76"/>
      <c r="BC850" s="78"/>
    </row>
    <row r="851" spans="1:55" x14ac:dyDescent="0.25">
      <c r="A851" s="68"/>
      <c r="B851" s="68"/>
      <c r="C851" s="68"/>
      <c r="D851" s="70"/>
      <c r="E851" s="70"/>
      <c r="F851" s="70"/>
      <c r="G851" s="72"/>
      <c r="H851" s="74"/>
      <c r="I851" s="74"/>
      <c r="J851" s="75"/>
      <c r="K851" s="81"/>
      <c r="L851" s="76"/>
      <c r="M851" s="76"/>
      <c r="N851" s="76"/>
      <c r="O851" s="71"/>
      <c r="P851" s="70"/>
      <c r="Q851" s="71"/>
      <c r="R851" s="71"/>
      <c r="S851" s="70"/>
      <c r="T851" s="71"/>
      <c r="U851" s="71"/>
      <c r="V851" s="75"/>
      <c r="W851" s="69"/>
      <c r="X851" s="69"/>
      <c r="Y851" s="69"/>
      <c r="Z851" s="69"/>
      <c r="AA851" s="69"/>
      <c r="AB851" s="69"/>
      <c r="AC851" s="69"/>
      <c r="AD851" s="69"/>
      <c r="AE851" s="76"/>
      <c r="AF851" s="71"/>
      <c r="AG851" s="71"/>
      <c r="AH851" s="71"/>
      <c r="AI851" s="71"/>
      <c r="AJ851" s="71"/>
      <c r="AK851" s="71"/>
      <c r="AL851" s="71"/>
      <c r="AM851" s="71"/>
      <c r="AN851" s="68"/>
      <c r="AO851" s="68"/>
      <c r="AP851" s="70"/>
      <c r="AQ851" s="71"/>
      <c r="AR851" s="77"/>
      <c r="AS851" s="70"/>
      <c r="AT851" s="68"/>
      <c r="AU851" s="70"/>
      <c r="AV851" s="70"/>
      <c r="AW851" s="71"/>
      <c r="AX851" s="71"/>
      <c r="AY851" s="70"/>
      <c r="AZ851" s="76"/>
      <c r="BA851" s="76"/>
      <c r="BB851" s="76"/>
      <c r="BC851" s="78"/>
    </row>
    <row r="852" spans="1:55" x14ac:dyDescent="0.25">
      <c r="A852" s="68"/>
      <c r="B852" s="68"/>
      <c r="C852" s="68"/>
      <c r="D852" s="70"/>
      <c r="E852" s="70"/>
      <c r="F852" s="70"/>
      <c r="G852" s="72"/>
      <c r="H852" s="74"/>
      <c r="I852" s="74"/>
      <c r="J852" s="75"/>
      <c r="K852" s="81"/>
      <c r="L852" s="76"/>
      <c r="M852" s="76"/>
      <c r="N852" s="76"/>
      <c r="O852" s="71"/>
      <c r="P852" s="70"/>
      <c r="Q852" s="71"/>
      <c r="R852" s="71"/>
      <c r="S852" s="70"/>
      <c r="T852" s="71"/>
      <c r="U852" s="71"/>
      <c r="V852" s="75"/>
      <c r="W852" s="69"/>
      <c r="X852" s="69"/>
      <c r="Y852" s="69"/>
      <c r="Z852" s="69"/>
      <c r="AA852" s="69"/>
      <c r="AB852" s="69"/>
      <c r="AC852" s="69"/>
      <c r="AD852" s="69"/>
      <c r="AE852" s="76"/>
      <c r="AF852" s="71"/>
      <c r="AG852" s="71"/>
      <c r="AH852" s="71"/>
      <c r="AI852" s="71"/>
      <c r="AJ852" s="71"/>
      <c r="AK852" s="71"/>
      <c r="AL852" s="71"/>
      <c r="AM852" s="71"/>
      <c r="AN852" s="68"/>
      <c r="AO852" s="68"/>
      <c r="AP852" s="70"/>
      <c r="AQ852" s="71"/>
      <c r="AR852" s="77"/>
      <c r="AS852" s="70"/>
      <c r="AT852" s="68"/>
      <c r="AU852" s="70"/>
      <c r="AV852" s="70"/>
      <c r="AW852" s="71"/>
      <c r="AX852" s="71"/>
      <c r="AY852" s="70"/>
      <c r="AZ852" s="76"/>
      <c r="BA852" s="76"/>
      <c r="BB852" s="76"/>
      <c r="BC852" s="78"/>
    </row>
    <row r="853" spans="1:55" x14ac:dyDescent="0.25">
      <c r="A853" s="68"/>
      <c r="B853" s="68"/>
      <c r="C853" s="68"/>
      <c r="D853" s="70"/>
      <c r="E853" s="70"/>
      <c r="F853" s="70"/>
      <c r="G853" s="72"/>
      <c r="H853" s="74"/>
      <c r="I853" s="74"/>
      <c r="J853" s="75"/>
      <c r="K853" s="81"/>
      <c r="L853" s="76"/>
      <c r="M853" s="76"/>
      <c r="N853" s="76"/>
      <c r="O853" s="71"/>
      <c r="P853" s="70"/>
      <c r="Q853" s="71"/>
      <c r="R853" s="71"/>
      <c r="S853" s="70"/>
      <c r="T853" s="71"/>
      <c r="U853" s="71"/>
      <c r="V853" s="75"/>
      <c r="W853" s="69"/>
      <c r="X853" s="69"/>
      <c r="Y853" s="69"/>
      <c r="Z853" s="69"/>
      <c r="AA853" s="69"/>
      <c r="AB853" s="69"/>
      <c r="AC853" s="69"/>
      <c r="AD853" s="69"/>
      <c r="AE853" s="76"/>
      <c r="AF853" s="71"/>
      <c r="AG853" s="71"/>
      <c r="AH853" s="71"/>
      <c r="AI853" s="71"/>
      <c r="AJ853" s="71"/>
      <c r="AK853" s="71"/>
      <c r="AL853" s="71"/>
      <c r="AM853" s="71"/>
      <c r="AN853" s="68"/>
      <c r="AO853" s="68"/>
      <c r="AP853" s="70"/>
      <c r="AQ853" s="71"/>
      <c r="AR853" s="77"/>
      <c r="AS853" s="70"/>
      <c r="AT853" s="68"/>
      <c r="AU853" s="70"/>
      <c r="AV853" s="70"/>
      <c r="AW853" s="71"/>
      <c r="AX853" s="71"/>
      <c r="AY853" s="70"/>
      <c r="AZ853" s="76"/>
      <c r="BA853" s="76"/>
      <c r="BB853" s="76"/>
      <c r="BC853" s="78"/>
    </row>
    <row r="854" spans="1:55" x14ac:dyDescent="0.25">
      <c r="A854" s="68"/>
      <c r="B854" s="68"/>
      <c r="C854" s="68"/>
      <c r="D854" s="70"/>
      <c r="E854" s="70"/>
      <c r="F854" s="70"/>
      <c r="G854" s="72"/>
      <c r="H854" s="74"/>
      <c r="I854" s="74"/>
      <c r="J854" s="75"/>
      <c r="K854" s="81"/>
      <c r="L854" s="76"/>
      <c r="M854" s="76"/>
      <c r="N854" s="76"/>
      <c r="O854" s="71"/>
      <c r="P854" s="70"/>
      <c r="Q854" s="71"/>
      <c r="R854" s="71"/>
      <c r="S854" s="70"/>
      <c r="T854" s="71"/>
      <c r="U854" s="71"/>
      <c r="V854" s="75"/>
      <c r="W854" s="69"/>
      <c r="X854" s="69"/>
      <c r="Y854" s="69"/>
      <c r="Z854" s="69"/>
      <c r="AA854" s="69"/>
      <c r="AB854" s="69"/>
      <c r="AC854" s="69"/>
      <c r="AD854" s="69"/>
      <c r="AE854" s="76"/>
      <c r="AF854" s="71"/>
      <c r="AG854" s="71"/>
      <c r="AH854" s="71"/>
      <c r="AI854" s="71"/>
      <c r="AJ854" s="71"/>
      <c r="AK854" s="71"/>
      <c r="AL854" s="71"/>
      <c r="AM854" s="71"/>
      <c r="AN854" s="68"/>
      <c r="AO854" s="68"/>
      <c r="AP854" s="70"/>
      <c r="AQ854" s="71"/>
      <c r="AR854" s="77"/>
      <c r="AS854" s="70"/>
      <c r="AT854" s="68"/>
      <c r="AU854" s="70"/>
      <c r="AV854" s="70"/>
      <c r="AW854" s="71"/>
      <c r="AX854" s="71"/>
      <c r="AY854" s="70"/>
      <c r="AZ854" s="76"/>
      <c r="BA854" s="76"/>
      <c r="BB854" s="76"/>
      <c r="BC854" s="78"/>
    </row>
    <row r="855" spans="1:55" x14ac:dyDescent="0.25">
      <c r="A855" s="68"/>
      <c r="B855" s="68"/>
      <c r="C855" s="68"/>
      <c r="D855" s="70"/>
      <c r="E855" s="70"/>
      <c r="F855" s="70"/>
      <c r="G855" s="72"/>
      <c r="H855" s="74"/>
      <c r="I855" s="74"/>
      <c r="J855" s="75"/>
      <c r="K855" s="81"/>
      <c r="L855" s="76"/>
      <c r="M855" s="76"/>
      <c r="N855" s="76"/>
      <c r="O855" s="71"/>
      <c r="P855" s="70"/>
      <c r="Q855" s="71"/>
      <c r="R855" s="71"/>
      <c r="S855" s="70"/>
      <c r="T855" s="71"/>
      <c r="U855" s="71"/>
      <c r="V855" s="75"/>
      <c r="W855" s="69"/>
      <c r="X855" s="69"/>
      <c r="Y855" s="69"/>
      <c r="Z855" s="69"/>
      <c r="AA855" s="69"/>
      <c r="AB855" s="69"/>
      <c r="AC855" s="69"/>
      <c r="AD855" s="69"/>
      <c r="AE855" s="76"/>
      <c r="AF855" s="71"/>
      <c r="AG855" s="71"/>
      <c r="AH855" s="71"/>
      <c r="AI855" s="71"/>
      <c r="AJ855" s="71"/>
      <c r="AK855" s="71"/>
      <c r="AL855" s="71"/>
      <c r="AM855" s="71"/>
      <c r="AN855" s="68"/>
      <c r="AO855" s="68"/>
      <c r="AP855" s="70"/>
      <c r="AQ855" s="71"/>
      <c r="AR855" s="77"/>
      <c r="AS855" s="70"/>
      <c r="AT855" s="68"/>
      <c r="AU855" s="70"/>
      <c r="AV855" s="70"/>
      <c r="AW855" s="71"/>
      <c r="AX855" s="71"/>
      <c r="AY855" s="70"/>
      <c r="AZ855" s="76"/>
      <c r="BA855" s="76"/>
      <c r="BB855" s="76"/>
      <c r="BC855" s="78"/>
    </row>
    <row r="856" spans="1:55" x14ac:dyDescent="0.25">
      <c r="A856" s="68"/>
      <c r="B856" s="68"/>
      <c r="C856" s="68"/>
      <c r="D856" s="70"/>
      <c r="E856" s="70"/>
      <c r="F856" s="70"/>
      <c r="G856" s="72"/>
      <c r="H856" s="74"/>
      <c r="I856" s="74"/>
      <c r="J856" s="75"/>
      <c r="K856" s="81"/>
      <c r="L856" s="76"/>
      <c r="M856" s="76"/>
      <c r="N856" s="76"/>
      <c r="O856" s="71"/>
      <c r="P856" s="70"/>
      <c r="Q856" s="71"/>
      <c r="R856" s="71"/>
      <c r="S856" s="70"/>
      <c r="T856" s="71"/>
      <c r="U856" s="71"/>
      <c r="V856" s="75"/>
      <c r="W856" s="69"/>
      <c r="X856" s="69"/>
      <c r="Y856" s="69"/>
      <c r="Z856" s="69"/>
      <c r="AA856" s="69"/>
      <c r="AB856" s="69"/>
      <c r="AC856" s="69"/>
      <c r="AD856" s="69"/>
      <c r="AE856" s="76"/>
      <c r="AF856" s="71"/>
      <c r="AG856" s="71"/>
      <c r="AH856" s="71"/>
      <c r="AI856" s="71"/>
      <c r="AJ856" s="71"/>
      <c r="AK856" s="71"/>
      <c r="AL856" s="71"/>
      <c r="AM856" s="71"/>
      <c r="AN856" s="68"/>
      <c r="AO856" s="68"/>
      <c r="AP856" s="70"/>
      <c r="AQ856" s="71"/>
      <c r="AR856" s="77"/>
      <c r="AS856" s="70"/>
      <c r="AT856" s="68"/>
      <c r="AU856" s="70"/>
      <c r="AV856" s="70"/>
      <c r="AW856" s="71"/>
      <c r="AX856" s="71"/>
      <c r="AY856" s="70"/>
      <c r="AZ856" s="76"/>
      <c r="BA856" s="76"/>
      <c r="BB856" s="76"/>
      <c r="BC856" s="78"/>
    </row>
    <row r="857" spans="1:55" x14ac:dyDescent="0.25">
      <c r="A857" s="68"/>
      <c r="B857" s="68"/>
      <c r="C857" s="68"/>
      <c r="D857" s="70"/>
      <c r="E857" s="70"/>
      <c r="F857" s="70"/>
      <c r="G857" s="72"/>
      <c r="H857" s="74"/>
      <c r="I857" s="74"/>
      <c r="J857" s="75"/>
      <c r="K857" s="81"/>
      <c r="L857" s="76"/>
      <c r="M857" s="76"/>
      <c r="N857" s="76"/>
      <c r="O857" s="71"/>
      <c r="P857" s="70"/>
      <c r="Q857" s="71"/>
      <c r="R857" s="71"/>
      <c r="S857" s="70"/>
      <c r="T857" s="71"/>
      <c r="U857" s="71"/>
      <c r="V857" s="75"/>
      <c r="W857" s="69"/>
      <c r="X857" s="69"/>
      <c r="Y857" s="69"/>
      <c r="Z857" s="69"/>
      <c r="AA857" s="69"/>
      <c r="AB857" s="69"/>
      <c r="AC857" s="69"/>
      <c r="AD857" s="69"/>
      <c r="AE857" s="76"/>
      <c r="AF857" s="71"/>
      <c r="AG857" s="71"/>
      <c r="AH857" s="71"/>
      <c r="AI857" s="71"/>
      <c r="AJ857" s="71"/>
      <c r="AK857" s="71"/>
      <c r="AL857" s="71"/>
      <c r="AM857" s="71"/>
      <c r="AN857" s="68"/>
      <c r="AO857" s="68"/>
      <c r="AP857" s="70"/>
      <c r="AQ857" s="71"/>
      <c r="AR857" s="77"/>
      <c r="AS857" s="70"/>
      <c r="AT857" s="68"/>
      <c r="AU857" s="70"/>
      <c r="AV857" s="70"/>
      <c r="AW857" s="71"/>
      <c r="AX857" s="71"/>
      <c r="AY857" s="70"/>
      <c r="AZ857" s="76"/>
      <c r="BA857" s="76"/>
      <c r="BB857" s="76"/>
      <c r="BC857" s="78"/>
    </row>
    <row r="858" spans="1:55" x14ac:dyDescent="0.25">
      <c r="A858" s="68"/>
      <c r="B858" s="68"/>
      <c r="C858" s="68"/>
      <c r="D858" s="70"/>
      <c r="E858" s="70"/>
      <c r="F858" s="70"/>
      <c r="G858" s="72"/>
      <c r="H858" s="74"/>
      <c r="I858" s="74"/>
      <c r="J858" s="75"/>
      <c r="K858" s="81"/>
      <c r="L858" s="76"/>
      <c r="M858" s="76"/>
      <c r="N858" s="76"/>
      <c r="O858" s="71"/>
      <c r="P858" s="70"/>
      <c r="Q858" s="71"/>
      <c r="R858" s="71"/>
      <c r="S858" s="70"/>
      <c r="T858" s="71"/>
      <c r="U858" s="71"/>
      <c r="V858" s="75"/>
      <c r="W858" s="69"/>
      <c r="X858" s="69"/>
      <c r="Y858" s="69"/>
      <c r="Z858" s="69"/>
      <c r="AA858" s="69"/>
      <c r="AB858" s="69"/>
      <c r="AC858" s="69"/>
      <c r="AD858" s="69"/>
      <c r="AE858" s="76"/>
      <c r="AF858" s="71"/>
      <c r="AG858" s="71"/>
      <c r="AH858" s="71"/>
      <c r="AI858" s="71"/>
      <c r="AJ858" s="71"/>
      <c r="AK858" s="71"/>
      <c r="AL858" s="71"/>
      <c r="AM858" s="71"/>
      <c r="AN858" s="68"/>
      <c r="AO858" s="68"/>
      <c r="AP858" s="70"/>
      <c r="AQ858" s="71"/>
      <c r="AR858" s="77"/>
      <c r="AS858" s="70"/>
      <c r="AT858" s="68"/>
      <c r="AU858" s="70"/>
      <c r="AV858" s="70"/>
      <c r="AW858" s="71"/>
      <c r="AX858" s="71"/>
      <c r="AY858" s="70"/>
      <c r="AZ858" s="76"/>
      <c r="BA858" s="76"/>
      <c r="BB858" s="76"/>
      <c r="BC858" s="78"/>
    </row>
    <row r="859" spans="1:55" x14ac:dyDescent="0.25">
      <c r="A859" s="68"/>
      <c r="B859" s="68"/>
      <c r="C859" s="68"/>
      <c r="D859" s="70"/>
      <c r="E859" s="70"/>
      <c r="F859" s="70"/>
      <c r="G859" s="72"/>
      <c r="H859" s="74"/>
      <c r="I859" s="74"/>
      <c r="J859" s="75"/>
      <c r="K859" s="81"/>
      <c r="L859" s="76"/>
      <c r="M859" s="76"/>
      <c r="N859" s="76"/>
      <c r="O859" s="71"/>
      <c r="P859" s="70"/>
      <c r="Q859" s="71"/>
      <c r="R859" s="71"/>
      <c r="S859" s="70"/>
      <c r="T859" s="71"/>
      <c r="U859" s="71"/>
      <c r="V859" s="75"/>
      <c r="W859" s="69"/>
      <c r="X859" s="69"/>
      <c r="Y859" s="69"/>
      <c r="Z859" s="69"/>
      <c r="AA859" s="69"/>
      <c r="AB859" s="69"/>
      <c r="AC859" s="69"/>
      <c r="AD859" s="69"/>
      <c r="AE859" s="76"/>
      <c r="AF859" s="71"/>
      <c r="AG859" s="71"/>
      <c r="AH859" s="71"/>
      <c r="AI859" s="71"/>
      <c r="AJ859" s="71"/>
      <c r="AK859" s="71"/>
      <c r="AL859" s="71"/>
      <c r="AM859" s="71"/>
      <c r="AN859" s="68"/>
      <c r="AO859" s="68"/>
      <c r="AP859" s="70"/>
      <c r="AQ859" s="71"/>
      <c r="AR859" s="77"/>
      <c r="AS859" s="70"/>
      <c r="AT859" s="68"/>
      <c r="AU859" s="70"/>
      <c r="AV859" s="70"/>
      <c r="AW859" s="71"/>
      <c r="AX859" s="71"/>
      <c r="AY859" s="70"/>
      <c r="AZ859" s="76"/>
      <c r="BA859" s="76"/>
      <c r="BB859" s="76"/>
      <c r="BC859" s="78"/>
    </row>
    <row r="860" spans="1:55" x14ac:dyDescent="0.25">
      <c r="A860" s="68"/>
      <c r="B860" s="68"/>
      <c r="C860" s="68"/>
      <c r="D860" s="70"/>
      <c r="E860" s="70"/>
      <c r="F860" s="70"/>
      <c r="G860" s="72"/>
      <c r="H860" s="74"/>
      <c r="I860" s="74"/>
      <c r="J860" s="75"/>
      <c r="K860" s="81"/>
      <c r="L860" s="76"/>
      <c r="M860" s="76"/>
      <c r="N860" s="76"/>
      <c r="O860" s="71"/>
      <c r="P860" s="70"/>
      <c r="Q860" s="71"/>
      <c r="R860" s="71"/>
      <c r="S860" s="70"/>
      <c r="T860" s="71"/>
      <c r="U860" s="71"/>
      <c r="V860" s="75"/>
      <c r="W860" s="69"/>
      <c r="X860" s="69"/>
      <c r="Y860" s="69"/>
      <c r="Z860" s="69"/>
      <c r="AA860" s="69"/>
      <c r="AB860" s="69"/>
      <c r="AC860" s="69"/>
      <c r="AD860" s="69"/>
      <c r="AE860" s="76"/>
      <c r="AF860" s="71"/>
      <c r="AG860" s="71"/>
      <c r="AH860" s="71"/>
      <c r="AI860" s="71"/>
      <c r="AJ860" s="71"/>
      <c r="AK860" s="71"/>
      <c r="AL860" s="71"/>
      <c r="AM860" s="71"/>
      <c r="AN860" s="68"/>
      <c r="AO860" s="68"/>
      <c r="AP860" s="70"/>
      <c r="AQ860" s="71"/>
      <c r="AR860" s="77"/>
      <c r="AS860" s="70"/>
      <c r="AT860" s="68"/>
      <c r="AU860" s="70"/>
      <c r="AV860" s="70"/>
      <c r="AW860" s="71"/>
      <c r="AX860" s="71"/>
      <c r="AY860" s="70"/>
      <c r="AZ860" s="76"/>
      <c r="BA860" s="76"/>
      <c r="BB860" s="76"/>
      <c r="BC860" s="78"/>
    </row>
    <row r="861" spans="1:55" x14ac:dyDescent="0.25">
      <c r="A861" s="68"/>
      <c r="B861" s="68"/>
      <c r="C861" s="68"/>
      <c r="D861" s="70"/>
      <c r="E861" s="70"/>
      <c r="F861" s="70"/>
      <c r="G861" s="72"/>
      <c r="H861" s="74"/>
      <c r="I861" s="74"/>
      <c r="J861" s="75"/>
      <c r="K861" s="81"/>
      <c r="L861" s="76"/>
      <c r="M861" s="76"/>
      <c r="N861" s="76"/>
      <c r="O861" s="71"/>
      <c r="P861" s="70"/>
      <c r="Q861" s="71"/>
      <c r="R861" s="71"/>
      <c r="S861" s="70"/>
      <c r="T861" s="71"/>
      <c r="U861" s="71"/>
      <c r="V861" s="75"/>
      <c r="W861" s="69"/>
      <c r="X861" s="69"/>
      <c r="Y861" s="69"/>
      <c r="Z861" s="69"/>
      <c r="AA861" s="69"/>
      <c r="AB861" s="69"/>
      <c r="AC861" s="69"/>
      <c r="AD861" s="69"/>
      <c r="AE861" s="76"/>
      <c r="AF861" s="71"/>
      <c r="AG861" s="71"/>
      <c r="AH861" s="71"/>
      <c r="AI861" s="71"/>
      <c r="AJ861" s="71"/>
      <c r="AK861" s="71"/>
      <c r="AL861" s="71"/>
      <c r="AM861" s="71"/>
      <c r="AN861" s="68"/>
      <c r="AO861" s="68"/>
      <c r="AP861" s="70"/>
      <c r="AQ861" s="71"/>
      <c r="AR861" s="77"/>
      <c r="AS861" s="70"/>
      <c r="AT861" s="68"/>
      <c r="AU861" s="70"/>
      <c r="AV861" s="70"/>
      <c r="AW861" s="71"/>
      <c r="AX861" s="71"/>
      <c r="AY861" s="70"/>
      <c r="AZ861" s="76"/>
      <c r="BA861" s="76"/>
      <c r="BB861" s="76"/>
      <c r="BC861" s="78"/>
    </row>
    <row r="862" spans="1:55" x14ac:dyDescent="0.25">
      <c r="A862" s="68"/>
      <c r="B862" s="68"/>
      <c r="C862" s="68"/>
      <c r="D862" s="70"/>
      <c r="E862" s="70"/>
      <c r="F862" s="70"/>
      <c r="G862" s="72"/>
      <c r="H862" s="74"/>
      <c r="I862" s="74"/>
      <c r="J862" s="75"/>
      <c r="K862" s="81"/>
      <c r="L862" s="76"/>
      <c r="M862" s="76"/>
      <c r="N862" s="76"/>
      <c r="O862" s="71"/>
      <c r="P862" s="70"/>
      <c r="Q862" s="71"/>
      <c r="R862" s="71"/>
      <c r="S862" s="70"/>
      <c r="T862" s="71"/>
      <c r="U862" s="71"/>
      <c r="V862" s="75"/>
      <c r="W862" s="69"/>
      <c r="X862" s="69"/>
      <c r="Y862" s="69"/>
      <c r="Z862" s="69"/>
      <c r="AA862" s="69"/>
      <c r="AB862" s="69"/>
      <c r="AC862" s="69"/>
      <c r="AD862" s="69"/>
      <c r="AE862" s="76"/>
      <c r="AF862" s="71"/>
      <c r="AG862" s="71"/>
      <c r="AH862" s="71"/>
      <c r="AI862" s="71"/>
      <c r="AJ862" s="71"/>
      <c r="AK862" s="71"/>
      <c r="AL862" s="71"/>
      <c r="AM862" s="71"/>
      <c r="AN862" s="68"/>
      <c r="AO862" s="68"/>
      <c r="AP862" s="70"/>
      <c r="AQ862" s="71"/>
      <c r="AR862" s="77"/>
      <c r="AS862" s="70"/>
      <c r="AT862" s="68"/>
      <c r="AU862" s="70"/>
      <c r="AV862" s="70"/>
      <c r="AW862" s="71"/>
      <c r="AX862" s="71"/>
      <c r="AY862" s="70"/>
      <c r="AZ862" s="76"/>
      <c r="BA862" s="76"/>
      <c r="BB862" s="76"/>
      <c r="BC862" s="78"/>
    </row>
    <row r="863" spans="1:55" x14ac:dyDescent="0.25">
      <c r="A863" s="68"/>
      <c r="B863" s="68"/>
      <c r="C863" s="68"/>
      <c r="D863" s="70"/>
      <c r="E863" s="70"/>
      <c r="F863" s="70"/>
      <c r="G863" s="72"/>
      <c r="H863" s="74"/>
      <c r="I863" s="74"/>
      <c r="J863" s="75"/>
      <c r="K863" s="81"/>
      <c r="L863" s="76"/>
      <c r="M863" s="76"/>
      <c r="N863" s="76"/>
      <c r="O863" s="71"/>
      <c r="P863" s="70"/>
      <c r="Q863" s="71"/>
      <c r="R863" s="71"/>
      <c r="S863" s="70"/>
      <c r="T863" s="71"/>
      <c r="U863" s="71"/>
      <c r="V863" s="75"/>
      <c r="W863" s="69"/>
      <c r="X863" s="69"/>
      <c r="Y863" s="69"/>
      <c r="Z863" s="69"/>
      <c r="AA863" s="69"/>
      <c r="AB863" s="69"/>
      <c r="AC863" s="69"/>
      <c r="AD863" s="69"/>
      <c r="AE863" s="76"/>
      <c r="AF863" s="71"/>
      <c r="AG863" s="71"/>
      <c r="AH863" s="71"/>
      <c r="AI863" s="71"/>
      <c r="AJ863" s="71"/>
      <c r="AK863" s="71"/>
      <c r="AL863" s="71"/>
      <c r="AM863" s="71"/>
      <c r="AN863" s="68"/>
      <c r="AO863" s="68"/>
      <c r="AP863" s="70"/>
      <c r="AQ863" s="71"/>
      <c r="AR863" s="77"/>
      <c r="AS863" s="70"/>
      <c r="AT863" s="68"/>
      <c r="AU863" s="70"/>
      <c r="AV863" s="70"/>
      <c r="AW863" s="71"/>
      <c r="AX863" s="71"/>
      <c r="AY863" s="70"/>
      <c r="AZ863" s="76"/>
      <c r="BA863" s="76"/>
      <c r="BB863" s="76"/>
      <c r="BC863" s="78"/>
    </row>
    <row r="864" spans="1:55" x14ac:dyDescent="0.25">
      <c r="A864" s="68"/>
      <c r="B864" s="68"/>
      <c r="C864" s="68"/>
      <c r="D864" s="70"/>
      <c r="E864" s="70"/>
      <c r="F864" s="70"/>
      <c r="G864" s="72"/>
      <c r="H864" s="74"/>
      <c r="I864" s="74"/>
      <c r="J864" s="75"/>
      <c r="K864" s="81"/>
      <c r="L864" s="76"/>
      <c r="M864" s="76"/>
      <c r="N864" s="76"/>
      <c r="O864" s="71"/>
      <c r="P864" s="70"/>
      <c r="Q864" s="71"/>
      <c r="R864" s="71"/>
      <c r="S864" s="70"/>
      <c r="T864" s="71"/>
      <c r="U864" s="71"/>
      <c r="V864" s="75"/>
      <c r="W864" s="69"/>
      <c r="X864" s="69"/>
      <c r="Y864" s="69"/>
      <c r="Z864" s="69"/>
      <c r="AA864" s="69"/>
      <c r="AB864" s="69"/>
      <c r="AC864" s="69"/>
      <c r="AD864" s="69"/>
      <c r="AE864" s="76"/>
      <c r="AF864" s="71"/>
      <c r="AG864" s="71"/>
      <c r="AH864" s="71"/>
      <c r="AI864" s="71"/>
      <c r="AJ864" s="71"/>
      <c r="AK864" s="71"/>
      <c r="AL864" s="71"/>
      <c r="AM864" s="71"/>
      <c r="AN864" s="68"/>
      <c r="AO864" s="68"/>
      <c r="AP864" s="70"/>
      <c r="AQ864" s="71"/>
      <c r="AR864" s="77"/>
      <c r="AS864" s="70"/>
      <c r="AT864" s="68"/>
      <c r="AU864" s="70"/>
      <c r="AV864" s="70"/>
      <c r="AW864" s="71"/>
      <c r="AX864" s="71"/>
      <c r="AY864" s="70"/>
      <c r="AZ864" s="76"/>
      <c r="BA864" s="76"/>
      <c r="BB864" s="76"/>
      <c r="BC864" s="78"/>
    </row>
    <row r="865" spans="1:55" x14ac:dyDescent="0.25">
      <c r="A865" s="68"/>
      <c r="B865" s="68"/>
      <c r="C865" s="68"/>
      <c r="D865" s="70"/>
      <c r="E865" s="70"/>
      <c r="F865" s="70"/>
      <c r="G865" s="72"/>
      <c r="H865" s="74"/>
      <c r="I865" s="74"/>
      <c r="J865" s="75"/>
      <c r="K865" s="81"/>
      <c r="L865" s="76"/>
      <c r="M865" s="76"/>
      <c r="N865" s="76"/>
      <c r="O865" s="71"/>
      <c r="P865" s="70"/>
      <c r="Q865" s="71"/>
      <c r="R865" s="71"/>
      <c r="S865" s="70"/>
      <c r="T865" s="71"/>
      <c r="U865" s="71"/>
      <c r="V865" s="75"/>
      <c r="W865" s="69"/>
      <c r="X865" s="69"/>
      <c r="Y865" s="69"/>
      <c r="Z865" s="69"/>
      <c r="AA865" s="69"/>
      <c r="AB865" s="69"/>
      <c r="AC865" s="69"/>
      <c r="AD865" s="69"/>
      <c r="AE865" s="76"/>
      <c r="AF865" s="71"/>
      <c r="AG865" s="71"/>
      <c r="AH865" s="71"/>
      <c r="AI865" s="71"/>
      <c r="AJ865" s="71"/>
      <c r="AK865" s="71"/>
      <c r="AL865" s="71"/>
      <c r="AM865" s="71"/>
      <c r="AN865" s="68"/>
      <c r="AO865" s="68"/>
      <c r="AP865" s="70"/>
      <c r="AQ865" s="71"/>
      <c r="AR865" s="77"/>
      <c r="AS865" s="70"/>
      <c r="AT865" s="68"/>
      <c r="AU865" s="70"/>
      <c r="AV865" s="70"/>
      <c r="AW865" s="71"/>
      <c r="AX865" s="71"/>
      <c r="AY865" s="70"/>
      <c r="AZ865" s="76"/>
      <c r="BA865" s="76"/>
      <c r="BB865" s="76"/>
      <c r="BC865" s="78"/>
    </row>
    <row r="866" spans="1:55" x14ac:dyDescent="0.25">
      <c r="A866" s="68"/>
      <c r="B866" s="68"/>
      <c r="C866" s="68"/>
      <c r="D866" s="70"/>
      <c r="E866" s="70"/>
      <c r="F866" s="70"/>
      <c r="G866" s="72"/>
      <c r="H866" s="74"/>
      <c r="I866" s="74"/>
      <c r="J866" s="75"/>
      <c r="K866" s="81"/>
      <c r="L866" s="76"/>
      <c r="M866" s="76"/>
      <c r="N866" s="76"/>
      <c r="O866" s="71"/>
      <c r="P866" s="70"/>
      <c r="Q866" s="71"/>
      <c r="R866" s="71"/>
      <c r="S866" s="70"/>
      <c r="T866" s="71"/>
      <c r="U866" s="71"/>
      <c r="V866" s="75"/>
      <c r="W866" s="69"/>
      <c r="X866" s="69"/>
      <c r="Y866" s="69"/>
      <c r="Z866" s="69"/>
      <c r="AA866" s="69"/>
      <c r="AB866" s="69"/>
      <c r="AC866" s="69"/>
      <c r="AD866" s="69"/>
      <c r="AE866" s="76"/>
      <c r="AF866" s="71"/>
      <c r="AG866" s="71"/>
      <c r="AH866" s="71"/>
      <c r="AI866" s="71"/>
      <c r="AJ866" s="71"/>
      <c r="AK866" s="71"/>
      <c r="AL866" s="71"/>
      <c r="AM866" s="71"/>
      <c r="AN866" s="68"/>
      <c r="AO866" s="68"/>
      <c r="AP866" s="70"/>
      <c r="AQ866" s="71"/>
      <c r="AR866" s="77"/>
      <c r="AS866" s="70"/>
      <c r="AT866" s="68"/>
      <c r="AU866" s="70"/>
      <c r="AV866" s="70"/>
      <c r="AW866" s="71"/>
      <c r="AX866" s="71"/>
      <c r="AY866" s="70"/>
      <c r="AZ866" s="76"/>
      <c r="BA866" s="76"/>
      <c r="BB866" s="76"/>
      <c r="BC866" s="78"/>
    </row>
    <row r="867" spans="1:55" x14ac:dyDescent="0.25">
      <c r="A867" s="68"/>
      <c r="B867" s="68"/>
      <c r="C867" s="68"/>
      <c r="D867" s="70"/>
      <c r="E867" s="70"/>
      <c r="F867" s="70"/>
      <c r="G867" s="72"/>
      <c r="H867" s="74"/>
      <c r="I867" s="74"/>
      <c r="J867" s="75"/>
      <c r="K867" s="81"/>
      <c r="L867" s="76"/>
      <c r="M867" s="76"/>
      <c r="N867" s="76"/>
      <c r="O867" s="71"/>
      <c r="P867" s="70"/>
      <c r="Q867" s="71"/>
      <c r="R867" s="71"/>
      <c r="S867" s="70"/>
      <c r="T867" s="71"/>
      <c r="U867" s="71"/>
      <c r="V867" s="75"/>
      <c r="W867" s="69"/>
      <c r="X867" s="69"/>
      <c r="Y867" s="69"/>
      <c r="Z867" s="69"/>
      <c r="AA867" s="69"/>
      <c r="AB867" s="69"/>
      <c r="AC867" s="69"/>
      <c r="AD867" s="69"/>
      <c r="AE867" s="76"/>
      <c r="AF867" s="71"/>
      <c r="AG867" s="71"/>
      <c r="AH867" s="71"/>
      <c r="AI867" s="71"/>
      <c r="AJ867" s="71"/>
      <c r="AK867" s="71"/>
      <c r="AL867" s="71"/>
      <c r="AM867" s="71"/>
      <c r="AN867" s="68"/>
      <c r="AO867" s="68"/>
      <c r="AP867" s="70"/>
      <c r="AQ867" s="71"/>
      <c r="AR867" s="77"/>
      <c r="AS867" s="70"/>
      <c r="AT867" s="68"/>
      <c r="AU867" s="70"/>
      <c r="AV867" s="70"/>
      <c r="AW867" s="71"/>
      <c r="AX867" s="71"/>
      <c r="AY867" s="70"/>
      <c r="AZ867" s="76"/>
      <c r="BA867" s="76"/>
      <c r="BB867" s="76"/>
      <c r="BC867" s="78"/>
    </row>
    <row r="868" spans="1:55" x14ac:dyDescent="0.25">
      <c r="A868" s="68"/>
      <c r="B868" s="68"/>
      <c r="C868" s="68"/>
      <c r="D868" s="70"/>
      <c r="E868" s="70"/>
      <c r="F868" s="70"/>
      <c r="G868" s="72"/>
      <c r="H868" s="74"/>
      <c r="I868" s="74"/>
      <c r="J868" s="75"/>
      <c r="K868" s="81"/>
      <c r="L868" s="76"/>
      <c r="M868" s="76"/>
      <c r="N868" s="76"/>
      <c r="O868" s="71"/>
      <c r="P868" s="70"/>
      <c r="Q868" s="71"/>
      <c r="R868" s="71"/>
      <c r="S868" s="70"/>
      <c r="T868" s="71"/>
      <c r="U868" s="71"/>
      <c r="V868" s="75"/>
      <c r="W868" s="69"/>
      <c r="X868" s="69"/>
      <c r="Y868" s="69"/>
      <c r="Z868" s="69"/>
      <c r="AA868" s="69"/>
      <c r="AB868" s="69"/>
      <c r="AC868" s="69"/>
      <c r="AD868" s="69"/>
      <c r="AE868" s="76"/>
      <c r="AF868" s="71"/>
      <c r="AG868" s="71"/>
      <c r="AH868" s="71"/>
      <c r="AI868" s="71"/>
      <c r="AJ868" s="71"/>
      <c r="AK868" s="71"/>
      <c r="AL868" s="71"/>
      <c r="AM868" s="71"/>
      <c r="AN868" s="68"/>
      <c r="AO868" s="68"/>
      <c r="AP868" s="70"/>
      <c r="AQ868" s="71"/>
      <c r="AR868" s="77"/>
      <c r="AS868" s="70"/>
      <c r="AT868" s="68"/>
      <c r="AU868" s="70"/>
      <c r="AV868" s="70"/>
      <c r="AW868" s="71"/>
      <c r="AX868" s="71"/>
      <c r="AY868" s="70"/>
      <c r="AZ868" s="76"/>
      <c r="BA868" s="76"/>
      <c r="BB868" s="76"/>
      <c r="BC868" s="78"/>
    </row>
    <row r="869" spans="1:55" x14ac:dyDescent="0.25">
      <c r="A869" s="68"/>
      <c r="B869" s="68"/>
      <c r="C869" s="68"/>
      <c r="D869" s="70"/>
      <c r="E869" s="70"/>
      <c r="F869" s="70"/>
      <c r="G869" s="72"/>
      <c r="H869" s="74"/>
      <c r="I869" s="74"/>
      <c r="J869" s="75"/>
      <c r="K869" s="81"/>
      <c r="L869" s="76"/>
      <c r="M869" s="76"/>
      <c r="N869" s="76"/>
      <c r="O869" s="71"/>
      <c r="P869" s="70"/>
      <c r="Q869" s="71"/>
      <c r="R869" s="71"/>
      <c r="S869" s="70"/>
      <c r="T869" s="71"/>
      <c r="U869" s="71"/>
      <c r="V869" s="75"/>
      <c r="W869" s="69"/>
      <c r="X869" s="69"/>
      <c r="Y869" s="69"/>
      <c r="Z869" s="69"/>
      <c r="AA869" s="69"/>
      <c r="AB869" s="69"/>
      <c r="AC869" s="69"/>
      <c r="AD869" s="69"/>
      <c r="AE869" s="76"/>
      <c r="AF869" s="71"/>
      <c r="AG869" s="71"/>
      <c r="AH869" s="71"/>
      <c r="AI869" s="71"/>
      <c r="AJ869" s="71"/>
      <c r="AK869" s="71"/>
      <c r="AL869" s="71"/>
      <c r="AM869" s="71"/>
      <c r="AN869" s="68"/>
      <c r="AO869" s="68"/>
      <c r="AP869" s="70"/>
      <c r="AQ869" s="71"/>
      <c r="AR869" s="77"/>
      <c r="AS869" s="70"/>
      <c r="AT869" s="68"/>
      <c r="AU869" s="70"/>
      <c r="AV869" s="70"/>
      <c r="AW869" s="71"/>
      <c r="AX869" s="71"/>
      <c r="AY869" s="70"/>
      <c r="AZ869" s="76"/>
      <c r="BA869" s="76"/>
      <c r="BB869" s="76"/>
      <c r="BC869" s="78"/>
    </row>
    <row r="870" spans="1:55" x14ac:dyDescent="0.25">
      <c r="A870" s="68"/>
      <c r="B870" s="68"/>
      <c r="C870" s="68"/>
      <c r="D870" s="70"/>
      <c r="E870" s="70"/>
      <c r="F870" s="70"/>
      <c r="G870" s="72"/>
      <c r="H870" s="74"/>
      <c r="I870" s="74"/>
      <c r="J870" s="75"/>
      <c r="K870" s="81"/>
      <c r="L870" s="76"/>
      <c r="M870" s="76"/>
      <c r="N870" s="76"/>
      <c r="O870" s="71"/>
      <c r="P870" s="70"/>
      <c r="Q870" s="71"/>
      <c r="R870" s="71"/>
      <c r="S870" s="70"/>
      <c r="T870" s="71"/>
      <c r="U870" s="71"/>
      <c r="V870" s="75"/>
      <c r="W870" s="69"/>
      <c r="X870" s="69"/>
      <c r="Y870" s="69"/>
      <c r="Z870" s="69"/>
      <c r="AA870" s="69"/>
      <c r="AB870" s="69"/>
      <c r="AC870" s="69"/>
      <c r="AD870" s="69"/>
      <c r="AE870" s="76"/>
      <c r="AF870" s="71"/>
      <c r="AG870" s="71"/>
      <c r="AH870" s="71"/>
      <c r="AI870" s="71"/>
      <c r="AJ870" s="71"/>
      <c r="AK870" s="71"/>
      <c r="AL870" s="71"/>
      <c r="AM870" s="71"/>
      <c r="AN870" s="68"/>
      <c r="AO870" s="68"/>
      <c r="AP870" s="70"/>
      <c r="AQ870" s="71"/>
      <c r="AR870" s="77"/>
      <c r="AS870" s="70"/>
      <c r="AT870" s="68"/>
      <c r="AU870" s="70"/>
      <c r="AV870" s="70"/>
      <c r="AW870" s="71"/>
      <c r="AX870" s="71"/>
      <c r="AY870" s="70"/>
      <c r="AZ870" s="76"/>
      <c r="BA870" s="76"/>
      <c r="BB870" s="76"/>
      <c r="BC870" s="78"/>
    </row>
    <row r="871" spans="1:55" x14ac:dyDescent="0.25">
      <c r="A871" s="68"/>
      <c r="B871" s="68"/>
      <c r="C871" s="68"/>
      <c r="D871" s="70"/>
      <c r="E871" s="70"/>
      <c r="F871" s="70"/>
      <c r="G871" s="72"/>
      <c r="H871" s="74"/>
      <c r="I871" s="74"/>
      <c r="J871" s="75"/>
      <c r="K871" s="81"/>
      <c r="L871" s="76"/>
      <c r="M871" s="76"/>
      <c r="N871" s="76"/>
      <c r="O871" s="71"/>
      <c r="P871" s="70"/>
      <c r="Q871" s="71"/>
      <c r="R871" s="71"/>
      <c r="S871" s="70"/>
      <c r="T871" s="71"/>
      <c r="U871" s="71"/>
      <c r="V871" s="75"/>
      <c r="W871" s="69"/>
      <c r="X871" s="69"/>
      <c r="Y871" s="69"/>
      <c r="Z871" s="69"/>
      <c r="AA871" s="69"/>
      <c r="AB871" s="69"/>
      <c r="AC871" s="69"/>
      <c r="AD871" s="69"/>
      <c r="AE871" s="76"/>
      <c r="AF871" s="71"/>
      <c r="AG871" s="71"/>
      <c r="AH871" s="71"/>
      <c r="AI871" s="71"/>
      <c r="AJ871" s="71"/>
      <c r="AK871" s="71"/>
      <c r="AL871" s="71"/>
      <c r="AM871" s="71"/>
      <c r="AN871" s="68"/>
      <c r="AO871" s="68"/>
      <c r="AP871" s="70"/>
      <c r="AQ871" s="71"/>
      <c r="AR871" s="77"/>
      <c r="AS871" s="70"/>
      <c r="AT871" s="68"/>
      <c r="AU871" s="70"/>
      <c r="AV871" s="70"/>
      <c r="AW871" s="71"/>
      <c r="AX871" s="71"/>
      <c r="AY871" s="70"/>
      <c r="AZ871" s="76"/>
      <c r="BA871" s="76"/>
      <c r="BB871" s="76"/>
      <c r="BC871" s="78"/>
    </row>
    <row r="872" spans="1:55" x14ac:dyDescent="0.25">
      <c r="A872" s="68"/>
      <c r="B872" s="68"/>
      <c r="C872" s="68"/>
      <c r="D872" s="70"/>
      <c r="E872" s="70"/>
      <c r="F872" s="70"/>
      <c r="G872" s="72"/>
      <c r="H872" s="74"/>
      <c r="I872" s="74"/>
      <c r="J872" s="75"/>
      <c r="K872" s="81"/>
      <c r="L872" s="76"/>
      <c r="M872" s="76"/>
      <c r="N872" s="76"/>
      <c r="O872" s="71"/>
      <c r="P872" s="70"/>
      <c r="Q872" s="71"/>
      <c r="R872" s="71"/>
      <c r="S872" s="70"/>
      <c r="T872" s="71"/>
      <c r="U872" s="71"/>
      <c r="V872" s="75"/>
      <c r="W872" s="69"/>
      <c r="X872" s="69"/>
      <c r="Y872" s="69"/>
      <c r="Z872" s="69"/>
      <c r="AA872" s="69"/>
      <c r="AB872" s="69"/>
      <c r="AC872" s="69"/>
      <c r="AD872" s="69"/>
      <c r="AE872" s="76"/>
      <c r="AF872" s="71"/>
      <c r="AG872" s="71"/>
      <c r="AH872" s="71"/>
      <c r="AI872" s="71"/>
      <c r="AJ872" s="71"/>
      <c r="AK872" s="71"/>
      <c r="AL872" s="71"/>
      <c r="AM872" s="71"/>
      <c r="AN872" s="68"/>
      <c r="AO872" s="68"/>
      <c r="AP872" s="70"/>
      <c r="AQ872" s="71"/>
      <c r="AR872" s="77"/>
      <c r="AS872" s="70"/>
      <c r="AT872" s="68"/>
      <c r="AU872" s="70"/>
      <c r="AV872" s="70"/>
      <c r="AW872" s="71"/>
      <c r="AX872" s="71"/>
      <c r="AY872" s="70"/>
      <c r="AZ872" s="76"/>
      <c r="BA872" s="76"/>
      <c r="BB872" s="76"/>
      <c r="BC872" s="78"/>
    </row>
    <row r="873" spans="1:55" x14ac:dyDescent="0.25">
      <c r="A873" s="68"/>
      <c r="B873" s="68"/>
      <c r="C873" s="68"/>
      <c r="D873" s="70"/>
      <c r="E873" s="70"/>
      <c r="F873" s="70"/>
      <c r="G873" s="72"/>
      <c r="H873" s="74"/>
      <c r="I873" s="74"/>
      <c r="J873" s="75"/>
      <c r="K873" s="81"/>
      <c r="L873" s="76"/>
      <c r="M873" s="76"/>
      <c r="N873" s="76"/>
      <c r="O873" s="71"/>
      <c r="P873" s="70"/>
      <c r="Q873" s="71"/>
      <c r="R873" s="71"/>
      <c r="S873" s="70"/>
      <c r="T873" s="71"/>
      <c r="U873" s="71"/>
      <c r="V873" s="75"/>
      <c r="W873" s="69"/>
      <c r="X873" s="69"/>
      <c r="Y873" s="69"/>
      <c r="Z873" s="69"/>
      <c r="AA873" s="69"/>
      <c r="AB873" s="69"/>
      <c r="AC873" s="69"/>
      <c r="AD873" s="69"/>
      <c r="AE873" s="76"/>
      <c r="AF873" s="71"/>
      <c r="AG873" s="71"/>
      <c r="AH873" s="71"/>
      <c r="AI873" s="71"/>
      <c r="AJ873" s="71"/>
      <c r="AK873" s="71"/>
      <c r="AL873" s="71"/>
      <c r="AM873" s="71"/>
      <c r="AN873" s="68"/>
      <c r="AO873" s="68"/>
      <c r="AP873" s="70"/>
      <c r="AQ873" s="71"/>
      <c r="AR873" s="77"/>
      <c r="AS873" s="70"/>
      <c r="AT873" s="68"/>
      <c r="AU873" s="70"/>
      <c r="AV873" s="70"/>
      <c r="AW873" s="71"/>
      <c r="AX873" s="71"/>
      <c r="AY873" s="70"/>
      <c r="AZ873" s="76"/>
      <c r="BA873" s="76"/>
      <c r="BB873" s="76"/>
      <c r="BC873" s="78"/>
    </row>
    <row r="874" spans="1:55" x14ac:dyDescent="0.25">
      <c r="A874" s="68"/>
      <c r="B874" s="68"/>
      <c r="C874" s="68"/>
      <c r="D874" s="70"/>
      <c r="E874" s="70"/>
      <c r="F874" s="70"/>
      <c r="G874" s="72"/>
      <c r="H874" s="74"/>
      <c r="I874" s="74"/>
      <c r="J874" s="75"/>
      <c r="K874" s="81"/>
      <c r="L874" s="76"/>
      <c r="M874" s="76"/>
      <c r="N874" s="76"/>
      <c r="O874" s="71"/>
      <c r="P874" s="70"/>
      <c r="Q874" s="71"/>
      <c r="R874" s="71"/>
      <c r="S874" s="70"/>
      <c r="T874" s="71"/>
      <c r="U874" s="71"/>
      <c r="V874" s="75"/>
      <c r="W874" s="69"/>
      <c r="X874" s="69"/>
      <c r="Y874" s="69"/>
      <c r="Z874" s="69"/>
      <c r="AA874" s="69"/>
      <c r="AB874" s="69"/>
      <c r="AC874" s="69"/>
      <c r="AD874" s="69"/>
      <c r="AE874" s="76"/>
      <c r="AF874" s="71"/>
      <c r="AG874" s="71"/>
      <c r="AH874" s="71"/>
      <c r="AI874" s="71"/>
      <c r="AJ874" s="71"/>
      <c r="AK874" s="71"/>
      <c r="AL874" s="71"/>
      <c r="AM874" s="71"/>
      <c r="AN874" s="68"/>
      <c r="AO874" s="68"/>
      <c r="AP874" s="70"/>
      <c r="AQ874" s="71"/>
      <c r="AR874" s="77"/>
      <c r="AS874" s="70"/>
      <c r="AT874" s="68"/>
      <c r="AU874" s="70"/>
      <c r="AV874" s="70"/>
      <c r="AW874" s="71"/>
      <c r="AX874" s="71"/>
      <c r="AY874" s="70"/>
      <c r="AZ874" s="76"/>
      <c r="BA874" s="76"/>
      <c r="BB874" s="76"/>
      <c r="BC874" s="78"/>
    </row>
    <row r="875" spans="1:55" x14ac:dyDescent="0.25">
      <c r="A875" s="68"/>
      <c r="B875" s="68"/>
      <c r="C875" s="68"/>
      <c r="D875" s="70"/>
      <c r="E875" s="70"/>
      <c r="F875" s="70"/>
      <c r="G875" s="72"/>
      <c r="H875" s="74"/>
      <c r="I875" s="74"/>
      <c r="J875" s="75"/>
      <c r="K875" s="81"/>
      <c r="L875" s="76"/>
      <c r="M875" s="76"/>
      <c r="N875" s="76"/>
      <c r="O875" s="71"/>
      <c r="P875" s="70"/>
      <c r="Q875" s="71"/>
      <c r="R875" s="71"/>
      <c r="S875" s="70"/>
      <c r="T875" s="71"/>
      <c r="U875" s="71"/>
      <c r="V875" s="75"/>
      <c r="W875" s="69"/>
      <c r="X875" s="69"/>
      <c r="Y875" s="69"/>
      <c r="Z875" s="69"/>
      <c r="AA875" s="69"/>
      <c r="AB875" s="69"/>
      <c r="AC875" s="69"/>
      <c r="AD875" s="69"/>
      <c r="AE875" s="76"/>
      <c r="AF875" s="71"/>
      <c r="AG875" s="71"/>
      <c r="AH875" s="71"/>
      <c r="AI875" s="71"/>
      <c r="AJ875" s="71"/>
      <c r="AK875" s="71"/>
      <c r="AL875" s="71"/>
      <c r="AM875" s="71"/>
      <c r="AN875" s="68"/>
      <c r="AO875" s="68"/>
      <c r="AP875" s="70"/>
      <c r="AQ875" s="71"/>
      <c r="AR875" s="77"/>
      <c r="AS875" s="70"/>
      <c r="AT875" s="68"/>
      <c r="AU875" s="70"/>
      <c r="AV875" s="70"/>
      <c r="AW875" s="71"/>
      <c r="AX875" s="71"/>
      <c r="AY875" s="70"/>
      <c r="AZ875" s="76"/>
      <c r="BA875" s="76"/>
      <c r="BB875" s="76"/>
      <c r="BC875" s="78"/>
    </row>
    <row r="876" spans="1:55" x14ac:dyDescent="0.25">
      <c r="A876" s="68"/>
      <c r="B876" s="68"/>
      <c r="C876" s="68"/>
      <c r="D876" s="70"/>
      <c r="E876" s="70"/>
      <c r="F876" s="70"/>
      <c r="G876" s="72"/>
      <c r="H876" s="74"/>
      <c r="I876" s="74"/>
      <c r="J876" s="75"/>
      <c r="K876" s="81"/>
      <c r="L876" s="76"/>
      <c r="M876" s="76"/>
      <c r="N876" s="76"/>
      <c r="O876" s="71"/>
      <c r="P876" s="70"/>
      <c r="Q876" s="71"/>
      <c r="R876" s="71"/>
      <c r="S876" s="70"/>
      <c r="T876" s="71"/>
      <c r="U876" s="71"/>
      <c r="V876" s="75"/>
      <c r="W876" s="69"/>
      <c r="X876" s="69"/>
      <c r="Y876" s="69"/>
      <c r="Z876" s="69"/>
      <c r="AA876" s="69"/>
      <c r="AB876" s="69"/>
      <c r="AC876" s="69"/>
      <c r="AD876" s="69"/>
      <c r="AE876" s="76"/>
      <c r="AF876" s="71"/>
      <c r="AG876" s="71"/>
      <c r="AH876" s="71"/>
      <c r="AI876" s="71"/>
      <c r="AJ876" s="71"/>
      <c r="AK876" s="71"/>
      <c r="AL876" s="71"/>
      <c r="AM876" s="71"/>
      <c r="AN876" s="68"/>
      <c r="AO876" s="68"/>
      <c r="AP876" s="70"/>
      <c r="AQ876" s="71"/>
      <c r="AR876" s="77"/>
      <c r="AS876" s="70"/>
      <c r="AT876" s="68"/>
      <c r="AU876" s="70"/>
      <c r="AV876" s="70"/>
      <c r="AW876" s="71"/>
      <c r="AX876" s="71"/>
      <c r="AY876" s="70"/>
      <c r="AZ876" s="76"/>
      <c r="BA876" s="76"/>
      <c r="BB876" s="76"/>
      <c r="BC876" s="78"/>
    </row>
    <row r="877" spans="1:55" x14ac:dyDescent="0.25">
      <c r="A877" s="68"/>
      <c r="B877" s="68"/>
      <c r="C877" s="68"/>
      <c r="D877" s="70"/>
      <c r="E877" s="70"/>
      <c r="F877" s="70"/>
      <c r="G877" s="72"/>
      <c r="H877" s="74"/>
      <c r="I877" s="74"/>
      <c r="J877" s="75"/>
      <c r="K877" s="81"/>
      <c r="L877" s="76"/>
      <c r="M877" s="76"/>
      <c r="N877" s="76"/>
      <c r="O877" s="71"/>
      <c r="P877" s="70"/>
      <c r="Q877" s="71"/>
      <c r="R877" s="71"/>
      <c r="S877" s="70"/>
      <c r="T877" s="71"/>
      <c r="U877" s="71"/>
      <c r="V877" s="75"/>
      <c r="W877" s="69"/>
      <c r="X877" s="69"/>
      <c r="Y877" s="69"/>
      <c r="Z877" s="69"/>
      <c r="AA877" s="69"/>
      <c r="AB877" s="69"/>
      <c r="AC877" s="69"/>
      <c r="AD877" s="69"/>
      <c r="AE877" s="76"/>
      <c r="AF877" s="71"/>
      <c r="AG877" s="71"/>
      <c r="AH877" s="71"/>
      <c r="AI877" s="71"/>
      <c r="AJ877" s="71"/>
      <c r="AK877" s="71"/>
      <c r="AL877" s="71"/>
      <c r="AM877" s="71"/>
      <c r="AN877" s="68"/>
      <c r="AO877" s="68"/>
      <c r="AP877" s="70"/>
      <c r="AQ877" s="71"/>
      <c r="AR877" s="77"/>
      <c r="AS877" s="70"/>
      <c r="AT877" s="68"/>
      <c r="AU877" s="70"/>
      <c r="AV877" s="70"/>
      <c r="AW877" s="71"/>
      <c r="AX877" s="71"/>
      <c r="AY877" s="70"/>
      <c r="AZ877" s="76"/>
      <c r="BA877" s="76"/>
      <c r="BB877" s="76"/>
      <c r="BC877" s="78"/>
    </row>
    <row r="878" spans="1:55" x14ac:dyDescent="0.25">
      <c r="A878" s="68"/>
      <c r="B878" s="68"/>
      <c r="C878" s="68"/>
      <c r="D878" s="70"/>
      <c r="E878" s="70"/>
      <c r="F878" s="70"/>
      <c r="G878" s="72"/>
      <c r="H878" s="74"/>
      <c r="I878" s="74"/>
      <c r="J878" s="75"/>
      <c r="K878" s="81"/>
      <c r="L878" s="76"/>
      <c r="M878" s="76"/>
      <c r="N878" s="76"/>
      <c r="O878" s="71"/>
      <c r="P878" s="70"/>
      <c r="Q878" s="71"/>
      <c r="R878" s="71"/>
      <c r="S878" s="70"/>
      <c r="T878" s="71"/>
      <c r="U878" s="71"/>
      <c r="V878" s="75"/>
      <c r="W878" s="69"/>
      <c r="X878" s="69"/>
      <c r="Y878" s="69"/>
      <c r="Z878" s="69"/>
      <c r="AA878" s="69"/>
      <c r="AB878" s="69"/>
      <c r="AC878" s="69"/>
      <c r="AD878" s="69"/>
      <c r="AE878" s="76"/>
      <c r="AF878" s="71"/>
      <c r="AG878" s="71"/>
      <c r="AH878" s="71"/>
      <c r="AI878" s="71"/>
      <c r="AJ878" s="71"/>
      <c r="AK878" s="71"/>
      <c r="AL878" s="71"/>
      <c r="AM878" s="71"/>
      <c r="AN878" s="68"/>
      <c r="AO878" s="68"/>
      <c r="AP878" s="70"/>
      <c r="AQ878" s="71"/>
      <c r="AR878" s="77"/>
      <c r="AS878" s="70"/>
      <c r="AT878" s="68"/>
      <c r="AU878" s="70"/>
      <c r="AV878" s="70"/>
      <c r="AW878" s="71"/>
      <c r="AX878" s="71"/>
      <c r="AY878" s="70"/>
      <c r="AZ878" s="76"/>
      <c r="BA878" s="76"/>
      <c r="BB878" s="76"/>
      <c r="BC878" s="78"/>
    </row>
    <row r="879" spans="1:55" x14ac:dyDescent="0.25">
      <c r="A879" s="68"/>
      <c r="B879" s="68"/>
      <c r="C879" s="68"/>
      <c r="D879" s="70"/>
      <c r="E879" s="70"/>
      <c r="F879" s="70"/>
      <c r="G879" s="72"/>
      <c r="H879" s="74"/>
      <c r="I879" s="74"/>
      <c r="J879" s="75"/>
      <c r="K879" s="81"/>
      <c r="L879" s="76"/>
      <c r="M879" s="76"/>
      <c r="N879" s="76"/>
      <c r="O879" s="71"/>
      <c r="P879" s="70"/>
      <c r="Q879" s="71"/>
      <c r="R879" s="71"/>
      <c r="S879" s="70"/>
      <c r="T879" s="71"/>
      <c r="U879" s="71"/>
      <c r="V879" s="75"/>
      <c r="W879" s="69"/>
      <c r="X879" s="69"/>
      <c r="Y879" s="69"/>
      <c r="Z879" s="69"/>
      <c r="AA879" s="69"/>
      <c r="AB879" s="69"/>
      <c r="AC879" s="69"/>
      <c r="AD879" s="69"/>
      <c r="AE879" s="76"/>
      <c r="AF879" s="71"/>
      <c r="AG879" s="71"/>
      <c r="AH879" s="71"/>
      <c r="AI879" s="71"/>
      <c r="AJ879" s="71"/>
      <c r="AK879" s="71"/>
      <c r="AL879" s="71"/>
      <c r="AM879" s="71"/>
      <c r="AN879" s="68"/>
      <c r="AO879" s="68"/>
      <c r="AP879" s="70"/>
      <c r="AQ879" s="71"/>
      <c r="AR879" s="77"/>
      <c r="AS879" s="70"/>
      <c r="AT879" s="68"/>
      <c r="AU879" s="70"/>
      <c r="AV879" s="70"/>
      <c r="AW879" s="71"/>
      <c r="AX879" s="71"/>
      <c r="AY879" s="70"/>
      <c r="AZ879" s="76"/>
      <c r="BA879" s="76"/>
      <c r="BB879" s="76"/>
      <c r="BC879" s="78"/>
    </row>
    <row r="880" spans="1:55" x14ac:dyDescent="0.25">
      <c r="A880" s="68"/>
      <c r="B880" s="68"/>
      <c r="C880" s="68"/>
      <c r="D880" s="70"/>
      <c r="E880" s="70"/>
      <c r="F880" s="70"/>
      <c r="G880" s="72"/>
      <c r="H880" s="74"/>
      <c r="I880" s="74"/>
      <c r="J880" s="75"/>
      <c r="K880" s="81"/>
      <c r="L880" s="76"/>
      <c r="M880" s="76"/>
      <c r="N880" s="76"/>
      <c r="O880" s="71"/>
      <c r="P880" s="70"/>
      <c r="Q880" s="71"/>
      <c r="R880" s="71"/>
      <c r="S880" s="70"/>
      <c r="T880" s="71"/>
      <c r="U880" s="71"/>
      <c r="V880" s="75"/>
      <c r="W880" s="69"/>
      <c r="X880" s="69"/>
      <c r="Y880" s="69"/>
      <c r="Z880" s="69"/>
      <c r="AA880" s="69"/>
      <c r="AB880" s="69"/>
      <c r="AC880" s="69"/>
      <c r="AD880" s="69"/>
      <c r="AE880" s="76"/>
      <c r="AF880" s="71"/>
      <c r="AG880" s="71"/>
      <c r="AH880" s="71"/>
      <c r="AI880" s="71"/>
      <c r="AJ880" s="71"/>
      <c r="AK880" s="71"/>
      <c r="AL880" s="71"/>
      <c r="AM880" s="71"/>
      <c r="AN880" s="68"/>
      <c r="AO880" s="68"/>
      <c r="AP880" s="70"/>
      <c r="AQ880" s="71"/>
      <c r="AR880" s="77"/>
      <c r="AS880" s="70"/>
      <c r="AT880" s="68"/>
      <c r="AU880" s="70"/>
      <c r="AV880" s="70"/>
      <c r="AW880" s="71"/>
      <c r="AX880" s="71"/>
      <c r="AY880" s="70"/>
      <c r="AZ880" s="76"/>
      <c r="BA880" s="76"/>
      <c r="BB880" s="76"/>
      <c r="BC880" s="78"/>
    </row>
    <row r="881" spans="1:55" x14ac:dyDescent="0.25">
      <c r="A881" s="68"/>
      <c r="B881" s="68"/>
      <c r="C881" s="68"/>
      <c r="D881" s="70"/>
      <c r="E881" s="70"/>
      <c r="F881" s="70"/>
      <c r="G881" s="72"/>
      <c r="H881" s="74"/>
      <c r="I881" s="74"/>
      <c r="J881" s="75"/>
      <c r="K881" s="81"/>
      <c r="L881" s="76"/>
      <c r="M881" s="76"/>
      <c r="N881" s="76"/>
      <c r="O881" s="71"/>
      <c r="P881" s="70"/>
      <c r="Q881" s="71"/>
      <c r="R881" s="71"/>
      <c r="S881" s="70"/>
      <c r="T881" s="71"/>
      <c r="U881" s="71"/>
      <c r="V881" s="75"/>
      <c r="W881" s="69"/>
      <c r="X881" s="69"/>
      <c r="Y881" s="69"/>
      <c r="Z881" s="69"/>
      <c r="AA881" s="69"/>
      <c r="AB881" s="69"/>
      <c r="AC881" s="69"/>
      <c r="AD881" s="69"/>
      <c r="AE881" s="76"/>
      <c r="AF881" s="71"/>
      <c r="AG881" s="71"/>
      <c r="AH881" s="71"/>
      <c r="AI881" s="71"/>
      <c r="AJ881" s="71"/>
      <c r="AK881" s="71"/>
      <c r="AL881" s="71"/>
      <c r="AM881" s="71"/>
      <c r="AN881" s="68"/>
      <c r="AO881" s="68"/>
      <c r="AP881" s="70"/>
      <c r="AQ881" s="71"/>
      <c r="AR881" s="77"/>
      <c r="AS881" s="70"/>
      <c r="AT881" s="68"/>
      <c r="AU881" s="70"/>
      <c r="AV881" s="70"/>
      <c r="AW881" s="71"/>
      <c r="AX881" s="71"/>
      <c r="AY881" s="70"/>
      <c r="AZ881" s="76"/>
      <c r="BA881" s="76"/>
      <c r="BB881" s="76"/>
      <c r="BC881" s="78"/>
    </row>
    <row r="882" spans="1:55" x14ac:dyDescent="0.25">
      <c r="A882" s="68"/>
      <c r="B882" s="68"/>
      <c r="C882" s="68"/>
      <c r="D882" s="70"/>
      <c r="E882" s="70"/>
      <c r="F882" s="70"/>
      <c r="G882" s="72"/>
      <c r="H882" s="74"/>
      <c r="I882" s="74"/>
      <c r="J882" s="75"/>
      <c r="K882" s="81"/>
      <c r="L882" s="76"/>
      <c r="M882" s="76"/>
      <c r="N882" s="76"/>
      <c r="O882" s="71"/>
      <c r="P882" s="70"/>
      <c r="Q882" s="71"/>
      <c r="R882" s="71"/>
      <c r="S882" s="70"/>
      <c r="T882" s="71"/>
      <c r="U882" s="71"/>
      <c r="V882" s="75"/>
      <c r="W882" s="69"/>
      <c r="X882" s="69"/>
      <c r="Y882" s="69"/>
      <c r="Z882" s="69"/>
      <c r="AA882" s="69"/>
      <c r="AB882" s="69"/>
      <c r="AC882" s="69"/>
      <c r="AD882" s="69"/>
      <c r="AE882" s="76"/>
      <c r="AF882" s="71"/>
      <c r="AG882" s="71"/>
      <c r="AH882" s="71"/>
      <c r="AI882" s="71"/>
      <c r="AJ882" s="71"/>
      <c r="AK882" s="71"/>
      <c r="AL882" s="71"/>
      <c r="AM882" s="71"/>
      <c r="AN882" s="68"/>
      <c r="AO882" s="68"/>
      <c r="AP882" s="70"/>
      <c r="AQ882" s="71"/>
      <c r="AR882" s="77"/>
      <c r="AS882" s="70"/>
      <c r="AT882" s="68"/>
      <c r="AU882" s="70"/>
      <c r="AV882" s="70"/>
      <c r="AW882" s="71"/>
      <c r="AX882" s="71"/>
      <c r="AY882" s="70"/>
      <c r="AZ882" s="76"/>
      <c r="BA882" s="76"/>
      <c r="BB882" s="76"/>
      <c r="BC882" s="78"/>
    </row>
    <row r="883" spans="1:55" x14ac:dyDescent="0.25">
      <c r="A883" s="68"/>
      <c r="B883" s="68"/>
      <c r="C883" s="68"/>
      <c r="D883" s="70"/>
      <c r="E883" s="70"/>
      <c r="F883" s="70"/>
      <c r="G883" s="72"/>
      <c r="H883" s="74"/>
      <c r="I883" s="74"/>
      <c r="J883" s="75"/>
      <c r="K883" s="81"/>
      <c r="L883" s="76"/>
      <c r="M883" s="76"/>
      <c r="N883" s="76"/>
      <c r="O883" s="71"/>
      <c r="P883" s="70"/>
      <c r="Q883" s="71"/>
      <c r="R883" s="71"/>
      <c r="S883" s="70"/>
      <c r="T883" s="71"/>
      <c r="U883" s="71"/>
      <c r="V883" s="75"/>
      <c r="W883" s="69"/>
      <c r="X883" s="69"/>
      <c r="Y883" s="69"/>
      <c r="Z883" s="69"/>
      <c r="AA883" s="69"/>
      <c r="AB883" s="69"/>
      <c r="AC883" s="69"/>
      <c r="AD883" s="69"/>
      <c r="AE883" s="76"/>
      <c r="AF883" s="71"/>
      <c r="AG883" s="71"/>
      <c r="AH883" s="71"/>
      <c r="AI883" s="71"/>
      <c r="AJ883" s="71"/>
      <c r="AK883" s="71"/>
      <c r="AL883" s="71"/>
      <c r="AM883" s="71"/>
      <c r="AN883" s="68"/>
      <c r="AO883" s="68"/>
      <c r="AP883" s="70"/>
      <c r="AQ883" s="71"/>
      <c r="AR883" s="77"/>
      <c r="AS883" s="70"/>
      <c r="AT883" s="68"/>
      <c r="AU883" s="70"/>
      <c r="AV883" s="70"/>
      <c r="AW883" s="71"/>
      <c r="AX883" s="71"/>
      <c r="AY883" s="70"/>
      <c r="AZ883" s="76"/>
      <c r="BA883" s="76"/>
      <c r="BB883" s="76"/>
      <c r="BC883" s="78"/>
    </row>
    <row r="884" spans="1:55" x14ac:dyDescent="0.25">
      <c r="A884" s="68"/>
      <c r="B884" s="68"/>
      <c r="C884" s="68"/>
      <c r="D884" s="70"/>
      <c r="E884" s="70"/>
      <c r="F884" s="70"/>
      <c r="G884" s="72"/>
      <c r="H884" s="74"/>
      <c r="I884" s="74"/>
      <c r="J884" s="75"/>
      <c r="K884" s="81"/>
      <c r="L884" s="76"/>
      <c r="M884" s="76"/>
      <c r="N884" s="76"/>
      <c r="O884" s="71"/>
      <c r="P884" s="70"/>
      <c r="Q884" s="71"/>
      <c r="R884" s="71"/>
      <c r="S884" s="70"/>
      <c r="T884" s="71"/>
      <c r="U884" s="71"/>
      <c r="V884" s="75"/>
      <c r="W884" s="69"/>
      <c r="X884" s="69"/>
      <c r="Y884" s="69"/>
      <c r="Z884" s="69"/>
      <c r="AA884" s="69"/>
      <c r="AB884" s="69"/>
      <c r="AC884" s="69"/>
      <c r="AD884" s="69"/>
      <c r="AE884" s="76"/>
      <c r="AF884" s="71"/>
      <c r="AG884" s="71"/>
      <c r="AH884" s="71"/>
      <c r="AI884" s="71"/>
      <c r="AJ884" s="71"/>
      <c r="AK884" s="71"/>
      <c r="AL884" s="71"/>
      <c r="AM884" s="71"/>
      <c r="AN884" s="68"/>
      <c r="AO884" s="68"/>
      <c r="AP884" s="70"/>
      <c r="AQ884" s="71"/>
      <c r="AR884" s="77"/>
      <c r="AS884" s="70"/>
      <c r="AT884" s="68"/>
      <c r="AU884" s="70"/>
      <c r="AV884" s="70"/>
      <c r="AW884" s="71"/>
      <c r="AX884" s="71"/>
      <c r="AY884" s="70"/>
      <c r="AZ884" s="76"/>
      <c r="BA884" s="76"/>
      <c r="BB884" s="76"/>
      <c r="BC884" s="78"/>
    </row>
    <row r="885" spans="1:55" x14ac:dyDescent="0.25">
      <c r="A885" s="68"/>
      <c r="B885" s="68"/>
      <c r="C885" s="68"/>
      <c r="D885" s="70"/>
      <c r="E885" s="70"/>
      <c r="F885" s="70"/>
      <c r="G885" s="72"/>
      <c r="H885" s="74"/>
      <c r="I885" s="74"/>
      <c r="J885" s="75"/>
      <c r="K885" s="81"/>
      <c r="L885" s="76"/>
      <c r="M885" s="76"/>
      <c r="N885" s="76"/>
      <c r="O885" s="71"/>
      <c r="P885" s="70"/>
      <c r="Q885" s="71"/>
      <c r="R885" s="71"/>
      <c r="S885" s="70"/>
      <c r="T885" s="71"/>
      <c r="U885" s="71"/>
      <c r="V885" s="75"/>
      <c r="W885" s="69"/>
      <c r="X885" s="69"/>
      <c r="Y885" s="69"/>
      <c r="Z885" s="69"/>
      <c r="AA885" s="69"/>
      <c r="AB885" s="69"/>
      <c r="AC885" s="69"/>
      <c r="AD885" s="69"/>
      <c r="AE885" s="76"/>
      <c r="AF885" s="71"/>
      <c r="AG885" s="71"/>
      <c r="AH885" s="71"/>
      <c r="AI885" s="71"/>
      <c r="AJ885" s="71"/>
      <c r="AK885" s="71"/>
      <c r="AL885" s="71"/>
      <c r="AM885" s="71"/>
      <c r="AN885" s="68"/>
      <c r="AO885" s="68"/>
      <c r="AP885" s="70"/>
      <c r="AQ885" s="71"/>
      <c r="AR885" s="77"/>
      <c r="AS885" s="70"/>
      <c r="AT885" s="68"/>
      <c r="AU885" s="70"/>
      <c r="AV885" s="70"/>
      <c r="AW885" s="71"/>
      <c r="AX885" s="71"/>
      <c r="AY885" s="70"/>
      <c r="AZ885" s="76"/>
      <c r="BA885" s="76"/>
      <c r="BB885" s="76"/>
      <c r="BC885" s="78"/>
    </row>
    <row r="886" spans="1:55" x14ac:dyDescent="0.25">
      <c r="A886" s="68"/>
      <c r="B886" s="68"/>
      <c r="C886" s="68"/>
      <c r="D886" s="70"/>
      <c r="E886" s="70"/>
      <c r="F886" s="70"/>
      <c r="G886" s="72"/>
      <c r="H886" s="74"/>
      <c r="I886" s="74"/>
      <c r="J886" s="75"/>
      <c r="K886" s="81"/>
      <c r="L886" s="76"/>
      <c r="M886" s="76"/>
      <c r="N886" s="76"/>
      <c r="O886" s="71"/>
      <c r="P886" s="70"/>
      <c r="Q886" s="71"/>
      <c r="R886" s="71"/>
      <c r="S886" s="70"/>
      <c r="T886" s="71"/>
      <c r="U886" s="71"/>
      <c r="V886" s="75"/>
      <c r="W886" s="69"/>
      <c r="X886" s="69"/>
      <c r="Y886" s="69"/>
      <c r="Z886" s="69"/>
      <c r="AA886" s="69"/>
      <c r="AB886" s="69"/>
      <c r="AC886" s="69"/>
      <c r="AD886" s="69"/>
      <c r="AE886" s="76"/>
      <c r="AF886" s="71"/>
      <c r="AG886" s="71"/>
      <c r="AH886" s="71"/>
      <c r="AI886" s="71"/>
      <c r="AJ886" s="71"/>
      <c r="AK886" s="71"/>
      <c r="AL886" s="71"/>
      <c r="AM886" s="71"/>
      <c r="AN886" s="68"/>
      <c r="AO886" s="68"/>
      <c r="AP886" s="70"/>
      <c r="AQ886" s="71"/>
      <c r="AR886" s="77"/>
      <c r="AS886" s="70"/>
      <c r="AT886" s="68"/>
      <c r="AU886" s="70"/>
      <c r="AV886" s="70"/>
      <c r="AW886" s="71"/>
      <c r="AX886" s="71"/>
      <c r="AY886" s="70"/>
      <c r="AZ886" s="76"/>
      <c r="BA886" s="76"/>
      <c r="BB886" s="76"/>
      <c r="BC886" s="78"/>
    </row>
    <row r="887" spans="1:55" x14ac:dyDescent="0.25">
      <c r="A887" s="68"/>
      <c r="B887" s="68"/>
      <c r="C887" s="68"/>
      <c r="D887" s="70"/>
      <c r="E887" s="70"/>
      <c r="F887" s="70"/>
      <c r="G887" s="72"/>
      <c r="H887" s="74"/>
      <c r="I887" s="74"/>
      <c r="J887" s="75"/>
      <c r="K887" s="81"/>
      <c r="L887" s="76"/>
      <c r="M887" s="76"/>
      <c r="N887" s="76"/>
      <c r="O887" s="71"/>
      <c r="P887" s="70"/>
      <c r="Q887" s="71"/>
      <c r="R887" s="71"/>
      <c r="S887" s="70"/>
      <c r="T887" s="71"/>
      <c r="U887" s="71"/>
      <c r="V887" s="75"/>
      <c r="W887" s="69"/>
      <c r="X887" s="69"/>
      <c r="Y887" s="69"/>
      <c r="Z887" s="69"/>
      <c r="AA887" s="69"/>
      <c r="AB887" s="69"/>
      <c r="AC887" s="69"/>
      <c r="AD887" s="69"/>
      <c r="AE887" s="76"/>
      <c r="AF887" s="71"/>
      <c r="AG887" s="71"/>
      <c r="AH887" s="71"/>
      <c r="AI887" s="71"/>
      <c r="AJ887" s="71"/>
      <c r="AK887" s="71"/>
      <c r="AL887" s="71"/>
      <c r="AM887" s="71"/>
      <c r="AN887" s="68"/>
      <c r="AO887" s="68"/>
      <c r="AP887" s="70"/>
      <c r="AQ887" s="71"/>
      <c r="AR887" s="77"/>
      <c r="AS887" s="70"/>
      <c r="AT887" s="68"/>
      <c r="AU887" s="70"/>
      <c r="AV887" s="70"/>
      <c r="AW887" s="71"/>
      <c r="AX887" s="71"/>
      <c r="AY887" s="70"/>
      <c r="AZ887" s="76"/>
      <c r="BA887" s="76"/>
      <c r="BB887" s="76"/>
      <c r="BC887" s="78"/>
    </row>
    <row r="888" spans="1:55" x14ac:dyDescent="0.25">
      <c r="A888" s="68"/>
      <c r="B888" s="68"/>
      <c r="C888" s="68"/>
      <c r="D888" s="70"/>
      <c r="E888" s="70"/>
      <c r="F888" s="70"/>
      <c r="G888" s="72"/>
      <c r="H888" s="74"/>
      <c r="I888" s="74"/>
      <c r="J888" s="75"/>
      <c r="K888" s="81"/>
      <c r="L888" s="76"/>
      <c r="M888" s="76"/>
      <c r="N888" s="76"/>
      <c r="O888" s="71"/>
      <c r="P888" s="70"/>
      <c r="Q888" s="71"/>
      <c r="R888" s="71"/>
      <c r="S888" s="70"/>
      <c r="T888" s="71"/>
      <c r="U888" s="71"/>
      <c r="V888" s="75"/>
      <c r="W888" s="69"/>
      <c r="X888" s="69"/>
      <c r="Y888" s="69"/>
      <c r="Z888" s="69"/>
      <c r="AA888" s="69"/>
      <c r="AB888" s="69"/>
      <c r="AC888" s="69"/>
      <c r="AD888" s="69"/>
      <c r="AE888" s="76"/>
      <c r="AF888" s="71"/>
      <c r="AG888" s="71"/>
      <c r="AH888" s="71"/>
      <c r="AI888" s="71"/>
      <c r="AJ888" s="71"/>
      <c r="AK888" s="71"/>
      <c r="AL888" s="71"/>
      <c r="AM888" s="71"/>
      <c r="AN888" s="68"/>
      <c r="AO888" s="68"/>
      <c r="AP888" s="70"/>
      <c r="AQ888" s="71"/>
      <c r="AR888" s="77"/>
      <c r="AS888" s="70"/>
      <c r="AT888" s="68"/>
      <c r="AU888" s="70"/>
      <c r="AV888" s="70"/>
      <c r="AW888" s="71"/>
      <c r="AX888" s="71"/>
      <c r="AY888" s="70"/>
      <c r="AZ888" s="76"/>
      <c r="BA888" s="76"/>
      <c r="BB888" s="76"/>
      <c r="BC888" s="78"/>
    </row>
    <row r="889" spans="1:55" x14ac:dyDescent="0.25">
      <c r="A889" s="68"/>
      <c r="B889" s="68"/>
      <c r="C889" s="68"/>
      <c r="D889" s="70"/>
      <c r="E889" s="70"/>
      <c r="F889" s="70"/>
      <c r="G889" s="72"/>
      <c r="H889" s="74"/>
      <c r="I889" s="74"/>
      <c r="J889" s="75"/>
      <c r="K889" s="81"/>
      <c r="L889" s="76"/>
      <c r="M889" s="76"/>
      <c r="N889" s="76"/>
      <c r="O889" s="71"/>
      <c r="P889" s="70"/>
      <c r="Q889" s="71"/>
      <c r="R889" s="71"/>
      <c r="S889" s="70"/>
      <c r="T889" s="71"/>
      <c r="U889" s="71"/>
      <c r="V889" s="75"/>
      <c r="W889" s="69"/>
      <c r="X889" s="69"/>
      <c r="Y889" s="69"/>
      <c r="Z889" s="69"/>
      <c r="AA889" s="69"/>
      <c r="AB889" s="69"/>
      <c r="AC889" s="69"/>
      <c r="AD889" s="69"/>
      <c r="AE889" s="76"/>
      <c r="AF889" s="71"/>
      <c r="AG889" s="71"/>
      <c r="AH889" s="71"/>
      <c r="AI889" s="71"/>
      <c r="AJ889" s="71"/>
      <c r="AK889" s="71"/>
      <c r="AL889" s="71"/>
      <c r="AM889" s="71"/>
      <c r="AN889" s="68"/>
      <c r="AO889" s="68"/>
      <c r="AP889" s="70"/>
      <c r="AQ889" s="71"/>
      <c r="AR889" s="77"/>
      <c r="AS889" s="70"/>
      <c r="AT889" s="68"/>
      <c r="AU889" s="70"/>
      <c r="AV889" s="70"/>
      <c r="AW889" s="71"/>
      <c r="AX889" s="71"/>
      <c r="AY889" s="70"/>
      <c r="AZ889" s="76"/>
      <c r="BA889" s="76"/>
      <c r="BB889" s="76"/>
      <c r="BC889" s="78"/>
    </row>
    <row r="890" spans="1:55" x14ac:dyDescent="0.25">
      <c r="A890" s="68"/>
      <c r="B890" s="68"/>
      <c r="C890" s="68"/>
      <c r="D890" s="70"/>
      <c r="E890" s="70"/>
      <c r="F890" s="70"/>
      <c r="G890" s="72"/>
      <c r="H890" s="74"/>
      <c r="I890" s="74"/>
      <c r="J890" s="75"/>
      <c r="K890" s="81"/>
      <c r="L890" s="76"/>
      <c r="M890" s="76"/>
      <c r="N890" s="76"/>
      <c r="O890" s="71"/>
      <c r="P890" s="70"/>
      <c r="Q890" s="71"/>
      <c r="R890" s="71"/>
      <c r="S890" s="70"/>
      <c r="T890" s="71"/>
      <c r="U890" s="71"/>
      <c r="V890" s="75"/>
      <c r="W890" s="69"/>
      <c r="X890" s="69"/>
      <c r="Y890" s="69"/>
      <c r="Z890" s="69"/>
      <c r="AA890" s="69"/>
      <c r="AB890" s="69"/>
      <c r="AC890" s="69"/>
      <c r="AD890" s="69"/>
      <c r="AE890" s="76"/>
      <c r="AF890" s="71"/>
      <c r="AG890" s="71"/>
      <c r="AH890" s="71"/>
      <c r="AI890" s="71"/>
      <c r="AJ890" s="71"/>
      <c r="AK890" s="71"/>
      <c r="AL890" s="71"/>
      <c r="AM890" s="71"/>
      <c r="AN890" s="68"/>
      <c r="AO890" s="68"/>
      <c r="AP890" s="70"/>
      <c r="AQ890" s="71"/>
      <c r="AR890" s="77"/>
      <c r="AS890" s="70"/>
      <c r="AT890" s="68"/>
      <c r="AU890" s="70"/>
      <c r="AV890" s="70"/>
      <c r="AW890" s="71"/>
      <c r="AX890" s="71"/>
      <c r="AY890" s="70"/>
      <c r="AZ890" s="76"/>
      <c r="BA890" s="76"/>
      <c r="BB890" s="76"/>
      <c r="BC890" s="78"/>
    </row>
    <row r="891" spans="1:55" x14ac:dyDescent="0.25">
      <c r="A891" s="68"/>
      <c r="B891" s="68"/>
      <c r="C891" s="68"/>
      <c r="D891" s="70"/>
      <c r="E891" s="70"/>
      <c r="F891" s="70"/>
      <c r="G891" s="72"/>
      <c r="H891" s="74"/>
      <c r="I891" s="74"/>
      <c r="J891" s="75"/>
      <c r="K891" s="81"/>
      <c r="L891" s="76"/>
      <c r="M891" s="76"/>
      <c r="N891" s="76"/>
      <c r="O891" s="71"/>
      <c r="P891" s="70"/>
      <c r="Q891" s="71"/>
      <c r="R891" s="71"/>
      <c r="S891" s="70"/>
      <c r="T891" s="71"/>
      <c r="U891" s="71"/>
      <c r="V891" s="75"/>
      <c r="W891" s="69"/>
      <c r="X891" s="69"/>
      <c r="Y891" s="69"/>
      <c r="Z891" s="69"/>
      <c r="AA891" s="69"/>
      <c r="AB891" s="69"/>
      <c r="AC891" s="69"/>
      <c r="AD891" s="69"/>
      <c r="AE891" s="76"/>
      <c r="AF891" s="71"/>
      <c r="AG891" s="71"/>
      <c r="AH891" s="71"/>
      <c r="AI891" s="71"/>
      <c r="AJ891" s="71"/>
      <c r="AK891" s="71"/>
      <c r="AL891" s="71"/>
      <c r="AM891" s="71"/>
      <c r="AN891" s="68"/>
      <c r="AO891" s="68"/>
      <c r="AP891" s="70"/>
      <c r="AQ891" s="71"/>
      <c r="AR891" s="77"/>
      <c r="AS891" s="70"/>
      <c r="AT891" s="68"/>
      <c r="AU891" s="70"/>
      <c r="AV891" s="70"/>
      <c r="AW891" s="71"/>
      <c r="AX891" s="71"/>
      <c r="AY891" s="70"/>
      <c r="AZ891" s="76"/>
      <c r="BA891" s="76"/>
      <c r="BB891" s="76"/>
      <c r="BC891" s="78"/>
    </row>
    <row r="892" spans="1:55" x14ac:dyDescent="0.25">
      <c r="A892" s="68"/>
      <c r="B892" s="68"/>
      <c r="C892" s="68"/>
      <c r="D892" s="70"/>
      <c r="E892" s="70"/>
      <c r="F892" s="70"/>
      <c r="G892" s="72"/>
      <c r="H892" s="74"/>
      <c r="I892" s="74"/>
      <c r="J892" s="75"/>
      <c r="K892" s="81"/>
      <c r="L892" s="76"/>
      <c r="M892" s="76"/>
      <c r="N892" s="76"/>
      <c r="O892" s="71"/>
      <c r="P892" s="70"/>
      <c r="Q892" s="71"/>
      <c r="R892" s="71"/>
      <c r="S892" s="70"/>
      <c r="T892" s="71"/>
      <c r="U892" s="71"/>
      <c r="V892" s="75"/>
      <c r="W892" s="69"/>
      <c r="X892" s="69"/>
      <c r="Y892" s="69"/>
      <c r="Z892" s="69"/>
      <c r="AA892" s="69"/>
      <c r="AB892" s="69"/>
      <c r="AC892" s="69"/>
      <c r="AD892" s="69"/>
      <c r="AE892" s="76"/>
      <c r="AF892" s="71"/>
      <c r="AG892" s="71"/>
      <c r="AH892" s="71"/>
      <c r="AI892" s="71"/>
      <c r="AJ892" s="71"/>
      <c r="AK892" s="71"/>
      <c r="AL892" s="71"/>
      <c r="AM892" s="71"/>
      <c r="AN892" s="68"/>
      <c r="AO892" s="68"/>
      <c r="AP892" s="70"/>
      <c r="AQ892" s="71"/>
      <c r="AR892" s="77"/>
      <c r="AS892" s="70"/>
      <c r="AT892" s="68"/>
      <c r="AU892" s="70"/>
      <c r="AV892" s="70"/>
      <c r="AW892" s="71"/>
      <c r="AX892" s="71"/>
      <c r="AY892" s="70"/>
      <c r="AZ892" s="76"/>
      <c r="BA892" s="76"/>
      <c r="BB892" s="76"/>
      <c r="BC892" s="78"/>
    </row>
    <row r="893" spans="1:55" x14ac:dyDescent="0.25">
      <c r="A893" s="68"/>
      <c r="B893" s="68"/>
      <c r="C893" s="68"/>
      <c r="D893" s="70"/>
      <c r="E893" s="70"/>
      <c r="F893" s="70"/>
      <c r="G893" s="72"/>
      <c r="H893" s="74"/>
      <c r="I893" s="74"/>
      <c r="J893" s="75"/>
      <c r="K893" s="81"/>
      <c r="L893" s="76"/>
      <c r="M893" s="76"/>
      <c r="N893" s="76"/>
      <c r="O893" s="71"/>
      <c r="P893" s="70"/>
      <c r="Q893" s="71"/>
      <c r="R893" s="71"/>
      <c r="S893" s="70"/>
      <c r="T893" s="71"/>
      <c r="U893" s="71"/>
      <c r="V893" s="75"/>
      <c r="W893" s="69"/>
      <c r="X893" s="69"/>
      <c r="Y893" s="69"/>
      <c r="Z893" s="69"/>
      <c r="AA893" s="69"/>
      <c r="AB893" s="69"/>
      <c r="AC893" s="69"/>
      <c r="AD893" s="69"/>
      <c r="AE893" s="76"/>
      <c r="AF893" s="71"/>
      <c r="AG893" s="71"/>
      <c r="AH893" s="71"/>
      <c r="AI893" s="71"/>
      <c r="AJ893" s="71"/>
      <c r="AK893" s="71"/>
      <c r="AL893" s="71"/>
      <c r="AM893" s="71"/>
      <c r="AN893" s="68"/>
      <c r="AO893" s="68"/>
      <c r="AP893" s="70"/>
      <c r="AQ893" s="71"/>
      <c r="AR893" s="77"/>
      <c r="AS893" s="70"/>
      <c r="AT893" s="68"/>
      <c r="AU893" s="70"/>
      <c r="AV893" s="70"/>
      <c r="AW893" s="71"/>
      <c r="AX893" s="71"/>
      <c r="AY893" s="70"/>
      <c r="AZ893" s="76"/>
      <c r="BA893" s="76"/>
      <c r="BB893" s="76"/>
      <c r="BC893" s="78"/>
    </row>
    <row r="894" spans="1:55" x14ac:dyDescent="0.25">
      <c r="A894" s="68"/>
      <c r="B894" s="68"/>
      <c r="C894" s="68"/>
      <c r="D894" s="70"/>
      <c r="E894" s="70"/>
      <c r="F894" s="70"/>
      <c r="G894" s="72"/>
      <c r="H894" s="74"/>
      <c r="I894" s="74"/>
      <c r="J894" s="75"/>
      <c r="K894" s="81"/>
      <c r="L894" s="76"/>
      <c r="M894" s="76"/>
      <c r="N894" s="76"/>
      <c r="O894" s="71"/>
      <c r="P894" s="70"/>
      <c r="Q894" s="71"/>
      <c r="R894" s="71"/>
      <c r="S894" s="70"/>
      <c r="T894" s="71"/>
      <c r="U894" s="71"/>
      <c r="V894" s="75"/>
      <c r="W894" s="69"/>
      <c r="X894" s="69"/>
      <c r="Y894" s="69"/>
      <c r="Z894" s="69"/>
      <c r="AA894" s="69"/>
      <c r="AB894" s="69"/>
      <c r="AC894" s="69"/>
      <c r="AD894" s="69"/>
      <c r="AE894" s="76"/>
      <c r="AF894" s="71"/>
      <c r="AG894" s="71"/>
      <c r="AH894" s="71"/>
      <c r="AI894" s="71"/>
      <c r="AJ894" s="71"/>
      <c r="AK894" s="71"/>
      <c r="AL894" s="71"/>
      <c r="AM894" s="71"/>
      <c r="AN894" s="68"/>
      <c r="AO894" s="68"/>
      <c r="AP894" s="70"/>
      <c r="AQ894" s="71"/>
      <c r="AR894" s="77"/>
      <c r="AS894" s="70"/>
      <c r="AT894" s="68"/>
      <c r="AU894" s="70"/>
      <c r="AV894" s="70"/>
      <c r="AW894" s="71"/>
      <c r="AX894" s="71"/>
      <c r="AY894" s="70"/>
      <c r="AZ894" s="76"/>
      <c r="BA894" s="76"/>
      <c r="BB894" s="76"/>
      <c r="BC894" s="78"/>
    </row>
    <row r="895" spans="1:55" x14ac:dyDescent="0.25">
      <c r="A895" s="68"/>
      <c r="B895" s="68"/>
      <c r="C895" s="68"/>
      <c r="D895" s="70"/>
      <c r="E895" s="70"/>
      <c r="F895" s="70"/>
      <c r="G895" s="72"/>
      <c r="H895" s="74"/>
      <c r="I895" s="74"/>
      <c r="J895" s="75"/>
      <c r="K895" s="81"/>
      <c r="L895" s="76"/>
      <c r="M895" s="76"/>
      <c r="N895" s="76"/>
      <c r="O895" s="71"/>
      <c r="P895" s="70"/>
      <c r="Q895" s="71"/>
      <c r="R895" s="71"/>
      <c r="S895" s="70"/>
      <c r="T895" s="71"/>
      <c r="U895" s="71"/>
      <c r="V895" s="75"/>
      <c r="W895" s="69"/>
      <c r="X895" s="69"/>
      <c r="Y895" s="69"/>
      <c r="Z895" s="69"/>
      <c r="AA895" s="69"/>
      <c r="AB895" s="69"/>
      <c r="AC895" s="69"/>
      <c r="AD895" s="69"/>
      <c r="AE895" s="76"/>
      <c r="AF895" s="71"/>
      <c r="AG895" s="71"/>
      <c r="AH895" s="71"/>
      <c r="AI895" s="71"/>
      <c r="AJ895" s="71"/>
      <c r="AK895" s="71"/>
      <c r="AL895" s="71"/>
      <c r="AM895" s="71"/>
      <c r="AN895" s="68"/>
      <c r="AO895" s="68"/>
      <c r="AP895" s="70"/>
      <c r="AQ895" s="71"/>
      <c r="AR895" s="77"/>
      <c r="AS895" s="70"/>
      <c r="AT895" s="68"/>
      <c r="AU895" s="70"/>
      <c r="AV895" s="70"/>
      <c r="AW895" s="71"/>
      <c r="AX895" s="71"/>
      <c r="AY895" s="70"/>
      <c r="AZ895" s="76"/>
      <c r="BA895" s="76"/>
      <c r="BB895" s="76"/>
      <c r="BC895" s="78"/>
    </row>
    <row r="896" spans="1:55" x14ac:dyDescent="0.25">
      <c r="A896" s="68"/>
      <c r="B896" s="68"/>
      <c r="C896" s="68"/>
      <c r="D896" s="70"/>
      <c r="E896" s="70"/>
      <c r="F896" s="70"/>
      <c r="G896" s="72"/>
      <c r="H896" s="74"/>
      <c r="I896" s="74"/>
      <c r="J896" s="75"/>
      <c r="K896" s="81"/>
      <c r="L896" s="76"/>
      <c r="M896" s="76"/>
      <c r="N896" s="76"/>
      <c r="O896" s="71"/>
      <c r="P896" s="70"/>
      <c r="Q896" s="71"/>
      <c r="R896" s="71"/>
      <c r="S896" s="70"/>
      <c r="T896" s="71"/>
      <c r="U896" s="71"/>
      <c r="V896" s="75"/>
      <c r="W896" s="69"/>
      <c r="X896" s="69"/>
      <c r="Y896" s="69"/>
      <c r="Z896" s="69"/>
      <c r="AA896" s="69"/>
      <c r="AB896" s="69"/>
      <c r="AC896" s="69"/>
      <c r="AD896" s="69"/>
      <c r="AE896" s="76"/>
      <c r="AF896" s="71"/>
      <c r="AG896" s="71"/>
      <c r="AH896" s="71"/>
      <c r="AI896" s="71"/>
      <c r="AJ896" s="71"/>
      <c r="AK896" s="71"/>
      <c r="AL896" s="71"/>
      <c r="AM896" s="71"/>
      <c r="AN896" s="68"/>
      <c r="AO896" s="68"/>
      <c r="AP896" s="70"/>
      <c r="AQ896" s="71"/>
      <c r="AR896" s="77"/>
      <c r="AS896" s="70"/>
      <c r="AT896" s="68"/>
      <c r="AU896" s="70"/>
      <c r="AV896" s="70"/>
      <c r="AW896" s="71"/>
      <c r="AX896" s="71"/>
      <c r="AY896" s="70"/>
      <c r="AZ896" s="76"/>
      <c r="BA896" s="76"/>
      <c r="BB896" s="76"/>
      <c r="BC896" s="78"/>
    </row>
    <row r="897" spans="1:55" x14ac:dyDescent="0.25">
      <c r="A897" s="68"/>
      <c r="B897" s="68"/>
      <c r="C897" s="68"/>
      <c r="D897" s="70"/>
      <c r="E897" s="70"/>
      <c r="F897" s="70"/>
      <c r="G897" s="72"/>
      <c r="H897" s="74"/>
      <c r="I897" s="74"/>
      <c r="J897" s="75"/>
      <c r="K897" s="81"/>
      <c r="L897" s="76"/>
      <c r="M897" s="76"/>
      <c r="N897" s="76"/>
      <c r="O897" s="71"/>
      <c r="P897" s="70"/>
      <c r="Q897" s="71"/>
      <c r="R897" s="71"/>
      <c r="S897" s="70"/>
      <c r="T897" s="71"/>
      <c r="U897" s="71"/>
      <c r="V897" s="75"/>
      <c r="W897" s="69"/>
      <c r="X897" s="69"/>
      <c r="Y897" s="69"/>
      <c r="Z897" s="69"/>
      <c r="AA897" s="69"/>
      <c r="AB897" s="69"/>
      <c r="AC897" s="69"/>
      <c r="AD897" s="69"/>
      <c r="AE897" s="76"/>
      <c r="AF897" s="71"/>
      <c r="AG897" s="71"/>
      <c r="AH897" s="71"/>
      <c r="AI897" s="71"/>
      <c r="AJ897" s="71"/>
      <c r="AK897" s="71"/>
      <c r="AL897" s="71"/>
      <c r="AM897" s="71"/>
      <c r="AN897" s="68"/>
      <c r="AO897" s="68"/>
      <c r="AP897" s="70"/>
      <c r="AQ897" s="71"/>
      <c r="AR897" s="77"/>
      <c r="AS897" s="70"/>
      <c r="AT897" s="68"/>
      <c r="AU897" s="70"/>
      <c r="AV897" s="70"/>
      <c r="AW897" s="71"/>
      <c r="AX897" s="71"/>
      <c r="AY897" s="70"/>
      <c r="AZ897" s="76"/>
      <c r="BA897" s="76"/>
      <c r="BB897" s="76"/>
      <c r="BC897" s="78"/>
    </row>
    <row r="898" spans="1:55" x14ac:dyDescent="0.25">
      <c r="A898" s="68"/>
      <c r="B898" s="68"/>
      <c r="C898" s="68"/>
      <c r="D898" s="70"/>
      <c r="E898" s="70"/>
      <c r="F898" s="70"/>
      <c r="G898" s="72"/>
      <c r="H898" s="74"/>
      <c r="I898" s="74"/>
      <c r="J898" s="75"/>
      <c r="K898" s="81"/>
      <c r="L898" s="76"/>
      <c r="M898" s="76"/>
      <c r="N898" s="76"/>
      <c r="O898" s="71"/>
      <c r="P898" s="70"/>
      <c r="Q898" s="71"/>
      <c r="R898" s="71"/>
      <c r="S898" s="70"/>
      <c r="T898" s="71"/>
      <c r="U898" s="71"/>
      <c r="V898" s="75"/>
      <c r="W898" s="69"/>
      <c r="X898" s="69"/>
      <c r="Y898" s="69"/>
      <c r="Z898" s="69"/>
      <c r="AA898" s="69"/>
      <c r="AB898" s="69"/>
      <c r="AC898" s="69"/>
      <c r="AD898" s="69"/>
      <c r="AE898" s="76"/>
      <c r="AF898" s="71"/>
      <c r="AG898" s="71"/>
      <c r="AH898" s="71"/>
      <c r="AI898" s="71"/>
      <c r="AJ898" s="71"/>
      <c r="AK898" s="71"/>
      <c r="AL898" s="71"/>
      <c r="AM898" s="71"/>
      <c r="AN898" s="68"/>
      <c r="AO898" s="68"/>
      <c r="AP898" s="70"/>
      <c r="AQ898" s="71"/>
      <c r="AR898" s="77"/>
      <c r="AS898" s="70"/>
      <c r="AT898" s="68"/>
      <c r="AU898" s="70"/>
      <c r="AV898" s="70"/>
      <c r="AW898" s="71"/>
      <c r="AX898" s="71"/>
      <c r="AY898" s="70"/>
      <c r="AZ898" s="76"/>
      <c r="BA898" s="76"/>
      <c r="BB898" s="76"/>
      <c r="BC898" s="78"/>
    </row>
    <row r="899" spans="1:55" x14ac:dyDescent="0.25">
      <c r="A899" s="68"/>
      <c r="B899" s="68"/>
      <c r="C899" s="68"/>
      <c r="D899" s="70"/>
      <c r="E899" s="70"/>
      <c r="F899" s="70"/>
      <c r="G899" s="72"/>
      <c r="H899" s="74"/>
      <c r="I899" s="74"/>
      <c r="J899" s="75"/>
      <c r="K899" s="81"/>
      <c r="L899" s="76"/>
      <c r="M899" s="76"/>
      <c r="N899" s="76"/>
      <c r="O899" s="71"/>
      <c r="P899" s="70"/>
      <c r="Q899" s="71"/>
      <c r="R899" s="71"/>
      <c r="S899" s="70"/>
      <c r="T899" s="71"/>
      <c r="U899" s="71"/>
      <c r="V899" s="75"/>
      <c r="W899" s="69"/>
      <c r="X899" s="69"/>
      <c r="Y899" s="69"/>
      <c r="Z899" s="69"/>
      <c r="AA899" s="69"/>
      <c r="AB899" s="69"/>
      <c r="AC899" s="69"/>
      <c r="AD899" s="69"/>
      <c r="AE899" s="76"/>
      <c r="AF899" s="71"/>
      <c r="AG899" s="71"/>
      <c r="AH899" s="71"/>
      <c r="AI899" s="71"/>
      <c r="AJ899" s="71"/>
      <c r="AK899" s="71"/>
      <c r="AL899" s="71"/>
      <c r="AM899" s="71"/>
      <c r="AN899" s="68"/>
      <c r="AO899" s="68"/>
      <c r="AP899" s="70"/>
      <c r="AQ899" s="71"/>
      <c r="AR899" s="77"/>
      <c r="AS899" s="70"/>
      <c r="AT899" s="68"/>
      <c r="AU899" s="70"/>
      <c r="AV899" s="70"/>
      <c r="AW899" s="71"/>
      <c r="AX899" s="71"/>
      <c r="AY899" s="70"/>
      <c r="AZ899" s="76"/>
      <c r="BA899" s="76"/>
      <c r="BB899" s="76"/>
      <c r="BC899" s="78"/>
    </row>
    <row r="900" spans="1:55" x14ac:dyDescent="0.25">
      <c r="A900" s="68"/>
      <c r="B900" s="68"/>
      <c r="C900" s="68"/>
      <c r="D900" s="70"/>
      <c r="E900" s="70"/>
      <c r="F900" s="70"/>
      <c r="G900" s="72"/>
      <c r="H900" s="74"/>
      <c r="I900" s="74"/>
      <c r="J900" s="75"/>
      <c r="K900" s="81"/>
      <c r="L900" s="76"/>
      <c r="M900" s="76"/>
      <c r="N900" s="76"/>
      <c r="O900" s="71"/>
      <c r="P900" s="70"/>
      <c r="Q900" s="71"/>
      <c r="R900" s="71"/>
      <c r="S900" s="70"/>
      <c r="T900" s="71"/>
      <c r="U900" s="71"/>
      <c r="V900" s="75"/>
      <c r="W900" s="69"/>
      <c r="X900" s="69"/>
      <c r="Y900" s="69"/>
      <c r="Z900" s="69"/>
      <c r="AA900" s="69"/>
      <c r="AB900" s="69"/>
      <c r="AC900" s="69"/>
      <c r="AD900" s="69"/>
      <c r="AE900" s="76"/>
      <c r="AF900" s="71"/>
      <c r="AG900" s="71"/>
      <c r="AH900" s="71"/>
      <c r="AI900" s="71"/>
      <c r="AJ900" s="71"/>
      <c r="AK900" s="71"/>
      <c r="AL900" s="71"/>
      <c r="AM900" s="71"/>
      <c r="AN900" s="68"/>
      <c r="AO900" s="68"/>
      <c r="AP900" s="70"/>
      <c r="AQ900" s="71"/>
      <c r="AR900" s="77"/>
      <c r="AS900" s="70"/>
      <c r="AT900" s="68"/>
      <c r="AU900" s="70"/>
      <c r="AV900" s="70"/>
      <c r="AW900" s="71"/>
      <c r="AX900" s="71"/>
      <c r="AY900" s="70"/>
      <c r="AZ900" s="76"/>
      <c r="BA900" s="76"/>
      <c r="BB900" s="76"/>
      <c r="BC900" s="78"/>
    </row>
    <row r="901" spans="1:55" x14ac:dyDescent="0.25">
      <c r="A901" s="68"/>
      <c r="B901" s="68"/>
      <c r="C901" s="68"/>
      <c r="D901" s="70"/>
      <c r="E901" s="70"/>
      <c r="F901" s="70"/>
      <c r="G901" s="72"/>
      <c r="H901" s="74"/>
      <c r="I901" s="74"/>
      <c r="J901" s="75"/>
      <c r="K901" s="81"/>
      <c r="L901" s="76"/>
      <c r="M901" s="76"/>
      <c r="N901" s="76"/>
      <c r="O901" s="71"/>
      <c r="P901" s="70"/>
      <c r="Q901" s="71"/>
      <c r="R901" s="71"/>
      <c r="S901" s="70"/>
      <c r="T901" s="71"/>
      <c r="U901" s="71"/>
      <c r="V901" s="75"/>
      <c r="W901" s="69"/>
      <c r="X901" s="69"/>
      <c r="Y901" s="69"/>
      <c r="Z901" s="69"/>
      <c r="AA901" s="69"/>
      <c r="AB901" s="69"/>
      <c r="AC901" s="69"/>
      <c r="AD901" s="69"/>
      <c r="AE901" s="76"/>
      <c r="AF901" s="71"/>
      <c r="AG901" s="71"/>
      <c r="AH901" s="71"/>
      <c r="AI901" s="71"/>
      <c r="AJ901" s="71"/>
      <c r="AK901" s="71"/>
      <c r="AL901" s="71"/>
      <c r="AM901" s="71"/>
      <c r="AN901" s="68"/>
      <c r="AO901" s="68"/>
      <c r="AP901" s="70"/>
      <c r="AQ901" s="71"/>
      <c r="AR901" s="77"/>
      <c r="AS901" s="70"/>
      <c r="AT901" s="68"/>
      <c r="AU901" s="70"/>
      <c r="AV901" s="70"/>
      <c r="AW901" s="71"/>
      <c r="AX901" s="71"/>
      <c r="AY901" s="70"/>
      <c r="AZ901" s="76"/>
      <c r="BA901" s="76"/>
      <c r="BB901" s="76"/>
      <c r="BC901" s="78"/>
    </row>
    <row r="902" spans="1:55" x14ac:dyDescent="0.25">
      <c r="A902" s="68"/>
      <c r="B902" s="68"/>
      <c r="C902" s="68"/>
      <c r="D902" s="70"/>
      <c r="E902" s="70"/>
      <c r="F902" s="70"/>
      <c r="G902" s="72"/>
      <c r="H902" s="74"/>
      <c r="I902" s="74"/>
      <c r="J902" s="75"/>
      <c r="K902" s="81"/>
      <c r="L902" s="76"/>
      <c r="M902" s="76"/>
      <c r="N902" s="76"/>
      <c r="O902" s="71"/>
      <c r="P902" s="70"/>
      <c r="Q902" s="71"/>
      <c r="R902" s="71"/>
      <c r="S902" s="70"/>
      <c r="T902" s="71"/>
      <c r="U902" s="71"/>
      <c r="V902" s="75"/>
      <c r="W902" s="69"/>
      <c r="X902" s="69"/>
      <c r="Y902" s="69"/>
      <c r="Z902" s="69"/>
      <c r="AA902" s="69"/>
      <c r="AB902" s="69"/>
      <c r="AC902" s="69"/>
      <c r="AD902" s="69"/>
      <c r="AE902" s="76"/>
      <c r="AF902" s="71"/>
      <c r="AG902" s="71"/>
      <c r="AH902" s="71"/>
      <c r="AI902" s="71"/>
      <c r="AJ902" s="71"/>
      <c r="AK902" s="71"/>
      <c r="AL902" s="71"/>
      <c r="AM902" s="71"/>
      <c r="AN902" s="68"/>
      <c r="AO902" s="68"/>
      <c r="AP902" s="70"/>
      <c r="AQ902" s="71"/>
      <c r="AR902" s="77"/>
      <c r="AS902" s="70"/>
      <c r="AT902" s="68"/>
      <c r="AU902" s="70"/>
      <c r="AV902" s="70"/>
      <c r="AW902" s="71"/>
      <c r="AX902" s="71"/>
      <c r="AY902" s="70"/>
      <c r="AZ902" s="76"/>
      <c r="BA902" s="76"/>
      <c r="BB902" s="76"/>
      <c r="BC902" s="78"/>
    </row>
    <row r="903" spans="1:55" x14ac:dyDescent="0.25">
      <c r="A903" s="68"/>
      <c r="B903" s="68"/>
      <c r="C903" s="68"/>
      <c r="D903" s="70"/>
      <c r="E903" s="70"/>
      <c r="F903" s="70"/>
      <c r="G903" s="72"/>
      <c r="H903" s="74"/>
      <c r="I903" s="74"/>
      <c r="J903" s="75"/>
      <c r="K903" s="81"/>
      <c r="L903" s="76"/>
      <c r="M903" s="76"/>
      <c r="N903" s="76"/>
      <c r="O903" s="71"/>
      <c r="P903" s="70"/>
      <c r="Q903" s="71"/>
      <c r="R903" s="71"/>
      <c r="S903" s="70"/>
      <c r="T903" s="71"/>
      <c r="U903" s="71"/>
      <c r="V903" s="75"/>
      <c r="W903" s="69"/>
      <c r="X903" s="69"/>
      <c r="Y903" s="69"/>
      <c r="Z903" s="69"/>
      <c r="AA903" s="69"/>
      <c r="AB903" s="69"/>
      <c r="AC903" s="69"/>
      <c r="AD903" s="69"/>
      <c r="AE903" s="76"/>
      <c r="AF903" s="71"/>
      <c r="AG903" s="71"/>
      <c r="AH903" s="71"/>
      <c r="AI903" s="71"/>
      <c r="AJ903" s="71"/>
      <c r="AK903" s="71"/>
      <c r="AL903" s="71"/>
      <c r="AM903" s="71"/>
      <c r="AN903" s="68"/>
      <c r="AO903" s="68"/>
      <c r="AP903" s="70"/>
      <c r="AQ903" s="71"/>
      <c r="AR903" s="77"/>
      <c r="AS903" s="70"/>
      <c r="AT903" s="68"/>
      <c r="AU903" s="70"/>
      <c r="AV903" s="70"/>
      <c r="AW903" s="71"/>
      <c r="AX903" s="71"/>
      <c r="AY903" s="70"/>
      <c r="AZ903" s="76"/>
      <c r="BA903" s="76"/>
      <c r="BB903" s="76"/>
      <c r="BC903" s="78"/>
    </row>
    <row r="904" spans="1:55" x14ac:dyDescent="0.25">
      <c r="A904" s="68"/>
      <c r="B904" s="68"/>
      <c r="C904" s="68"/>
      <c r="D904" s="70"/>
      <c r="E904" s="70"/>
      <c r="F904" s="70"/>
      <c r="G904" s="72"/>
      <c r="H904" s="74"/>
      <c r="I904" s="74"/>
      <c r="J904" s="75"/>
      <c r="K904" s="81"/>
      <c r="L904" s="76"/>
      <c r="M904" s="76"/>
      <c r="N904" s="76"/>
      <c r="O904" s="71"/>
      <c r="P904" s="70"/>
      <c r="Q904" s="71"/>
      <c r="R904" s="71"/>
      <c r="S904" s="70"/>
      <c r="T904" s="71"/>
      <c r="U904" s="71"/>
      <c r="V904" s="75"/>
      <c r="W904" s="69"/>
      <c r="X904" s="69"/>
      <c r="Y904" s="69"/>
      <c r="Z904" s="69"/>
      <c r="AA904" s="69"/>
      <c r="AB904" s="69"/>
      <c r="AC904" s="69"/>
      <c r="AD904" s="69"/>
      <c r="AE904" s="76"/>
      <c r="AF904" s="71"/>
      <c r="AG904" s="71"/>
      <c r="AH904" s="71"/>
      <c r="AI904" s="71"/>
      <c r="AJ904" s="71"/>
      <c r="AK904" s="71"/>
      <c r="AL904" s="71"/>
      <c r="AM904" s="71"/>
      <c r="AN904" s="68"/>
      <c r="AO904" s="68"/>
      <c r="AP904" s="70"/>
      <c r="AQ904" s="71"/>
      <c r="AR904" s="77"/>
      <c r="AS904" s="70"/>
      <c r="AT904" s="68"/>
      <c r="AU904" s="70"/>
      <c r="AV904" s="70"/>
      <c r="AW904" s="71"/>
      <c r="AX904" s="71"/>
      <c r="AY904" s="70"/>
      <c r="AZ904" s="76"/>
      <c r="BA904" s="76"/>
      <c r="BB904" s="76"/>
      <c r="BC904" s="78"/>
    </row>
    <row r="905" spans="1:55" x14ac:dyDescent="0.25">
      <c r="A905" s="68"/>
      <c r="B905" s="68"/>
      <c r="C905" s="68"/>
      <c r="D905" s="70"/>
      <c r="E905" s="70"/>
      <c r="F905" s="70"/>
      <c r="G905" s="72"/>
      <c r="H905" s="74"/>
      <c r="I905" s="74"/>
      <c r="J905" s="75"/>
      <c r="K905" s="81"/>
      <c r="L905" s="76"/>
      <c r="M905" s="76"/>
      <c r="N905" s="76"/>
      <c r="O905" s="71"/>
      <c r="P905" s="70"/>
      <c r="Q905" s="71"/>
      <c r="R905" s="71"/>
      <c r="S905" s="70"/>
      <c r="T905" s="71"/>
      <c r="U905" s="71"/>
      <c r="V905" s="75"/>
      <c r="W905" s="69"/>
      <c r="X905" s="69"/>
      <c r="Y905" s="69"/>
      <c r="Z905" s="69"/>
      <c r="AA905" s="69"/>
      <c r="AB905" s="69"/>
      <c r="AC905" s="69"/>
      <c r="AD905" s="69"/>
      <c r="AE905" s="76"/>
      <c r="AF905" s="71"/>
      <c r="AG905" s="71"/>
      <c r="AH905" s="71"/>
      <c r="AI905" s="71"/>
      <c r="AJ905" s="71"/>
      <c r="AK905" s="71"/>
      <c r="AL905" s="71"/>
      <c r="AM905" s="71"/>
      <c r="AN905" s="68"/>
      <c r="AO905" s="68"/>
      <c r="AP905" s="70"/>
      <c r="AQ905" s="71"/>
      <c r="AR905" s="77"/>
      <c r="AS905" s="70"/>
      <c r="AT905" s="68"/>
      <c r="AU905" s="70"/>
      <c r="AV905" s="70"/>
      <c r="AW905" s="71"/>
      <c r="AX905" s="71"/>
      <c r="AY905" s="70"/>
      <c r="AZ905" s="76"/>
      <c r="BA905" s="76"/>
      <c r="BB905" s="76"/>
      <c r="BC905" s="78"/>
    </row>
    <row r="906" spans="1:55" x14ac:dyDescent="0.25">
      <c r="A906" s="68"/>
      <c r="B906" s="68"/>
      <c r="C906" s="68"/>
      <c r="D906" s="70"/>
      <c r="E906" s="70"/>
      <c r="F906" s="70"/>
      <c r="G906" s="72"/>
      <c r="H906" s="74"/>
      <c r="I906" s="74"/>
      <c r="J906" s="75"/>
      <c r="K906" s="81"/>
      <c r="L906" s="76"/>
      <c r="M906" s="76"/>
      <c r="N906" s="76"/>
      <c r="O906" s="71"/>
      <c r="P906" s="70"/>
      <c r="Q906" s="71"/>
      <c r="R906" s="71"/>
      <c r="S906" s="70"/>
      <c r="T906" s="71"/>
      <c r="U906" s="71"/>
      <c r="V906" s="75"/>
      <c r="W906" s="69"/>
      <c r="X906" s="69"/>
      <c r="Y906" s="69"/>
      <c r="Z906" s="69"/>
      <c r="AA906" s="69"/>
      <c r="AB906" s="69"/>
      <c r="AC906" s="69"/>
      <c r="AD906" s="69"/>
      <c r="AE906" s="76"/>
      <c r="AF906" s="71"/>
      <c r="AG906" s="71"/>
      <c r="AH906" s="71"/>
      <c r="AI906" s="71"/>
      <c r="AJ906" s="71"/>
      <c r="AK906" s="71"/>
      <c r="AL906" s="71"/>
      <c r="AM906" s="71"/>
      <c r="AN906" s="68"/>
      <c r="AO906" s="68"/>
      <c r="AP906" s="70"/>
      <c r="AQ906" s="71"/>
      <c r="AR906" s="77"/>
      <c r="AS906" s="70"/>
      <c r="AT906" s="68"/>
      <c r="AU906" s="70"/>
      <c r="AV906" s="70"/>
      <c r="AW906" s="71"/>
      <c r="AX906" s="71"/>
      <c r="AY906" s="70"/>
      <c r="AZ906" s="76"/>
      <c r="BA906" s="76"/>
      <c r="BB906" s="76"/>
      <c r="BC906" s="78"/>
    </row>
    <row r="907" spans="1:55" x14ac:dyDescent="0.25">
      <c r="A907" s="68"/>
      <c r="B907" s="68"/>
      <c r="C907" s="68"/>
      <c r="D907" s="70"/>
      <c r="E907" s="70"/>
      <c r="F907" s="70"/>
      <c r="G907" s="72"/>
      <c r="H907" s="74"/>
      <c r="I907" s="74"/>
      <c r="J907" s="75"/>
      <c r="K907" s="81"/>
      <c r="L907" s="76"/>
      <c r="M907" s="76"/>
      <c r="N907" s="76"/>
      <c r="O907" s="71"/>
      <c r="P907" s="70"/>
      <c r="Q907" s="71"/>
      <c r="R907" s="71"/>
      <c r="S907" s="70"/>
      <c r="T907" s="71"/>
      <c r="U907" s="71"/>
      <c r="V907" s="75"/>
      <c r="W907" s="69"/>
      <c r="X907" s="69"/>
      <c r="Y907" s="69"/>
      <c r="Z907" s="69"/>
      <c r="AA907" s="69"/>
      <c r="AB907" s="69"/>
      <c r="AC907" s="69"/>
      <c r="AD907" s="69"/>
      <c r="AE907" s="76"/>
      <c r="AF907" s="71"/>
      <c r="AG907" s="71"/>
      <c r="AH907" s="71"/>
      <c r="AI907" s="71"/>
      <c r="AJ907" s="71"/>
      <c r="AK907" s="71"/>
      <c r="AL907" s="71"/>
      <c r="AM907" s="71"/>
      <c r="AN907" s="68"/>
      <c r="AO907" s="68"/>
      <c r="AP907" s="70"/>
      <c r="AQ907" s="71"/>
      <c r="AR907" s="77"/>
      <c r="AS907" s="70"/>
      <c r="AT907" s="68"/>
      <c r="AU907" s="70"/>
      <c r="AV907" s="70"/>
      <c r="AW907" s="71"/>
      <c r="AX907" s="71"/>
      <c r="AY907" s="70"/>
      <c r="AZ907" s="76"/>
      <c r="BA907" s="76"/>
      <c r="BB907" s="76"/>
      <c r="BC907" s="78"/>
    </row>
    <row r="908" spans="1:55" x14ac:dyDescent="0.25">
      <c r="A908" s="68"/>
      <c r="B908" s="68"/>
      <c r="C908" s="68"/>
      <c r="D908" s="70"/>
      <c r="E908" s="70"/>
      <c r="F908" s="70"/>
      <c r="G908" s="72"/>
      <c r="H908" s="74"/>
      <c r="I908" s="74"/>
      <c r="J908" s="75"/>
      <c r="K908" s="81"/>
      <c r="L908" s="76"/>
      <c r="M908" s="76"/>
      <c r="N908" s="76"/>
      <c r="O908" s="71"/>
      <c r="P908" s="70"/>
      <c r="Q908" s="71"/>
      <c r="R908" s="71"/>
      <c r="S908" s="70"/>
      <c r="T908" s="71"/>
      <c r="U908" s="71"/>
      <c r="V908" s="75"/>
      <c r="W908" s="69"/>
      <c r="X908" s="69"/>
      <c r="Y908" s="69"/>
      <c r="Z908" s="69"/>
      <c r="AA908" s="69"/>
      <c r="AB908" s="69"/>
      <c r="AC908" s="69"/>
      <c r="AD908" s="69"/>
      <c r="AE908" s="76"/>
      <c r="AF908" s="71"/>
      <c r="AG908" s="71"/>
      <c r="AH908" s="71"/>
      <c r="AI908" s="71"/>
      <c r="AJ908" s="71"/>
      <c r="AK908" s="71"/>
      <c r="AL908" s="71"/>
      <c r="AM908" s="71"/>
      <c r="AN908" s="68"/>
      <c r="AO908" s="68"/>
      <c r="AP908" s="70"/>
      <c r="AQ908" s="71"/>
      <c r="AR908" s="77"/>
      <c r="AS908" s="70"/>
      <c r="AT908" s="68"/>
      <c r="AU908" s="70"/>
      <c r="AV908" s="70"/>
      <c r="AW908" s="71"/>
      <c r="AX908" s="71"/>
      <c r="AY908" s="70"/>
      <c r="AZ908" s="76"/>
      <c r="BA908" s="76"/>
      <c r="BB908" s="76"/>
      <c r="BC908" s="78"/>
    </row>
    <row r="909" spans="1:55" x14ac:dyDescent="0.25">
      <c r="A909" s="68"/>
      <c r="B909" s="68"/>
      <c r="C909" s="68"/>
      <c r="D909" s="70"/>
      <c r="E909" s="70"/>
      <c r="F909" s="70"/>
      <c r="G909" s="72"/>
      <c r="H909" s="74"/>
      <c r="I909" s="74"/>
      <c r="J909" s="75"/>
      <c r="K909" s="81"/>
      <c r="L909" s="76"/>
      <c r="M909" s="76"/>
      <c r="N909" s="76"/>
      <c r="O909" s="71"/>
      <c r="P909" s="70"/>
      <c r="Q909" s="71"/>
      <c r="R909" s="71"/>
      <c r="S909" s="70"/>
      <c r="T909" s="71"/>
      <c r="U909" s="71"/>
      <c r="V909" s="75"/>
      <c r="W909" s="69"/>
      <c r="X909" s="69"/>
      <c r="Y909" s="69"/>
      <c r="Z909" s="69"/>
      <c r="AA909" s="69"/>
      <c r="AB909" s="69"/>
      <c r="AC909" s="69"/>
      <c r="AD909" s="69"/>
      <c r="AE909" s="76"/>
      <c r="AF909" s="71"/>
      <c r="AG909" s="71"/>
      <c r="AH909" s="71"/>
      <c r="AI909" s="71"/>
      <c r="AJ909" s="71"/>
      <c r="AK909" s="71"/>
      <c r="AL909" s="71"/>
      <c r="AM909" s="71"/>
      <c r="AN909" s="68"/>
      <c r="AO909" s="68"/>
      <c r="AP909" s="70"/>
      <c r="AQ909" s="71"/>
      <c r="AR909" s="77"/>
      <c r="AS909" s="70"/>
      <c r="AT909" s="68"/>
      <c r="AU909" s="70"/>
      <c r="AV909" s="70"/>
      <c r="AW909" s="71"/>
      <c r="AX909" s="71"/>
      <c r="AY909" s="70"/>
      <c r="AZ909" s="76"/>
      <c r="BA909" s="76"/>
      <c r="BB909" s="76"/>
      <c r="BC909" s="78"/>
    </row>
    <row r="910" spans="1:55" x14ac:dyDescent="0.25">
      <c r="A910" s="68"/>
      <c r="B910" s="68"/>
      <c r="C910" s="68"/>
      <c r="D910" s="70"/>
      <c r="E910" s="70"/>
      <c r="F910" s="70"/>
      <c r="G910" s="72"/>
      <c r="H910" s="74"/>
      <c r="I910" s="74"/>
      <c r="J910" s="75"/>
      <c r="K910" s="81"/>
      <c r="L910" s="76"/>
      <c r="M910" s="76"/>
      <c r="N910" s="76"/>
      <c r="O910" s="71"/>
      <c r="P910" s="70"/>
      <c r="Q910" s="71"/>
      <c r="R910" s="71"/>
      <c r="S910" s="70"/>
      <c r="T910" s="71"/>
      <c r="U910" s="71"/>
      <c r="V910" s="75"/>
      <c r="W910" s="69"/>
      <c r="X910" s="69"/>
      <c r="Y910" s="69"/>
      <c r="Z910" s="69"/>
      <c r="AA910" s="69"/>
      <c r="AB910" s="69"/>
      <c r="AC910" s="69"/>
      <c r="AD910" s="69"/>
      <c r="AE910" s="76"/>
      <c r="AF910" s="71"/>
      <c r="AG910" s="71"/>
      <c r="AH910" s="71"/>
      <c r="AI910" s="71"/>
      <c r="AJ910" s="71"/>
      <c r="AK910" s="71"/>
      <c r="AL910" s="71"/>
      <c r="AM910" s="71"/>
      <c r="AN910" s="68"/>
      <c r="AO910" s="68"/>
      <c r="AP910" s="70"/>
      <c r="AQ910" s="71"/>
      <c r="AR910" s="77"/>
      <c r="AS910" s="70"/>
      <c r="AT910" s="68"/>
      <c r="AU910" s="70"/>
      <c r="AV910" s="70"/>
      <c r="AW910" s="71"/>
      <c r="AX910" s="71"/>
      <c r="AY910" s="70"/>
      <c r="AZ910" s="76"/>
      <c r="BA910" s="76"/>
      <c r="BB910" s="76"/>
      <c r="BC910" s="78"/>
    </row>
    <row r="911" spans="1:55" x14ac:dyDescent="0.25">
      <c r="A911" s="68"/>
      <c r="B911" s="68"/>
      <c r="C911" s="68"/>
      <c r="D911" s="70"/>
      <c r="E911" s="70"/>
      <c r="F911" s="70"/>
      <c r="G911" s="72"/>
      <c r="H911" s="74"/>
      <c r="I911" s="74"/>
      <c r="J911" s="75"/>
      <c r="K911" s="81"/>
      <c r="L911" s="76"/>
      <c r="M911" s="76"/>
      <c r="N911" s="76"/>
      <c r="O911" s="71"/>
      <c r="P911" s="70"/>
      <c r="Q911" s="71"/>
      <c r="R911" s="71"/>
      <c r="S911" s="70"/>
      <c r="T911" s="71"/>
      <c r="U911" s="71"/>
      <c r="V911" s="75"/>
      <c r="W911" s="69"/>
      <c r="X911" s="69"/>
      <c r="Y911" s="69"/>
      <c r="Z911" s="69"/>
      <c r="AA911" s="69"/>
      <c r="AB911" s="69"/>
      <c r="AC911" s="69"/>
      <c r="AD911" s="69"/>
      <c r="AE911" s="76"/>
      <c r="AF911" s="71"/>
      <c r="AG911" s="71"/>
      <c r="AH911" s="71"/>
      <c r="AI911" s="71"/>
      <c r="AJ911" s="71"/>
      <c r="AK911" s="71"/>
      <c r="AL911" s="71"/>
      <c r="AM911" s="71"/>
      <c r="AN911" s="68"/>
      <c r="AO911" s="68"/>
      <c r="AP911" s="70"/>
      <c r="AQ911" s="71"/>
      <c r="AR911" s="77"/>
      <c r="AS911" s="70"/>
      <c r="AT911" s="68"/>
      <c r="AU911" s="70"/>
      <c r="AV911" s="70"/>
      <c r="AW911" s="71"/>
      <c r="AX911" s="71"/>
      <c r="AY911" s="70"/>
      <c r="AZ911" s="76"/>
      <c r="BA911" s="76"/>
      <c r="BB911" s="76"/>
      <c r="BC911" s="78"/>
    </row>
    <row r="912" spans="1:55" x14ac:dyDescent="0.25">
      <c r="A912" s="68"/>
      <c r="B912" s="68"/>
      <c r="C912" s="68"/>
      <c r="D912" s="70"/>
      <c r="E912" s="70"/>
      <c r="F912" s="70"/>
      <c r="G912" s="72"/>
      <c r="H912" s="74"/>
      <c r="I912" s="74"/>
      <c r="J912" s="75"/>
      <c r="K912" s="81"/>
      <c r="L912" s="76"/>
      <c r="M912" s="76"/>
      <c r="N912" s="76"/>
      <c r="O912" s="71"/>
      <c r="P912" s="70"/>
      <c r="Q912" s="71"/>
      <c r="R912" s="71"/>
      <c r="S912" s="70"/>
      <c r="T912" s="71"/>
      <c r="U912" s="71"/>
      <c r="V912" s="75"/>
      <c r="W912" s="69"/>
      <c r="X912" s="69"/>
      <c r="Y912" s="69"/>
      <c r="Z912" s="69"/>
      <c r="AA912" s="69"/>
      <c r="AB912" s="69"/>
      <c r="AC912" s="69"/>
      <c r="AD912" s="69"/>
      <c r="AE912" s="76"/>
      <c r="AF912" s="71"/>
      <c r="AG912" s="71"/>
      <c r="AH912" s="71"/>
      <c r="AI912" s="71"/>
      <c r="AJ912" s="71"/>
      <c r="AK912" s="71"/>
      <c r="AL912" s="71"/>
      <c r="AM912" s="71"/>
      <c r="AN912" s="68"/>
      <c r="AO912" s="68"/>
      <c r="AP912" s="70"/>
      <c r="AQ912" s="71"/>
      <c r="AR912" s="77"/>
      <c r="AS912" s="70"/>
      <c r="AT912" s="68"/>
      <c r="AU912" s="70"/>
      <c r="AV912" s="70"/>
      <c r="AW912" s="71"/>
      <c r="AX912" s="71"/>
      <c r="AY912" s="70"/>
      <c r="AZ912" s="76"/>
      <c r="BA912" s="76"/>
      <c r="BB912" s="76"/>
      <c r="BC912" s="78"/>
    </row>
    <row r="913" spans="1:55" x14ac:dyDescent="0.25">
      <c r="A913" s="68"/>
      <c r="B913" s="68"/>
      <c r="C913" s="68"/>
      <c r="D913" s="70"/>
      <c r="E913" s="70"/>
      <c r="F913" s="70"/>
      <c r="G913" s="72"/>
      <c r="H913" s="74"/>
      <c r="I913" s="74"/>
      <c r="J913" s="75"/>
      <c r="K913" s="81"/>
      <c r="L913" s="76"/>
      <c r="M913" s="76"/>
      <c r="N913" s="76"/>
      <c r="O913" s="71"/>
      <c r="P913" s="70"/>
      <c r="Q913" s="71"/>
      <c r="R913" s="71"/>
      <c r="S913" s="70"/>
      <c r="T913" s="71"/>
      <c r="U913" s="71"/>
      <c r="V913" s="75"/>
      <c r="W913" s="69"/>
      <c r="X913" s="69"/>
      <c r="Y913" s="69"/>
      <c r="Z913" s="69"/>
      <c r="AA913" s="69"/>
      <c r="AB913" s="69"/>
      <c r="AC913" s="69"/>
      <c r="AD913" s="69"/>
      <c r="AE913" s="76"/>
      <c r="AF913" s="71"/>
      <c r="AG913" s="71"/>
      <c r="AH913" s="71"/>
      <c r="AI913" s="71"/>
      <c r="AJ913" s="71"/>
      <c r="AK913" s="71"/>
      <c r="AL913" s="71"/>
      <c r="AM913" s="71"/>
      <c r="AN913" s="68"/>
      <c r="AO913" s="68"/>
      <c r="AP913" s="70"/>
      <c r="AQ913" s="71"/>
      <c r="AR913" s="77"/>
      <c r="AS913" s="70"/>
      <c r="AT913" s="68"/>
      <c r="AU913" s="70"/>
      <c r="AV913" s="70"/>
      <c r="AW913" s="71"/>
      <c r="AX913" s="71"/>
      <c r="AY913" s="70"/>
      <c r="AZ913" s="76"/>
      <c r="BA913" s="76"/>
      <c r="BB913" s="76"/>
      <c r="BC913" s="78"/>
    </row>
    <row r="914" spans="1:55" x14ac:dyDescent="0.25">
      <c r="A914" s="68"/>
      <c r="B914" s="68"/>
      <c r="C914" s="68"/>
      <c r="D914" s="70"/>
      <c r="E914" s="70"/>
      <c r="F914" s="70"/>
      <c r="G914" s="72"/>
      <c r="H914" s="74"/>
      <c r="I914" s="74"/>
      <c r="J914" s="75"/>
      <c r="K914" s="81"/>
      <c r="L914" s="76"/>
      <c r="M914" s="76"/>
      <c r="N914" s="76"/>
      <c r="O914" s="71"/>
      <c r="P914" s="70"/>
      <c r="Q914" s="71"/>
      <c r="R914" s="71"/>
      <c r="S914" s="70"/>
      <c r="T914" s="71"/>
      <c r="U914" s="71"/>
      <c r="V914" s="75"/>
      <c r="W914" s="69"/>
      <c r="X914" s="69"/>
      <c r="Y914" s="69"/>
      <c r="Z914" s="69"/>
      <c r="AA914" s="69"/>
      <c r="AB914" s="69"/>
      <c r="AC914" s="69"/>
      <c r="AD914" s="69"/>
      <c r="AE914" s="76"/>
      <c r="AF914" s="71"/>
      <c r="AG914" s="71"/>
      <c r="AH914" s="71"/>
      <c r="AI914" s="71"/>
      <c r="AJ914" s="71"/>
      <c r="AK914" s="71"/>
      <c r="AL914" s="71"/>
      <c r="AM914" s="71"/>
      <c r="AN914" s="68"/>
      <c r="AO914" s="68"/>
      <c r="AP914" s="70"/>
      <c r="AQ914" s="71"/>
      <c r="AR914" s="77"/>
      <c r="AS914" s="70"/>
      <c r="AT914" s="68"/>
      <c r="AU914" s="70"/>
      <c r="AV914" s="70"/>
      <c r="AW914" s="71"/>
      <c r="AX914" s="71"/>
      <c r="AY914" s="70"/>
      <c r="AZ914" s="76"/>
      <c r="BA914" s="76"/>
      <c r="BB914" s="76"/>
      <c r="BC914" s="78"/>
    </row>
    <row r="915" spans="1:55" x14ac:dyDescent="0.25">
      <c r="A915" s="68"/>
      <c r="B915" s="68"/>
      <c r="C915" s="68"/>
      <c r="D915" s="70"/>
      <c r="E915" s="70"/>
      <c r="F915" s="70"/>
      <c r="G915" s="72"/>
      <c r="H915" s="74"/>
      <c r="I915" s="74"/>
      <c r="J915" s="75"/>
      <c r="K915" s="81"/>
      <c r="L915" s="76"/>
      <c r="M915" s="76"/>
      <c r="N915" s="76"/>
      <c r="O915" s="71"/>
      <c r="P915" s="70"/>
      <c r="Q915" s="71"/>
      <c r="R915" s="71"/>
      <c r="S915" s="70"/>
      <c r="T915" s="71"/>
      <c r="U915" s="71"/>
      <c r="V915" s="75"/>
      <c r="W915" s="69"/>
      <c r="X915" s="69"/>
      <c r="Y915" s="69"/>
      <c r="Z915" s="69"/>
      <c r="AA915" s="69"/>
      <c r="AB915" s="69"/>
      <c r="AC915" s="69"/>
      <c r="AD915" s="69"/>
      <c r="AE915" s="76"/>
      <c r="AF915" s="71"/>
      <c r="AG915" s="71"/>
      <c r="AH915" s="71"/>
      <c r="AI915" s="71"/>
      <c r="AJ915" s="71"/>
      <c r="AK915" s="71"/>
      <c r="AL915" s="71"/>
      <c r="AM915" s="71"/>
      <c r="AN915" s="68"/>
      <c r="AO915" s="68"/>
      <c r="AP915" s="70"/>
      <c r="AQ915" s="71"/>
      <c r="AR915" s="77"/>
      <c r="AS915" s="70"/>
      <c r="AT915" s="68"/>
      <c r="AU915" s="70"/>
      <c r="AV915" s="70"/>
      <c r="AW915" s="71"/>
      <c r="AX915" s="71"/>
      <c r="AY915" s="70"/>
      <c r="AZ915" s="76"/>
      <c r="BA915" s="76"/>
      <c r="BB915" s="76"/>
      <c r="BC915" s="78"/>
    </row>
    <row r="916" spans="1:55" x14ac:dyDescent="0.25">
      <c r="A916" s="68"/>
      <c r="B916" s="68"/>
      <c r="C916" s="68"/>
      <c r="D916" s="70"/>
      <c r="E916" s="70"/>
      <c r="F916" s="70"/>
      <c r="G916" s="72"/>
      <c r="H916" s="74"/>
      <c r="I916" s="74"/>
      <c r="J916" s="75"/>
      <c r="K916" s="81"/>
      <c r="L916" s="76"/>
      <c r="M916" s="76"/>
      <c r="N916" s="76"/>
      <c r="O916" s="71"/>
      <c r="P916" s="70"/>
      <c r="Q916" s="71"/>
      <c r="R916" s="71"/>
      <c r="S916" s="70"/>
      <c r="T916" s="71"/>
      <c r="U916" s="71"/>
      <c r="V916" s="75"/>
      <c r="W916" s="69"/>
      <c r="X916" s="69"/>
      <c r="Y916" s="69"/>
      <c r="Z916" s="69"/>
      <c r="AA916" s="69"/>
      <c r="AB916" s="69"/>
      <c r="AC916" s="69"/>
      <c r="AD916" s="69"/>
      <c r="AE916" s="76"/>
      <c r="AF916" s="71"/>
      <c r="AG916" s="71"/>
      <c r="AH916" s="71"/>
      <c r="AI916" s="71"/>
      <c r="AJ916" s="71"/>
      <c r="AK916" s="71"/>
      <c r="AL916" s="71"/>
      <c r="AM916" s="71"/>
      <c r="AN916" s="68"/>
      <c r="AO916" s="68"/>
      <c r="AP916" s="70"/>
      <c r="AQ916" s="71"/>
      <c r="AR916" s="77"/>
      <c r="AS916" s="70"/>
      <c r="AT916" s="68"/>
      <c r="AU916" s="70"/>
      <c r="AV916" s="70"/>
      <c r="AW916" s="71"/>
      <c r="AX916" s="71"/>
      <c r="AY916" s="70"/>
      <c r="AZ916" s="76"/>
      <c r="BA916" s="76"/>
      <c r="BB916" s="76"/>
      <c r="BC916" s="78"/>
    </row>
    <row r="917" spans="1:55" x14ac:dyDescent="0.25">
      <c r="A917" s="68"/>
      <c r="B917" s="68"/>
      <c r="C917" s="68"/>
      <c r="D917" s="70"/>
      <c r="E917" s="70"/>
      <c r="F917" s="70"/>
      <c r="G917" s="72"/>
      <c r="H917" s="74"/>
      <c r="I917" s="74"/>
      <c r="J917" s="75"/>
      <c r="K917" s="81"/>
      <c r="L917" s="76"/>
      <c r="M917" s="76"/>
      <c r="N917" s="76"/>
      <c r="O917" s="71"/>
      <c r="P917" s="70"/>
      <c r="Q917" s="71"/>
      <c r="R917" s="71"/>
      <c r="S917" s="70"/>
      <c r="T917" s="71"/>
      <c r="U917" s="71"/>
      <c r="V917" s="75"/>
      <c r="W917" s="69"/>
      <c r="X917" s="69"/>
      <c r="Y917" s="69"/>
      <c r="Z917" s="69"/>
      <c r="AA917" s="69"/>
      <c r="AB917" s="69"/>
      <c r="AC917" s="69"/>
      <c r="AD917" s="69"/>
      <c r="AE917" s="76"/>
      <c r="AF917" s="71"/>
      <c r="AG917" s="71"/>
      <c r="AH917" s="71"/>
      <c r="AI917" s="71"/>
      <c r="AJ917" s="71"/>
      <c r="AK917" s="71"/>
      <c r="AL917" s="71"/>
      <c r="AM917" s="71"/>
      <c r="AN917" s="68"/>
      <c r="AO917" s="68"/>
      <c r="AP917" s="70"/>
      <c r="AQ917" s="71"/>
      <c r="AR917" s="77"/>
      <c r="AS917" s="70"/>
      <c r="AT917" s="68"/>
      <c r="AU917" s="70"/>
      <c r="AV917" s="70"/>
      <c r="AW917" s="71"/>
      <c r="AX917" s="71"/>
      <c r="AY917" s="70"/>
      <c r="AZ917" s="76"/>
      <c r="BA917" s="76"/>
      <c r="BB917" s="76"/>
      <c r="BC917" s="78"/>
    </row>
    <row r="918" spans="1:55" x14ac:dyDescent="0.25">
      <c r="A918" s="68"/>
      <c r="B918" s="68"/>
      <c r="C918" s="68"/>
      <c r="D918" s="70"/>
      <c r="E918" s="70"/>
      <c r="F918" s="70"/>
      <c r="G918" s="72"/>
      <c r="H918" s="74"/>
      <c r="I918" s="74"/>
      <c r="J918" s="75"/>
      <c r="K918" s="81"/>
      <c r="L918" s="76"/>
      <c r="M918" s="76"/>
      <c r="N918" s="76"/>
      <c r="O918" s="71"/>
      <c r="P918" s="70"/>
      <c r="Q918" s="71"/>
      <c r="R918" s="71"/>
      <c r="S918" s="70"/>
      <c r="T918" s="71"/>
      <c r="U918" s="71"/>
      <c r="V918" s="75"/>
      <c r="W918" s="69"/>
      <c r="X918" s="69"/>
      <c r="Y918" s="69"/>
      <c r="Z918" s="69"/>
      <c r="AA918" s="69"/>
      <c r="AB918" s="69"/>
      <c r="AC918" s="69"/>
      <c r="AD918" s="69"/>
      <c r="AE918" s="76"/>
      <c r="AF918" s="71"/>
      <c r="AG918" s="71"/>
      <c r="AH918" s="71"/>
      <c r="AI918" s="71"/>
      <c r="AJ918" s="71"/>
      <c r="AK918" s="71"/>
      <c r="AL918" s="71"/>
      <c r="AM918" s="71"/>
      <c r="AN918" s="68"/>
      <c r="AO918" s="68"/>
      <c r="AP918" s="70"/>
      <c r="AQ918" s="71"/>
      <c r="AR918" s="77"/>
      <c r="AS918" s="70"/>
      <c r="AT918" s="68"/>
      <c r="AU918" s="70"/>
      <c r="AV918" s="70"/>
      <c r="AW918" s="71"/>
      <c r="AX918" s="71"/>
      <c r="AY918" s="70"/>
      <c r="AZ918" s="76"/>
      <c r="BA918" s="76"/>
      <c r="BB918" s="76"/>
      <c r="BC918" s="78"/>
    </row>
    <row r="919" spans="1:55" x14ac:dyDescent="0.25">
      <c r="A919" s="68"/>
      <c r="B919" s="68"/>
      <c r="C919" s="68"/>
      <c r="D919" s="70"/>
      <c r="E919" s="70"/>
      <c r="F919" s="70"/>
      <c r="G919" s="72"/>
      <c r="H919" s="74"/>
      <c r="I919" s="74"/>
      <c r="J919" s="75"/>
      <c r="K919" s="81"/>
      <c r="L919" s="76"/>
      <c r="M919" s="76"/>
      <c r="N919" s="76"/>
      <c r="O919" s="71"/>
      <c r="P919" s="70"/>
      <c r="Q919" s="71"/>
      <c r="R919" s="71"/>
      <c r="S919" s="70"/>
      <c r="T919" s="71"/>
      <c r="U919" s="71"/>
      <c r="V919" s="75"/>
      <c r="W919" s="69"/>
      <c r="X919" s="69"/>
      <c r="Y919" s="69"/>
      <c r="Z919" s="69"/>
      <c r="AA919" s="69"/>
      <c r="AB919" s="69"/>
      <c r="AC919" s="69"/>
      <c r="AD919" s="69"/>
      <c r="AE919" s="76"/>
      <c r="AF919" s="71"/>
      <c r="AG919" s="71"/>
      <c r="AH919" s="71"/>
      <c r="AI919" s="71"/>
      <c r="AJ919" s="71"/>
      <c r="AK919" s="71"/>
      <c r="AL919" s="71"/>
      <c r="AM919" s="71"/>
      <c r="AN919" s="68"/>
      <c r="AO919" s="68"/>
      <c r="AP919" s="70"/>
      <c r="AQ919" s="71"/>
      <c r="AR919" s="77"/>
      <c r="AS919" s="70"/>
      <c r="AT919" s="68"/>
      <c r="AU919" s="70"/>
      <c r="AV919" s="70"/>
      <c r="AW919" s="71"/>
      <c r="AX919" s="71"/>
      <c r="AY919" s="70"/>
      <c r="AZ919" s="76"/>
      <c r="BA919" s="76"/>
      <c r="BB919" s="76"/>
      <c r="BC919" s="78"/>
    </row>
    <row r="920" spans="1:55" x14ac:dyDescent="0.25">
      <c r="A920" s="68"/>
      <c r="B920" s="68"/>
      <c r="C920" s="68"/>
      <c r="D920" s="70"/>
      <c r="E920" s="70"/>
      <c r="F920" s="70"/>
      <c r="G920" s="72"/>
      <c r="H920" s="74"/>
      <c r="I920" s="74"/>
      <c r="J920" s="75"/>
      <c r="K920" s="81"/>
      <c r="L920" s="76"/>
      <c r="M920" s="76"/>
      <c r="N920" s="76"/>
      <c r="O920" s="71"/>
      <c r="P920" s="70"/>
      <c r="Q920" s="71"/>
      <c r="R920" s="71"/>
      <c r="S920" s="70"/>
      <c r="T920" s="71"/>
      <c r="U920" s="71"/>
      <c r="V920" s="75"/>
      <c r="W920" s="69"/>
      <c r="X920" s="69"/>
      <c r="Y920" s="69"/>
      <c r="Z920" s="69"/>
      <c r="AA920" s="69"/>
      <c r="AB920" s="69"/>
      <c r="AC920" s="69"/>
      <c r="AD920" s="69"/>
      <c r="AE920" s="76"/>
      <c r="AF920" s="71"/>
      <c r="AG920" s="71"/>
      <c r="AH920" s="71"/>
      <c r="AI920" s="71"/>
      <c r="AJ920" s="71"/>
      <c r="AK920" s="71"/>
      <c r="AL920" s="71"/>
      <c r="AM920" s="71"/>
      <c r="AN920" s="68"/>
      <c r="AO920" s="68"/>
      <c r="AP920" s="70"/>
      <c r="AQ920" s="71"/>
      <c r="AR920" s="77"/>
      <c r="AS920" s="70"/>
      <c r="AT920" s="68"/>
      <c r="AU920" s="70"/>
      <c r="AV920" s="70"/>
      <c r="AW920" s="71"/>
      <c r="AX920" s="71"/>
      <c r="AY920" s="70"/>
      <c r="AZ920" s="76"/>
      <c r="BA920" s="76"/>
      <c r="BB920" s="76"/>
      <c r="BC920" s="78"/>
    </row>
    <row r="921" spans="1:55" x14ac:dyDescent="0.25">
      <c r="A921" s="68"/>
      <c r="B921" s="68"/>
      <c r="C921" s="68"/>
      <c r="D921" s="70"/>
      <c r="E921" s="70"/>
      <c r="F921" s="70"/>
      <c r="G921" s="72"/>
      <c r="H921" s="74"/>
      <c r="I921" s="74"/>
      <c r="J921" s="75"/>
      <c r="K921" s="81"/>
      <c r="L921" s="76"/>
      <c r="M921" s="76"/>
      <c r="N921" s="76"/>
      <c r="O921" s="71"/>
      <c r="P921" s="70"/>
      <c r="Q921" s="71"/>
      <c r="R921" s="71"/>
      <c r="S921" s="70"/>
      <c r="T921" s="71"/>
      <c r="U921" s="71"/>
      <c r="V921" s="75"/>
      <c r="W921" s="69"/>
      <c r="X921" s="69"/>
      <c r="Y921" s="69"/>
      <c r="Z921" s="69"/>
      <c r="AA921" s="69"/>
      <c r="AB921" s="69"/>
      <c r="AC921" s="69"/>
      <c r="AD921" s="69"/>
      <c r="AE921" s="76"/>
      <c r="AF921" s="71"/>
      <c r="AG921" s="71"/>
      <c r="AH921" s="71"/>
      <c r="AI921" s="71"/>
      <c r="AJ921" s="71"/>
      <c r="AK921" s="71"/>
      <c r="AL921" s="71"/>
      <c r="AM921" s="71"/>
      <c r="AN921" s="68"/>
      <c r="AO921" s="68"/>
      <c r="AP921" s="70"/>
      <c r="AQ921" s="71"/>
      <c r="AR921" s="77"/>
      <c r="AS921" s="70"/>
      <c r="AT921" s="68"/>
      <c r="AU921" s="70"/>
      <c r="AV921" s="70"/>
      <c r="AW921" s="71"/>
      <c r="AX921" s="71"/>
      <c r="AY921" s="70"/>
      <c r="AZ921" s="76"/>
      <c r="BA921" s="76"/>
      <c r="BB921" s="76"/>
      <c r="BC921" s="78"/>
    </row>
    <row r="922" spans="1:55" x14ac:dyDescent="0.25">
      <c r="A922" s="68"/>
      <c r="B922" s="68"/>
      <c r="C922" s="68"/>
      <c r="D922" s="70"/>
      <c r="E922" s="70"/>
      <c r="F922" s="70"/>
      <c r="G922" s="72"/>
      <c r="H922" s="74"/>
      <c r="I922" s="74"/>
      <c r="J922" s="75"/>
      <c r="K922" s="81"/>
      <c r="L922" s="76"/>
      <c r="M922" s="76"/>
      <c r="N922" s="76"/>
      <c r="O922" s="71"/>
      <c r="P922" s="70"/>
      <c r="Q922" s="71"/>
      <c r="R922" s="71"/>
      <c r="S922" s="70"/>
      <c r="T922" s="71"/>
      <c r="U922" s="71"/>
      <c r="V922" s="75"/>
      <c r="W922" s="69"/>
      <c r="X922" s="69"/>
      <c r="Y922" s="69"/>
      <c r="Z922" s="69"/>
      <c r="AA922" s="69"/>
      <c r="AB922" s="69"/>
      <c r="AC922" s="69"/>
      <c r="AD922" s="69"/>
      <c r="AE922" s="76"/>
      <c r="AF922" s="71"/>
      <c r="AG922" s="71"/>
      <c r="AH922" s="71"/>
      <c r="AI922" s="71"/>
      <c r="AJ922" s="71"/>
      <c r="AK922" s="71"/>
      <c r="AL922" s="71"/>
      <c r="AM922" s="71"/>
      <c r="AN922" s="68"/>
      <c r="AO922" s="68"/>
      <c r="AP922" s="70"/>
      <c r="AQ922" s="71"/>
      <c r="AR922" s="77"/>
      <c r="AS922" s="70"/>
      <c r="AT922" s="68"/>
      <c r="AU922" s="70"/>
      <c r="AV922" s="70"/>
      <c r="AW922" s="71"/>
      <c r="AX922" s="71"/>
      <c r="AY922" s="70"/>
      <c r="AZ922" s="76"/>
      <c r="BA922" s="76"/>
      <c r="BB922" s="76"/>
      <c r="BC922" s="78"/>
    </row>
    <row r="923" spans="1:55" x14ac:dyDescent="0.25">
      <c r="A923" s="68"/>
      <c r="B923" s="68"/>
      <c r="C923" s="68"/>
      <c r="D923" s="70"/>
      <c r="E923" s="70"/>
      <c r="F923" s="70"/>
      <c r="G923" s="72"/>
      <c r="H923" s="74"/>
      <c r="I923" s="74"/>
      <c r="J923" s="75"/>
      <c r="K923" s="81"/>
      <c r="L923" s="76"/>
      <c r="M923" s="76"/>
      <c r="N923" s="76"/>
      <c r="O923" s="71"/>
      <c r="P923" s="70"/>
      <c r="Q923" s="71"/>
      <c r="R923" s="71"/>
      <c r="S923" s="70"/>
      <c r="T923" s="71"/>
      <c r="U923" s="71"/>
      <c r="V923" s="75"/>
      <c r="W923" s="69"/>
      <c r="X923" s="69"/>
      <c r="Y923" s="69"/>
      <c r="Z923" s="69"/>
      <c r="AA923" s="69"/>
      <c r="AB923" s="69"/>
      <c r="AC923" s="69"/>
      <c r="AD923" s="69"/>
      <c r="AE923" s="76"/>
      <c r="AF923" s="71"/>
      <c r="AG923" s="71"/>
      <c r="AH923" s="71"/>
      <c r="AI923" s="71"/>
      <c r="AJ923" s="71"/>
      <c r="AK923" s="71"/>
      <c r="AL923" s="71"/>
      <c r="AM923" s="71"/>
      <c r="AN923" s="68"/>
      <c r="AO923" s="68"/>
      <c r="AP923" s="70"/>
      <c r="AQ923" s="71"/>
      <c r="AR923" s="77"/>
      <c r="AS923" s="70"/>
      <c r="AT923" s="68"/>
      <c r="AU923" s="70"/>
      <c r="AV923" s="70"/>
      <c r="AW923" s="71"/>
      <c r="AX923" s="71"/>
      <c r="AY923" s="70"/>
      <c r="AZ923" s="76"/>
      <c r="BA923" s="76"/>
      <c r="BB923" s="76"/>
      <c r="BC923" s="78"/>
    </row>
    <row r="924" spans="1:55" x14ac:dyDescent="0.25">
      <c r="A924" s="68"/>
      <c r="B924" s="68"/>
      <c r="C924" s="68"/>
      <c r="D924" s="70"/>
      <c r="E924" s="70"/>
      <c r="F924" s="70"/>
      <c r="G924" s="72"/>
      <c r="H924" s="74"/>
      <c r="I924" s="74"/>
      <c r="J924" s="75"/>
      <c r="K924" s="81"/>
      <c r="L924" s="76"/>
      <c r="M924" s="76"/>
      <c r="N924" s="76"/>
      <c r="O924" s="71"/>
      <c r="P924" s="70"/>
      <c r="Q924" s="71"/>
      <c r="R924" s="71"/>
      <c r="S924" s="70"/>
      <c r="T924" s="71"/>
      <c r="U924" s="71"/>
      <c r="V924" s="75"/>
      <c r="W924" s="69"/>
      <c r="X924" s="69"/>
      <c r="Y924" s="69"/>
      <c r="Z924" s="69"/>
      <c r="AA924" s="69"/>
      <c r="AB924" s="69"/>
      <c r="AC924" s="69"/>
      <c r="AD924" s="69"/>
      <c r="AE924" s="76"/>
      <c r="AF924" s="71"/>
      <c r="AG924" s="71"/>
      <c r="AH924" s="71"/>
      <c r="AI924" s="71"/>
      <c r="AJ924" s="71"/>
      <c r="AK924" s="71"/>
      <c r="AL924" s="71"/>
      <c r="AM924" s="71"/>
      <c r="AN924" s="68"/>
      <c r="AO924" s="68"/>
      <c r="AP924" s="70"/>
      <c r="AQ924" s="71"/>
      <c r="AR924" s="77"/>
      <c r="AS924" s="70"/>
      <c r="AT924" s="68"/>
      <c r="AU924" s="70"/>
      <c r="AV924" s="70"/>
      <c r="AW924" s="71"/>
      <c r="AX924" s="71"/>
      <c r="AY924" s="70"/>
      <c r="AZ924" s="76"/>
      <c r="BA924" s="76"/>
      <c r="BB924" s="76"/>
      <c r="BC924" s="78"/>
    </row>
    <row r="925" spans="1:55" x14ac:dyDescent="0.25">
      <c r="A925" s="68"/>
      <c r="B925" s="68"/>
      <c r="C925" s="68"/>
      <c r="D925" s="70"/>
      <c r="E925" s="70"/>
      <c r="F925" s="70"/>
      <c r="G925" s="72"/>
      <c r="H925" s="74"/>
      <c r="I925" s="74"/>
      <c r="J925" s="75"/>
      <c r="K925" s="81"/>
      <c r="L925" s="76"/>
      <c r="M925" s="76"/>
      <c r="N925" s="76"/>
      <c r="O925" s="71"/>
      <c r="P925" s="70"/>
      <c r="Q925" s="71"/>
      <c r="R925" s="71"/>
      <c r="S925" s="70"/>
      <c r="T925" s="71"/>
      <c r="U925" s="71"/>
      <c r="V925" s="75"/>
      <c r="W925" s="69"/>
      <c r="X925" s="69"/>
      <c r="Y925" s="69"/>
      <c r="Z925" s="69"/>
      <c r="AA925" s="69"/>
      <c r="AB925" s="69"/>
      <c r="AC925" s="69"/>
      <c r="AD925" s="69"/>
      <c r="AE925" s="76"/>
      <c r="AF925" s="71"/>
      <c r="AG925" s="71"/>
      <c r="AH925" s="71"/>
      <c r="AI925" s="71"/>
      <c r="AJ925" s="71"/>
      <c r="AK925" s="71"/>
      <c r="AL925" s="71"/>
      <c r="AM925" s="71"/>
      <c r="AN925" s="68"/>
      <c r="AO925" s="68"/>
      <c r="AP925" s="70"/>
      <c r="AQ925" s="71"/>
      <c r="AR925" s="77"/>
      <c r="AS925" s="70"/>
      <c r="AT925" s="68"/>
      <c r="AU925" s="70"/>
      <c r="AV925" s="70"/>
      <c r="AW925" s="71"/>
      <c r="AX925" s="71"/>
      <c r="AY925" s="70"/>
      <c r="AZ925" s="76"/>
      <c r="BA925" s="76"/>
      <c r="BB925" s="76"/>
      <c r="BC925" s="78"/>
    </row>
    <row r="926" spans="1:55" x14ac:dyDescent="0.25">
      <c r="A926" s="68"/>
      <c r="B926" s="68"/>
      <c r="C926" s="68"/>
      <c r="D926" s="70"/>
      <c r="E926" s="70"/>
      <c r="F926" s="70"/>
      <c r="G926" s="72"/>
      <c r="H926" s="74"/>
      <c r="I926" s="74"/>
      <c r="J926" s="75"/>
      <c r="K926" s="81"/>
      <c r="L926" s="76"/>
      <c r="M926" s="76"/>
      <c r="N926" s="76"/>
      <c r="O926" s="71"/>
      <c r="P926" s="70"/>
      <c r="Q926" s="71"/>
      <c r="R926" s="71"/>
      <c r="S926" s="70"/>
      <c r="T926" s="71"/>
      <c r="U926" s="71"/>
      <c r="V926" s="75"/>
      <c r="W926" s="69"/>
      <c r="X926" s="69"/>
      <c r="Y926" s="69"/>
      <c r="Z926" s="69"/>
      <c r="AA926" s="69"/>
      <c r="AB926" s="69"/>
      <c r="AC926" s="69"/>
      <c r="AD926" s="69"/>
      <c r="AE926" s="76"/>
      <c r="AF926" s="71"/>
      <c r="AG926" s="71"/>
      <c r="AH926" s="71"/>
      <c r="AI926" s="71"/>
      <c r="AJ926" s="71"/>
      <c r="AK926" s="71"/>
      <c r="AL926" s="71"/>
      <c r="AM926" s="71"/>
      <c r="AN926" s="68"/>
      <c r="AO926" s="68"/>
      <c r="AP926" s="70"/>
      <c r="AQ926" s="71"/>
      <c r="AR926" s="77"/>
      <c r="AS926" s="70"/>
      <c r="AT926" s="68"/>
      <c r="AU926" s="70"/>
      <c r="AV926" s="70"/>
      <c r="AW926" s="71"/>
      <c r="AX926" s="71"/>
      <c r="AY926" s="70"/>
      <c r="AZ926" s="76"/>
      <c r="BA926" s="76"/>
      <c r="BB926" s="76"/>
      <c r="BC926" s="78"/>
    </row>
    <row r="927" spans="1:55" x14ac:dyDescent="0.25">
      <c r="A927" s="68"/>
      <c r="B927" s="68"/>
      <c r="C927" s="68"/>
      <c r="D927" s="70"/>
      <c r="E927" s="70"/>
      <c r="F927" s="70"/>
      <c r="G927" s="72"/>
      <c r="H927" s="74"/>
      <c r="I927" s="74"/>
      <c r="J927" s="75"/>
      <c r="K927" s="81"/>
      <c r="L927" s="76"/>
      <c r="M927" s="76"/>
      <c r="N927" s="76"/>
      <c r="O927" s="71"/>
      <c r="P927" s="70"/>
      <c r="Q927" s="71"/>
      <c r="R927" s="71"/>
      <c r="S927" s="70"/>
      <c r="T927" s="71"/>
      <c r="U927" s="71"/>
      <c r="V927" s="75"/>
      <c r="W927" s="69"/>
      <c r="X927" s="69"/>
      <c r="Y927" s="69"/>
      <c r="Z927" s="69"/>
      <c r="AA927" s="69"/>
      <c r="AB927" s="69"/>
      <c r="AC927" s="69"/>
      <c r="AD927" s="69"/>
      <c r="AE927" s="76"/>
      <c r="AF927" s="71"/>
      <c r="AG927" s="71"/>
      <c r="AH927" s="71"/>
      <c r="AI927" s="71"/>
      <c r="AJ927" s="71"/>
      <c r="AK927" s="71"/>
      <c r="AL927" s="71"/>
      <c r="AM927" s="71"/>
      <c r="AN927" s="68"/>
      <c r="AO927" s="68"/>
      <c r="AP927" s="70"/>
      <c r="AQ927" s="71"/>
      <c r="AR927" s="77"/>
      <c r="AS927" s="70"/>
      <c r="AT927" s="68"/>
      <c r="AU927" s="70"/>
      <c r="AV927" s="70"/>
      <c r="AW927" s="71"/>
      <c r="AX927" s="71"/>
      <c r="AY927" s="70"/>
      <c r="AZ927" s="76"/>
      <c r="BA927" s="76"/>
      <c r="BB927" s="76"/>
      <c r="BC927" s="78"/>
    </row>
    <row r="928" spans="1:55" x14ac:dyDescent="0.25">
      <c r="A928" s="68"/>
      <c r="B928" s="68"/>
      <c r="C928" s="68"/>
      <c r="D928" s="70"/>
      <c r="E928" s="70"/>
      <c r="F928" s="70"/>
      <c r="G928" s="72"/>
      <c r="H928" s="74"/>
      <c r="I928" s="74"/>
      <c r="J928" s="75"/>
      <c r="K928" s="81"/>
      <c r="L928" s="76"/>
      <c r="M928" s="76"/>
      <c r="N928" s="76"/>
      <c r="O928" s="71"/>
      <c r="P928" s="70"/>
      <c r="Q928" s="71"/>
      <c r="R928" s="71"/>
      <c r="S928" s="70"/>
      <c r="T928" s="71"/>
      <c r="U928" s="71"/>
      <c r="V928" s="75"/>
      <c r="W928" s="69"/>
      <c r="X928" s="69"/>
      <c r="Y928" s="69"/>
      <c r="Z928" s="69"/>
      <c r="AA928" s="69"/>
      <c r="AB928" s="69"/>
      <c r="AC928" s="69"/>
      <c r="AD928" s="69"/>
      <c r="AE928" s="76"/>
      <c r="AF928" s="71"/>
      <c r="AG928" s="71"/>
      <c r="AH928" s="71"/>
      <c r="AI928" s="71"/>
      <c r="AJ928" s="71"/>
      <c r="AK928" s="71"/>
      <c r="AL928" s="71"/>
      <c r="AM928" s="71"/>
      <c r="AN928" s="68"/>
      <c r="AO928" s="68"/>
      <c r="AP928" s="70"/>
      <c r="AQ928" s="71"/>
      <c r="AR928" s="77"/>
      <c r="AS928" s="70"/>
      <c r="AT928" s="68"/>
      <c r="AU928" s="70"/>
      <c r="AV928" s="70"/>
      <c r="AW928" s="71"/>
      <c r="AX928" s="71"/>
      <c r="AY928" s="70"/>
      <c r="AZ928" s="76"/>
      <c r="BA928" s="76"/>
      <c r="BB928" s="76"/>
      <c r="BC928" s="78"/>
    </row>
    <row r="929" spans="1:55" x14ac:dyDescent="0.25">
      <c r="A929" s="68"/>
      <c r="B929" s="68"/>
      <c r="C929" s="68"/>
      <c r="D929" s="70"/>
      <c r="E929" s="70"/>
      <c r="F929" s="70"/>
      <c r="G929" s="72"/>
      <c r="H929" s="74"/>
      <c r="I929" s="74"/>
      <c r="J929" s="75"/>
      <c r="K929" s="81"/>
      <c r="L929" s="76"/>
      <c r="M929" s="76"/>
      <c r="N929" s="76"/>
      <c r="O929" s="71"/>
      <c r="P929" s="70"/>
      <c r="Q929" s="71"/>
      <c r="R929" s="71"/>
      <c r="S929" s="70"/>
      <c r="T929" s="71"/>
      <c r="U929" s="71"/>
      <c r="V929" s="75"/>
      <c r="W929" s="69"/>
      <c r="X929" s="69"/>
      <c r="Y929" s="69"/>
      <c r="Z929" s="69"/>
      <c r="AA929" s="69"/>
      <c r="AB929" s="69"/>
      <c r="AC929" s="69"/>
      <c r="AD929" s="69"/>
      <c r="AE929" s="76"/>
      <c r="AF929" s="71"/>
      <c r="AG929" s="71"/>
      <c r="AH929" s="71"/>
      <c r="AI929" s="71"/>
      <c r="AJ929" s="71"/>
      <c r="AK929" s="71"/>
      <c r="AL929" s="71"/>
      <c r="AM929" s="71"/>
      <c r="AN929" s="68"/>
      <c r="AO929" s="68"/>
      <c r="AP929" s="70"/>
      <c r="AQ929" s="71"/>
      <c r="AR929" s="77"/>
      <c r="AS929" s="70"/>
      <c r="AT929" s="68"/>
      <c r="AU929" s="70"/>
      <c r="AV929" s="70"/>
      <c r="AW929" s="71"/>
      <c r="AX929" s="71"/>
      <c r="AY929" s="70"/>
      <c r="AZ929" s="76"/>
      <c r="BA929" s="76"/>
      <c r="BB929" s="76"/>
      <c r="BC929" s="78"/>
    </row>
    <row r="930" spans="1:55" x14ac:dyDescent="0.25">
      <c r="A930" s="68"/>
      <c r="B930" s="68"/>
      <c r="C930" s="68"/>
      <c r="D930" s="70"/>
      <c r="E930" s="70"/>
      <c r="F930" s="70"/>
      <c r="G930" s="72"/>
      <c r="H930" s="74"/>
      <c r="I930" s="74"/>
      <c r="J930" s="75"/>
      <c r="K930" s="81"/>
      <c r="L930" s="76"/>
      <c r="M930" s="76"/>
      <c r="N930" s="76"/>
      <c r="O930" s="71"/>
      <c r="P930" s="70"/>
      <c r="Q930" s="71"/>
      <c r="R930" s="71"/>
      <c r="S930" s="70"/>
      <c r="T930" s="71"/>
      <c r="U930" s="71"/>
      <c r="V930" s="75"/>
      <c r="W930" s="69"/>
      <c r="X930" s="69"/>
      <c r="Y930" s="69"/>
      <c r="Z930" s="69"/>
      <c r="AA930" s="69"/>
      <c r="AB930" s="69"/>
      <c r="AC930" s="69"/>
      <c r="AD930" s="69"/>
      <c r="AE930" s="76"/>
      <c r="AF930" s="71"/>
      <c r="AG930" s="71"/>
      <c r="AH930" s="71"/>
      <c r="AI930" s="71"/>
      <c r="AJ930" s="71"/>
      <c r="AK930" s="71"/>
      <c r="AL930" s="71"/>
      <c r="AM930" s="71"/>
      <c r="AN930" s="68"/>
      <c r="AO930" s="68"/>
      <c r="AP930" s="70"/>
      <c r="AQ930" s="71"/>
      <c r="AR930" s="77"/>
      <c r="AS930" s="70"/>
      <c r="AT930" s="68"/>
      <c r="AU930" s="70"/>
      <c r="AV930" s="70"/>
      <c r="AW930" s="71"/>
      <c r="AX930" s="71"/>
      <c r="AY930" s="70"/>
      <c r="AZ930" s="76"/>
      <c r="BA930" s="76"/>
      <c r="BB930" s="76"/>
      <c r="BC930" s="78"/>
    </row>
    <row r="931" spans="1:55" x14ac:dyDescent="0.25">
      <c r="A931" s="68"/>
      <c r="B931" s="68"/>
      <c r="C931" s="68"/>
      <c r="D931" s="70"/>
      <c r="E931" s="70"/>
      <c r="F931" s="70"/>
      <c r="G931" s="72"/>
      <c r="H931" s="74"/>
      <c r="I931" s="74"/>
      <c r="J931" s="75"/>
      <c r="K931" s="81"/>
      <c r="L931" s="76"/>
      <c r="M931" s="76"/>
      <c r="N931" s="76"/>
      <c r="O931" s="71"/>
      <c r="P931" s="70"/>
      <c r="Q931" s="71"/>
      <c r="R931" s="71"/>
      <c r="S931" s="70"/>
      <c r="T931" s="71"/>
      <c r="U931" s="71"/>
      <c r="V931" s="75"/>
      <c r="W931" s="69"/>
      <c r="X931" s="69"/>
      <c r="Y931" s="69"/>
      <c r="Z931" s="69"/>
      <c r="AA931" s="69"/>
      <c r="AB931" s="69"/>
      <c r="AC931" s="69"/>
      <c r="AD931" s="69"/>
      <c r="AE931" s="76"/>
      <c r="AF931" s="71"/>
      <c r="AG931" s="71"/>
      <c r="AH931" s="71"/>
      <c r="AI931" s="71"/>
      <c r="AJ931" s="71"/>
      <c r="AK931" s="71"/>
      <c r="AL931" s="71"/>
      <c r="AM931" s="71"/>
      <c r="AN931" s="68"/>
      <c r="AO931" s="68"/>
      <c r="AP931" s="70"/>
      <c r="AQ931" s="71"/>
      <c r="AR931" s="77"/>
      <c r="AS931" s="70"/>
      <c r="AT931" s="68"/>
      <c r="AU931" s="70"/>
      <c r="AV931" s="70"/>
      <c r="AW931" s="71"/>
      <c r="AX931" s="71"/>
      <c r="AY931" s="70"/>
      <c r="AZ931" s="76"/>
      <c r="BA931" s="76"/>
      <c r="BB931" s="76"/>
      <c r="BC931" s="78"/>
    </row>
    <row r="932" spans="1:55" x14ac:dyDescent="0.25">
      <c r="A932" s="68"/>
      <c r="B932" s="68"/>
      <c r="C932" s="68"/>
      <c r="D932" s="70"/>
      <c r="E932" s="70"/>
      <c r="F932" s="70"/>
      <c r="G932" s="72"/>
      <c r="H932" s="74"/>
      <c r="I932" s="74"/>
      <c r="J932" s="75"/>
      <c r="K932" s="81"/>
      <c r="L932" s="76"/>
      <c r="M932" s="76"/>
      <c r="N932" s="76"/>
      <c r="O932" s="71"/>
      <c r="P932" s="70"/>
      <c r="Q932" s="71"/>
      <c r="R932" s="71"/>
      <c r="S932" s="70"/>
      <c r="T932" s="71"/>
      <c r="U932" s="71"/>
      <c r="V932" s="75"/>
      <c r="W932" s="69"/>
      <c r="X932" s="69"/>
      <c r="Y932" s="69"/>
      <c r="Z932" s="69"/>
      <c r="AA932" s="69"/>
      <c r="AB932" s="69"/>
      <c r="AC932" s="69"/>
      <c r="AD932" s="69"/>
      <c r="AE932" s="76"/>
      <c r="AF932" s="71"/>
      <c r="AG932" s="71"/>
      <c r="AH932" s="71"/>
      <c r="AI932" s="71"/>
      <c r="AJ932" s="71"/>
      <c r="AK932" s="71"/>
      <c r="AL932" s="71"/>
      <c r="AM932" s="71"/>
      <c r="AN932" s="68"/>
      <c r="AO932" s="68"/>
      <c r="AP932" s="70"/>
      <c r="AQ932" s="71"/>
      <c r="AR932" s="77"/>
      <c r="AS932" s="70"/>
      <c r="AT932" s="68"/>
      <c r="AU932" s="70"/>
      <c r="AV932" s="70"/>
      <c r="AW932" s="71"/>
      <c r="AX932" s="71"/>
      <c r="AY932" s="70"/>
      <c r="AZ932" s="76"/>
      <c r="BA932" s="76"/>
      <c r="BB932" s="76"/>
      <c r="BC932" s="78"/>
    </row>
    <row r="933" spans="1:55" x14ac:dyDescent="0.25">
      <c r="A933" s="68"/>
      <c r="B933" s="68"/>
      <c r="C933" s="68"/>
      <c r="D933" s="70"/>
      <c r="E933" s="70"/>
      <c r="F933" s="70"/>
      <c r="G933" s="72"/>
      <c r="H933" s="74"/>
      <c r="I933" s="74"/>
      <c r="J933" s="75"/>
      <c r="K933" s="81"/>
      <c r="L933" s="76"/>
      <c r="M933" s="76"/>
      <c r="N933" s="76"/>
      <c r="O933" s="71"/>
      <c r="P933" s="70"/>
      <c r="Q933" s="71"/>
      <c r="R933" s="71"/>
      <c r="S933" s="70"/>
      <c r="T933" s="71"/>
      <c r="U933" s="71"/>
      <c r="V933" s="75"/>
      <c r="W933" s="69"/>
      <c r="X933" s="69"/>
      <c r="Y933" s="69"/>
      <c r="Z933" s="69"/>
      <c r="AA933" s="69"/>
      <c r="AB933" s="69"/>
      <c r="AC933" s="69"/>
      <c r="AD933" s="69"/>
      <c r="AE933" s="76"/>
      <c r="AF933" s="71"/>
      <c r="AG933" s="71"/>
      <c r="AH933" s="71"/>
      <c r="AI933" s="71"/>
      <c r="AJ933" s="71"/>
      <c r="AK933" s="71"/>
      <c r="AL933" s="71"/>
      <c r="AM933" s="71"/>
      <c r="AN933" s="68"/>
      <c r="AO933" s="68"/>
      <c r="AP933" s="70"/>
      <c r="AQ933" s="71"/>
      <c r="AR933" s="77"/>
      <c r="AS933" s="70"/>
      <c r="AT933" s="68"/>
      <c r="AU933" s="70"/>
      <c r="AV933" s="70"/>
      <c r="AW933" s="71"/>
      <c r="AX933" s="71"/>
      <c r="AY933" s="70"/>
      <c r="AZ933" s="76"/>
      <c r="BA933" s="76"/>
      <c r="BB933" s="76"/>
      <c r="BC933" s="78"/>
    </row>
    <row r="934" spans="1:55" x14ac:dyDescent="0.25">
      <c r="A934" s="68"/>
      <c r="B934" s="68"/>
      <c r="C934" s="68"/>
      <c r="D934" s="70"/>
      <c r="E934" s="70"/>
      <c r="F934" s="70"/>
      <c r="G934" s="72"/>
      <c r="H934" s="74"/>
      <c r="I934" s="74"/>
      <c r="J934" s="75"/>
      <c r="K934" s="81"/>
      <c r="L934" s="76"/>
      <c r="M934" s="76"/>
      <c r="N934" s="76"/>
      <c r="O934" s="71"/>
      <c r="P934" s="70"/>
      <c r="Q934" s="71"/>
      <c r="R934" s="71"/>
      <c r="S934" s="70"/>
      <c r="T934" s="71"/>
      <c r="U934" s="71"/>
      <c r="V934" s="75"/>
      <c r="W934" s="69"/>
      <c r="X934" s="69"/>
      <c r="Y934" s="69"/>
      <c r="Z934" s="69"/>
      <c r="AA934" s="69"/>
      <c r="AB934" s="69"/>
      <c r="AC934" s="69"/>
      <c r="AD934" s="69"/>
      <c r="AE934" s="76"/>
      <c r="AF934" s="71"/>
      <c r="AG934" s="71"/>
      <c r="AH934" s="71"/>
      <c r="AI934" s="71"/>
      <c r="AJ934" s="71"/>
      <c r="AK934" s="71"/>
      <c r="AL934" s="71"/>
      <c r="AM934" s="71"/>
      <c r="AN934" s="68"/>
      <c r="AO934" s="68"/>
      <c r="AP934" s="70"/>
      <c r="AQ934" s="71"/>
      <c r="AR934" s="77"/>
      <c r="AS934" s="70"/>
      <c r="AT934" s="68"/>
      <c r="AU934" s="70"/>
      <c r="AV934" s="70"/>
      <c r="AW934" s="71"/>
      <c r="AX934" s="71"/>
      <c r="AY934" s="70"/>
      <c r="AZ934" s="76"/>
      <c r="BA934" s="76"/>
      <c r="BB934" s="76"/>
      <c r="BC934" s="78"/>
    </row>
    <row r="935" spans="1:55" x14ac:dyDescent="0.25">
      <c r="A935" s="68"/>
      <c r="B935" s="68"/>
      <c r="C935" s="68"/>
      <c r="D935" s="70"/>
      <c r="E935" s="70"/>
      <c r="F935" s="70"/>
      <c r="G935" s="72"/>
      <c r="H935" s="74"/>
      <c r="I935" s="74"/>
      <c r="J935" s="75"/>
      <c r="K935" s="81"/>
      <c r="L935" s="76"/>
      <c r="M935" s="76"/>
      <c r="N935" s="76"/>
      <c r="O935" s="71"/>
      <c r="P935" s="70"/>
      <c r="Q935" s="71"/>
      <c r="R935" s="71"/>
      <c r="S935" s="70"/>
      <c r="T935" s="71"/>
      <c r="U935" s="71"/>
      <c r="V935" s="75"/>
      <c r="W935" s="69"/>
      <c r="X935" s="69"/>
      <c r="Y935" s="69"/>
      <c r="Z935" s="69"/>
      <c r="AA935" s="69"/>
      <c r="AB935" s="69"/>
      <c r="AC935" s="69"/>
      <c r="AD935" s="69"/>
      <c r="AE935" s="76"/>
      <c r="AF935" s="71"/>
      <c r="AG935" s="71"/>
      <c r="AH935" s="71"/>
      <c r="AI935" s="71"/>
      <c r="AJ935" s="71"/>
      <c r="AK935" s="71"/>
      <c r="AL935" s="71"/>
      <c r="AM935" s="71"/>
      <c r="AN935" s="68"/>
      <c r="AO935" s="68"/>
      <c r="AP935" s="70"/>
      <c r="AQ935" s="71"/>
      <c r="AR935" s="77"/>
      <c r="AS935" s="70"/>
      <c r="AT935" s="68"/>
      <c r="AU935" s="70"/>
      <c r="AV935" s="70"/>
      <c r="AW935" s="71"/>
      <c r="AX935" s="71"/>
      <c r="AY935" s="70"/>
      <c r="AZ935" s="76"/>
      <c r="BA935" s="76"/>
      <c r="BB935" s="76"/>
      <c r="BC935" s="78"/>
    </row>
    <row r="936" spans="1:55" x14ac:dyDescent="0.25">
      <c r="A936" s="68"/>
      <c r="B936" s="68"/>
      <c r="C936" s="68"/>
      <c r="D936" s="70"/>
      <c r="E936" s="70"/>
      <c r="F936" s="70"/>
      <c r="G936" s="72"/>
      <c r="H936" s="74"/>
      <c r="I936" s="74"/>
      <c r="J936" s="75"/>
      <c r="K936" s="81"/>
      <c r="L936" s="76"/>
      <c r="M936" s="76"/>
      <c r="N936" s="76"/>
      <c r="O936" s="71"/>
      <c r="P936" s="70"/>
      <c r="Q936" s="71"/>
      <c r="R936" s="71"/>
      <c r="S936" s="70"/>
      <c r="T936" s="71"/>
      <c r="U936" s="71"/>
      <c r="V936" s="75"/>
      <c r="W936" s="69"/>
      <c r="X936" s="69"/>
      <c r="Y936" s="69"/>
      <c r="Z936" s="69"/>
      <c r="AA936" s="69"/>
      <c r="AB936" s="69"/>
      <c r="AC936" s="69"/>
      <c r="AD936" s="69"/>
      <c r="AE936" s="76"/>
      <c r="AF936" s="71"/>
      <c r="AG936" s="71"/>
      <c r="AH936" s="71"/>
      <c r="AI936" s="71"/>
      <c r="AJ936" s="71"/>
      <c r="AK936" s="71"/>
      <c r="AL936" s="71"/>
      <c r="AM936" s="71"/>
      <c r="AN936" s="68"/>
      <c r="AO936" s="68"/>
      <c r="AP936" s="70"/>
      <c r="AQ936" s="71"/>
      <c r="AR936" s="77"/>
      <c r="AS936" s="70"/>
      <c r="AT936" s="68"/>
      <c r="AU936" s="70"/>
      <c r="AV936" s="70"/>
      <c r="AW936" s="71"/>
      <c r="AX936" s="71"/>
      <c r="AY936" s="70"/>
      <c r="AZ936" s="76"/>
      <c r="BA936" s="76"/>
      <c r="BB936" s="76"/>
      <c r="BC936" s="78"/>
    </row>
    <row r="937" spans="1:55" x14ac:dyDescent="0.25">
      <c r="A937" s="68"/>
      <c r="B937" s="68"/>
      <c r="C937" s="68"/>
      <c r="D937" s="70"/>
      <c r="E937" s="70"/>
      <c r="F937" s="70"/>
      <c r="G937" s="72"/>
      <c r="H937" s="74"/>
      <c r="I937" s="74"/>
      <c r="J937" s="75"/>
      <c r="K937" s="81"/>
      <c r="L937" s="76"/>
      <c r="M937" s="76"/>
      <c r="N937" s="76"/>
      <c r="O937" s="71"/>
      <c r="P937" s="70"/>
      <c r="Q937" s="71"/>
      <c r="R937" s="71"/>
      <c r="S937" s="70"/>
      <c r="T937" s="71"/>
      <c r="U937" s="71"/>
      <c r="V937" s="75"/>
      <c r="W937" s="69"/>
      <c r="X937" s="69"/>
      <c r="Y937" s="69"/>
      <c r="Z937" s="69"/>
      <c r="AA937" s="69"/>
      <c r="AB937" s="69"/>
      <c r="AC937" s="69"/>
      <c r="AD937" s="69"/>
      <c r="AE937" s="76"/>
      <c r="AF937" s="71"/>
      <c r="AG937" s="71"/>
      <c r="AH937" s="71"/>
      <c r="AI937" s="71"/>
      <c r="AJ937" s="71"/>
      <c r="AK937" s="71"/>
      <c r="AL937" s="71"/>
      <c r="AM937" s="71"/>
      <c r="AN937" s="68"/>
      <c r="AO937" s="68"/>
      <c r="AP937" s="70"/>
      <c r="AQ937" s="71"/>
      <c r="AR937" s="77"/>
      <c r="AS937" s="70"/>
      <c r="AT937" s="68"/>
      <c r="AU937" s="70"/>
      <c r="AV937" s="70"/>
      <c r="AW937" s="71"/>
      <c r="AX937" s="71"/>
      <c r="AY937" s="70"/>
      <c r="AZ937" s="76"/>
      <c r="BA937" s="76"/>
      <c r="BB937" s="76"/>
      <c r="BC937" s="78"/>
    </row>
    <row r="938" spans="1:55" x14ac:dyDescent="0.25">
      <c r="A938" s="68"/>
      <c r="B938" s="68"/>
      <c r="C938" s="68"/>
      <c r="D938" s="70"/>
      <c r="E938" s="70"/>
      <c r="F938" s="70"/>
      <c r="G938" s="72"/>
      <c r="H938" s="74"/>
      <c r="I938" s="74"/>
      <c r="J938" s="75"/>
      <c r="K938" s="81"/>
      <c r="L938" s="76"/>
      <c r="M938" s="76"/>
      <c r="N938" s="76"/>
      <c r="O938" s="71"/>
      <c r="P938" s="70"/>
      <c r="Q938" s="71"/>
      <c r="R938" s="71"/>
      <c r="S938" s="70"/>
      <c r="T938" s="71"/>
      <c r="U938" s="71"/>
      <c r="V938" s="75"/>
      <c r="W938" s="69"/>
      <c r="X938" s="69"/>
      <c r="Y938" s="69"/>
      <c r="Z938" s="69"/>
      <c r="AA938" s="69"/>
      <c r="AB938" s="69"/>
      <c r="AC938" s="69"/>
      <c r="AD938" s="69"/>
      <c r="AE938" s="76"/>
      <c r="AF938" s="71"/>
      <c r="AG938" s="71"/>
      <c r="AH938" s="71"/>
      <c r="AI938" s="71"/>
      <c r="AJ938" s="71"/>
      <c r="AK938" s="71"/>
      <c r="AL938" s="71"/>
      <c r="AM938" s="71"/>
      <c r="AN938" s="68"/>
      <c r="AO938" s="68"/>
      <c r="AP938" s="70"/>
      <c r="AQ938" s="71"/>
      <c r="AR938" s="77"/>
      <c r="AS938" s="70"/>
      <c r="AT938" s="68"/>
      <c r="AU938" s="70"/>
      <c r="AV938" s="70"/>
      <c r="AW938" s="71"/>
      <c r="AX938" s="71"/>
      <c r="AY938" s="70"/>
      <c r="AZ938" s="76"/>
      <c r="BA938" s="76"/>
      <c r="BB938" s="76"/>
      <c r="BC938" s="78"/>
    </row>
    <row r="939" spans="1:55" x14ac:dyDescent="0.25">
      <c r="A939" s="68"/>
      <c r="B939" s="68"/>
      <c r="C939" s="68"/>
      <c r="D939" s="70"/>
      <c r="E939" s="70"/>
      <c r="F939" s="70"/>
      <c r="G939" s="72"/>
      <c r="H939" s="74"/>
      <c r="I939" s="74"/>
      <c r="J939" s="75"/>
      <c r="K939" s="81"/>
      <c r="L939" s="76"/>
      <c r="M939" s="76"/>
      <c r="N939" s="76"/>
      <c r="O939" s="71"/>
      <c r="P939" s="70"/>
      <c r="Q939" s="71"/>
      <c r="R939" s="71"/>
      <c r="S939" s="70"/>
      <c r="T939" s="71"/>
      <c r="U939" s="71"/>
      <c r="V939" s="75"/>
      <c r="W939" s="69"/>
      <c r="X939" s="69"/>
      <c r="Y939" s="69"/>
      <c r="Z939" s="69"/>
      <c r="AA939" s="69"/>
      <c r="AB939" s="69"/>
      <c r="AC939" s="69"/>
      <c r="AD939" s="69"/>
      <c r="AE939" s="76"/>
      <c r="AF939" s="71"/>
      <c r="AG939" s="71"/>
      <c r="AH939" s="71"/>
      <c r="AI939" s="71"/>
      <c r="AJ939" s="71"/>
      <c r="AK939" s="71"/>
      <c r="AL939" s="71"/>
      <c r="AM939" s="71"/>
      <c r="AN939" s="68"/>
      <c r="AO939" s="68"/>
      <c r="AP939" s="70"/>
      <c r="AQ939" s="71"/>
      <c r="AR939" s="77"/>
      <c r="AS939" s="70"/>
      <c r="AT939" s="68"/>
      <c r="AU939" s="70"/>
      <c r="AV939" s="70"/>
      <c r="AW939" s="71"/>
      <c r="AX939" s="71"/>
      <c r="AY939" s="70"/>
      <c r="AZ939" s="76"/>
      <c r="BA939" s="76"/>
      <c r="BB939" s="76"/>
      <c r="BC939" s="78"/>
    </row>
    <row r="940" spans="1:55" x14ac:dyDescent="0.25">
      <c r="A940" s="68"/>
      <c r="B940" s="68"/>
      <c r="C940" s="68"/>
      <c r="D940" s="70"/>
      <c r="E940" s="70"/>
      <c r="F940" s="70"/>
      <c r="G940" s="72"/>
      <c r="H940" s="74"/>
      <c r="I940" s="74"/>
      <c r="J940" s="75"/>
      <c r="K940" s="81"/>
      <c r="L940" s="76"/>
      <c r="M940" s="76"/>
      <c r="N940" s="76"/>
      <c r="O940" s="71"/>
      <c r="P940" s="70"/>
      <c r="Q940" s="71"/>
      <c r="R940" s="71"/>
      <c r="S940" s="70"/>
      <c r="T940" s="71"/>
      <c r="U940" s="71"/>
      <c r="V940" s="75"/>
      <c r="W940" s="69"/>
      <c r="X940" s="69"/>
      <c r="Y940" s="69"/>
      <c r="Z940" s="69"/>
      <c r="AA940" s="69"/>
      <c r="AB940" s="69"/>
      <c r="AC940" s="69"/>
      <c r="AD940" s="69"/>
      <c r="AE940" s="76"/>
      <c r="AF940" s="71"/>
      <c r="AG940" s="71"/>
      <c r="AH940" s="71"/>
      <c r="AI940" s="71"/>
      <c r="AJ940" s="71"/>
      <c r="AK940" s="71"/>
      <c r="AL940" s="71"/>
      <c r="AM940" s="71"/>
      <c r="AN940" s="68"/>
      <c r="AO940" s="68"/>
      <c r="AP940" s="70"/>
      <c r="AQ940" s="71"/>
      <c r="AR940" s="77"/>
      <c r="AS940" s="70"/>
      <c r="AT940" s="68"/>
      <c r="AU940" s="70"/>
      <c r="AV940" s="70"/>
      <c r="AW940" s="71"/>
      <c r="AX940" s="71"/>
      <c r="AY940" s="70"/>
      <c r="AZ940" s="76"/>
      <c r="BA940" s="76"/>
      <c r="BB940" s="76"/>
      <c r="BC940" s="78"/>
    </row>
    <row r="941" spans="1:55" x14ac:dyDescent="0.25">
      <c r="A941" s="68"/>
      <c r="B941" s="68"/>
      <c r="C941" s="68"/>
      <c r="D941" s="70"/>
      <c r="E941" s="70"/>
      <c r="F941" s="70"/>
      <c r="G941" s="72"/>
      <c r="H941" s="74"/>
      <c r="I941" s="74"/>
      <c r="J941" s="75"/>
      <c r="K941" s="81"/>
      <c r="L941" s="76"/>
      <c r="M941" s="76"/>
      <c r="N941" s="76"/>
      <c r="O941" s="71"/>
      <c r="P941" s="70"/>
      <c r="Q941" s="71"/>
      <c r="R941" s="71"/>
      <c r="S941" s="70"/>
      <c r="T941" s="71"/>
      <c r="U941" s="71"/>
      <c r="V941" s="75"/>
      <c r="W941" s="69"/>
      <c r="X941" s="69"/>
      <c r="Y941" s="69"/>
      <c r="Z941" s="69"/>
      <c r="AA941" s="69"/>
      <c r="AB941" s="69"/>
      <c r="AC941" s="69"/>
      <c r="AD941" s="69"/>
      <c r="AE941" s="76"/>
      <c r="AF941" s="71"/>
      <c r="AG941" s="71"/>
      <c r="AH941" s="71"/>
      <c r="AI941" s="71"/>
      <c r="AJ941" s="71"/>
      <c r="AK941" s="71"/>
      <c r="AL941" s="71"/>
      <c r="AM941" s="71"/>
      <c r="AN941" s="68"/>
      <c r="AO941" s="68"/>
      <c r="AP941" s="70"/>
      <c r="AQ941" s="71"/>
      <c r="AR941" s="77"/>
      <c r="AS941" s="70"/>
      <c r="AT941" s="68"/>
      <c r="AU941" s="70"/>
      <c r="AV941" s="70"/>
      <c r="AW941" s="71"/>
      <c r="AX941" s="71"/>
      <c r="AY941" s="70"/>
      <c r="AZ941" s="76"/>
      <c r="BA941" s="76"/>
      <c r="BB941" s="76"/>
      <c r="BC941" s="78"/>
    </row>
    <row r="942" spans="1:55" x14ac:dyDescent="0.25">
      <c r="A942" s="68"/>
      <c r="B942" s="68"/>
      <c r="C942" s="68"/>
      <c r="D942" s="70"/>
      <c r="E942" s="70"/>
      <c r="F942" s="70"/>
      <c r="G942" s="72"/>
      <c r="H942" s="74"/>
      <c r="I942" s="74"/>
      <c r="J942" s="75"/>
      <c r="K942" s="81"/>
      <c r="L942" s="76"/>
      <c r="M942" s="76"/>
      <c r="N942" s="76"/>
      <c r="O942" s="71"/>
      <c r="P942" s="70"/>
      <c r="Q942" s="71"/>
      <c r="R942" s="71"/>
      <c r="S942" s="70"/>
      <c r="T942" s="71"/>
      <c r="U942" s="71"/>
      <c r="V942" s="75"/>
      <c r="W942" s="69"/>
      <c r="X942" s="69"/>
      <c r="Y942" s="69"/>
      <c r="Z942" s="69"/>
      <c r="AA942" s="69"/>
      <c r="AB942" s="69"/>
      <c r="AC942" s="69"/>
      <c r="AD942" s="69"/>
      <c r="AE942" s="76"/>
      <c r="AF942" s="71"/>
      <c r="AG942" s="71"/>
      <c r="AH942" s="71"/>
      <c r="AI942" s="71"/>
      <c r="AJ942" s="71"/>
      <c r="AK942" s="71"/>
      <c r="AL942" s="71"/>
      <c r="AM942" s="71"/>
      <c r="AN942" s="68"/>
      <c r="AO942" s="68"/>
      <c r="AP942" s="70"/>
      <c r="AQ942" s="71"/>
      <c r="AR942" s="77"/>
      <c r="AS942" s="70"/>
      <c r="AT942" s="68"/>
      <c r="AU942" s="70"/>
      <c r="AV942" s="70"/>
      <c r="AW942" s="71"/>
      <c r="AX942" s="71"/>
      <c r="AY942" s="70"/>
      <c r="AZ942" s="76"/>
      <c r="BA942" s="76"/>
      <c r="BB942" s="76"/>
      <c r="BC942" s="78"/>
    </row>
    <row r="943" spans="1:55" x14ac:dyDescent="0.25">
      <c r="A943" s="68"/>
      <c r="B943" s="68"/>
      <c r="C943" s="68"/>
      <c r="D943" s="70"/>
      <c r="E943" s="70"/>
      <c r="F943" s="70"/>
      <c r="G943" s="72"/>
      <c r="H943" s="74"/>
      <c r="I943" s="74"/>
      <c r="J943" s="75"/>
      <c r="K943" s="81"/>
      <c r="L943" s="76"/>
      <c r="M943" s="76"/>
      <c r="N943" s="76"/>
      <c r="O943" s="71"/>
      <c r="P943" s="70"/>
      <c r="Q943" s="71"/>
      <c r="R943" s="71"/>
      <c r="S943" s="70"/>
      <c r="T943" s="71"/>
      <c r="U943" s="71"/>
      <c r="V943" s="75"/>
      <c r="W943" s="69"/>
      <c r="X943" s="69"/>
      <c r="Y943" s="69"/>
      <c r="Z943" s="69"/>
      <c r="AA943" s="69"/>
      <c r="AB943" s="69"/>
      <c r="AC943" s="69"/>
      <c r="AD943" s="69"/>
      <c r="AE943" s="76"/>
      <c r="AF943" s="71"/>
      <c r="AG943" s="71"/>
      <c r="AH943" s="71"/>
      <c r="AI943" s="71"/>
      <c r="AJ943" s="71"/>
      <c r="AK943" s="71"/>
      <c r="AL943" s="71"/>
      <c r="AM943" s="71"/>
      <c r="AN943" s="68"/>
      <c r="AO943" s="68"/>
      <c r="AP943" s="70"/>
      <c r="AQ943" s="71"/>
      <c r="AR943" s="77"/>
      <c r="AS943" s="70"/>
      <c r="AT943" s="68"/>
      <c r="AU943" s="70"/>
      <c r="AV943" s="70"/>
      <c r="AW943" s="71"/>
      <c r="AX943" s="71"/>
      <c r="AY943" s="70"/>
      <c r="AZ943" s="76"/>
      <c r="BA943" s="76"/>
      <c r="BB943" s="76"/>
      <c r="BC943" s="78"/>
    </row>
    <row r="944" spans="1:55" x14ac:dyDescent="0.25">
      <c r="A944" s="68"/>
      <c r="B944" s="68"/>
      <c r="C944" s="68"/>
      <c r="D944" s="70"/>
      <c r="E944" s="70"/>
      <c r="F944" s="70"/>
      <c r="G944" s="72"/>
      <c r="H944" s="74"/>
      <c r="I944" s="74"/>
      <c r="J944" s="75"/>
      <c r="K944" s="81"/>
      <c r="L944" s="76"/>
      <c r="M944" s="76"/>
      <c r="N944" s="76"/>
      <c r="O944" s="71"/>
      <c r="P944" s="70"/>
      <c r="Q944" s="71"/>
      <c r="R944" s="71"/>
      <c r="S944" s="70"/>
      <c r="T944" s="71"/>
      <c r="U944" s="71"/>
      <c r="V944" s="75"/>
      <c r="W944" s="69"/>
      <c r="X944" s="69"/>
      <c r="Y944" s="69"/>
      <c r="Z944" s="69"/>
      <c r="AA944" s="69"/>
      <c r="AB944" s="69"/>
      <c r="AC944" s="69"/>
      <c r="AD944" s="69"/>
      <c r="AE944" s="76"/>
      <c r="AF944" s="71"/>
      <c r="AG944" s="71"/>
      <c r="AH944" s="71"/>
      <c r="AI944" s="71"/>
      <c r="AJ944" s="71"/>
      <c r="AK944" s="71"/>
      <c r="AL944" s="71"/>
      <c r="AM944" s="71"/>
      <c r="AN944" s="68"/>
      <c r="AO944" s="68"/>
      <c r="AP944" s="70"/>
      <c r="AQ944" s="71"/>
      <c r="AR944" s="77"/>
      <c r="AS944" s="70"/>
      <c r="AT944" s="68"/>
      <c r="AU944" s="70"/>
      <c r="AV944" s="70"/>
      <c r="AW944" s="71"/>
      <c r="AX944" s="71"/>
      <c r="AY944" s="70"/>
      <c r="AZ944" s="76"/>
      <c r="BA944" s="76"/>
      <c r="BB944" s="76"/>
      <c r="BC944" s="78"/>
    </row>
    <row r="945" spans="1:55" x14ac:dyDescent="0.25">
      <c r="A945" s="68"/>
      <c r="B945" s="68"/>
      <c r="C945" s="68"/>
      <c r="D945" s="70"/>
      <c r="E945" s="70"/>
      <c r="F945" s="70"/>
      <c r="G945" s="72"/>
      <c r="H945" s="74"/>
      <c r="I945" s="74"/>
      <c r="J945" s="75"/>
      <c r="K945" s="81"/>
      <c r="L945" s="76"/>
      <c r="M945" s="76"/>
      <c r="N945" s="76"/>
      <c r="O945" s="71"/>
      <c r="P945" s="70"/>
      <c r="Q945" s="71"/>
      <c r="R945" s="71"/>
      <c r="S945" s="70"/>
      <c r="T945" s="71"/>
      <c r="U945" s="71"/>
      <c r="V945" s="75"/>
      <c r="W945" s="69"/>
      <c r="X945" s="69"/>
      <c r="Y945" s="69"/>
      <c r="Z945" s="69"/>
      <c r="AA945" s="69"/>
      <c r="AB945" s="69"/>
      <c r="AC945" s="69"/>
      <c r="AD945" s="69"/>
      <c r="AE945" s="76"/>
      <c r="AF945" s="71"/>
      <c r="AG945" s="71"/>
      <c r="AH945" s="71"/>
      <c r="AI945" s="71"/>
      <c r="AJ945" s="71"/>
      <c r="AK945" s="71"/>
      <c r="AL945" s="71"/>
      <c r="AM945" s="71"/>
      <c r="AN945" s="68"/>
      <c r="AO945" s="68"/>
      <c r="AP945" s="70"/>
      <c r="AQ945" s="71"/>
      <c r="AR945" s="77"/>
      <c r="AS945" s="70"/>
      <c r="AT945" s="68"/>
      <c r="AU945" s="70"/>
      <c r="AV945" s="70"/>
      <c r="AW945" s="71"/>
      <c r="AX945" s="71"/>
      <c r="AY945" s="70"/>
      <c r="AZ945" s="76"/>
      <c r="BA945" s="76"/>
      <c r="BB945" s="76"/>
      <c r="BC945" s="78"/>
    </row>
    <row r="946" spans="1:55" x14ac:dyDescent="0.25">
      <c r="A946" s="68"/>
      <c r="B946" s="68"/>
      <c r="C946" s="68"/>
      <c r="D946" s="70"/>
      <c r="E946" s="70"/>
      <c r="F946" s="70"/>
      <c r="G946" s="72"/>
      <c r="H946" s="74"/>
      <c r="I946" s="74"/>
      <c r="J946" s="75"/>
      <c r="K946" s="81"/>
      <c r="L946" s="76"/>
      <c r="M946" s="76"/>
      <c r="N946" s="76"/>
      <c r="O946" s="71"/>
      <c r="P946" s="70"/>
      <c r="Q946" s="71"/>
      <c r="R946" s="71"/>
      <c r="S946" s="70"/>
      <c r="T946" s="71"/>
      <c r="U946" s="71"/>
      <c r="V946" s="75"/>
      <c r="W946" s="69"/>
      <c r="X946" s="69"/>
      <c r="Y946" s="69"/>
      <c r="Z946" s="69"/>
      <c r="AA946" s="69"/>
      <c r="AB946" s="69"/>
      <c r="AC946" s="69"/>
      <c r="AD946" s="69"/>
      <c r="AE946" s="76"/>
      <c r="AF946" s="71"/>
      <c r="AG946" s="71"/>
      <c r="AH946" s="71"/>
      <c r="AI946" s="71"/>
      <c r="AJ946" s="71"/>
      <c r="AK946" s="71"/>
      <c r="AL946" s="71"/>
      <c r="AM946" s="71"/>
      <c r="AN946" s="68"/>
      <c r="AO946" s="68"/>
      <c r="AP946" s="70"/>
      <c r="AQ946" s="71"/>
      <c r="AR946" s="77"/>
      <c r="AS946" s="70"/>
      <c r="AT946" s="68"/>
      <c r="AU946" s="70"/>
      <c r="AV946" s="70"/>
      <c r="AW946" s="71"/>
      <c r="AX946" s="71"/>
      <c r="AY946" s="70"/>
      <c r="AZ946" s="76"/>
      <c r="BA946" s="76"/>
      <c r="BB946" s="76"/>
      <c r="BC946" s="78"/>
    </row>
    <row r="947" spans="1:55" x14ac:dyDescent="0.25">
      <c r="A947" s="68"/>
      <c r="B947" s="68"/>
      <c r="C947" s="68"/>
      <c r="D947" s="70"/>
      <c r="E947" s="70"/>
      <c r="F947" s="70"/>
      <c r="G947" s="72"/>
      <c r="H947" s="74"/>
      <c r="I947" s="74"/>
      <c r="J947" s="75"/>
      <c r="K947" s="81"/>
      <c r="L947" s="76"/>
      <c r="M947" s="76"/>
      <c r="N947" s="76"/>
      <c r="O947" s="71"/>
      <c r="P947" s="70"/>
      <c r="Q947" s="71"/>
      <c r="R947" s="71"/>
      <c r="S947" s="70"/>
      <c r="T947" s="71"/>
      <c r="U947" s="71"/>
      <c r="V947" s="75"/>
      <c r="W947" s="69"/>
      <c r="X947" s="69"/>
      <c r="Y947" s="69"/>
      <c r="Z947" s="69"/>
      <c r="AA947" s="69"/>
      <c r="AB947" s="69"/>
      <c r="AC947" s="69"/>
      <c r="AD947" s="69"/>
      <c r="AE947" s="76"/>
      <c r="AF947" s="71"/>
      <c r="AG947" s="71"/>
      <c r="AH947" s="71"/>
      <c r="AI947" s="71"/>
      <c r="AJ947" s="71"/>
      <c r="AK947" s="71"/>
      <c r="AL947" s="71"/>
      <c r="AM947" s="71"/>
      <c r="AN947" s="68"/>
      <c r="AO947" s="68"/>
      <c r="AP947" s="70"/>
      <c r="AQ947" s="71"/>
      <c r="AR947" s="77"/>
      <c r="AS947" s="70"/>
      <c r="AT947" s="68"/>
      <c r="AU947" s="70"/>
      <c r="AV947" s="70"/>
      <c r="AW947" s="71"/>
      <c r="AX947" s="71"/>
      <c r="AY947" s="70"/>
      <c r="AZ947" s="76"/>
      <c r="BA947" s="76"/>
      <c r="BB947" s="76"/>
      <c r="BC947" s="78"/>
    </row>
    <row r="948" spans="1:55" x14ac:dyDescent="0.25">
      <c r="A948" s="68"/>
      <c r="B948" s="68"/>
      <c r="C948" s="68"/>
      <c r="D948" s="70"/>
      <c r="E948" s="70"/>
      <c r="F948" s="70"/>
      <c r="G948" s="72"/>
      <c r="H948" s="74"/>
      <c r="I948" s="74"/>
      <c r="J948" s="75"/>
      <c r="K948" s="81"/>
      <c r="L948" s="76"/>
      <c r="M948" s="76"/>
      <c r="N948" s="76"/>
      <c r="O948" s="71"/>
      <c r="P948" s="70"/>
      <c r="Q948" s="71"/>
      <c r="R948" s="71"/>
      <c r="S948" s="70"/>
      <c r="T948" s="71"/>
      <c r="U948" s="71"/>
      <c r="V948" s="75"/>
      <c r="W948" s="69"/>
      <c r="X948" s="69"/>
      <c r="Y948" s="69"/>
      <c r="Z948" s="69"/>
      <c r="AA948" s="69"/>
      <c r="AB948" s="69"/>
      <c r="AC948" s="69"/>
      <c r="AD948" s="69"/>
      <c r="AE948" s="76"/>
      <c r="AF948" s="71"/>
      <c r="AG948" s="71"/>
      <c r="AH948" s="71"/>
      <c r="AI948" s="71"/>
      <c r="AJ948" s="71"/>
      <c r="AK948" s="71"/>
      <c r="AL948" s="71"/>
      <c r="AM948" s="71"/>
      <c r="AN948" s="68"/>
      <c r="AO948" s="68"/>
      <c r="AP948" s="70"/>
      <c r="AQ948" s="71"/>
      <c r="AR948" s="77"/>
      <c r="AS948" s="70"/>
      <c r="AT948" s="68"/>
      <c r="AU948" s="70"/>
      <c r="AV948" s="70"/>
      <c r="AW948" s="71"/>
      <c r="AX948" s="71"/>
      <c r="AY948" s="70"/>
      <c r="AZ948" s="76"/>
      <c r="BA948" s="76"/>
      <c r="BB948" s="76"/>
      <c r="BC948" s="78"/>
    </row>
    <row r="949" spans="1:55" x14ac:dyDescent="0.25">
      <c r="A949" s="68"/>
      <c r="B949" s="68"/>
      <c r="C949" s="68"/>
      <c r="D949" s="70"/>
      <c r="E949" s="70"/>
      <c r="F949" s="70"/>
      <c r="G949" s="72"/>
      <c r="H949" s="74"/>
      <c r="I949" s="74"/>
      <c r="J949" s="75"/>
      <c r="K949" s="81"/>
      <c r="L949" s="76"/>
      <c r="M949" s="76"/>
      <c r="N949" s="76"/>
      <c r="O949" s="71"/>
      <c r="P949" s="70"/>
      <c r="Q949" s="71"/>
      <c r="R949" s="71"/>
      <c r="S949" s="70"/>
      <c r="T949" s="71"/>
      <c r="U949" s="71"/>
      <c r="V949" s="75"/>
      <c r="W949" s="69"/>
      <c r="X949" s="69"/>
      <c r="Y949" s="69"/>
      <c r="Z949" s="69"/>
      <c r="AA949" s="69"/>
      <c r="AB949" s="69"/>
      <c r="AC949" s="69"/>
      <c r="AD949" s="69"/>
      <c r="AE949" s="76"/>
      <c r="AF949" s="71"/>
      <c r="AG949" s="71"/>
      <c r="AH949" s="71"/>
      <c r="AI949" s="71"/>
      <c r="AJ949" s="71"/>
      <c r="AK949" s="71"/>
      <c r="AL949" s="71"/>
      <c r="AM949" s="71"/>
      <c r="AN949" s="68"/>
      <c r="AO949" s="68"/>
      <c r="AP949" s="70"/>
      <c r="AQ949" s="71"/>
      <c r="AR949" s="77"/>
      <c r="AS949" s="70"/>
      <c r="AT949" s="68"/>
      <c r="AU949" s="70"/>
      <c r="AV949" s="70"/>
      <c r="AW949" s="71"/>
      <c r="AX949" s="71"/>
      <c r="AY949" s="70"/>
      <c r="AZ949" s="76"/>
      <c r="BA949" s="76"/>
      <c r="BB949" s="76"/>
      <c r="BC949" s="78"/>
    </row>
    <row r="950" spans="1:55" x14ac:dyDescent="0.25">
      <c r="A950" s="68"/>
      <c r="B950" s="68"/>
      <c r="C950" s="68"/>
      <c r="D950" s="70"/>
      <c r="E950" s="70"/>
      <c r="F950" s="70"/>
      <c r="G950" s="72"/>
      <c r="H950" s="74"/>
      <c r="I950" s="74"/>
      <c r="J950" s="75"/>
      <c r="K950" s="81"/>
      <c r="L950" s="76"/>
      <c r="M950" s="76"/>
      <c r="N950" s="76"/>
      <c r="O950" s="71"/>
      <c r="P950" s="70"/>
      <c r="Q950" s="71"/>
      <c r="R950" s="71"/>
      <c r="S950" s="70"/>
      <c r="T950" s="71"/>
      <c r="U950" s="71"/>
      <c r="V950" s="75"/>
      <c r="W950" s="69"/>
      <c r="X950" s="69"/>
      <c r="Y950" s="69"/>
      <c r="Z950" s="69"/>
      <c r="AA950" s="69"/>
      <c r="AB950" s="69"/>
      <c r="AC950" s="69"/>
      <c r="AD950" s="69"/>
      <c r="AE950" s="76"/>
      <c r="AF950" s="71"/>
      <c r="AG950" s="71"/>
      <c r="AH950" s="71"/>
      <c r="AI950" s="71"/>
      <c r="AJ950" s="71"/>
      <c r="AK950" s="71"/>
      <c r="AL950" s="71"/>
      <c r="AM950" s="71"/>
      <c r="AN950" s="68"/>
      <c r="AO950" s="68"/>
      <c r="AP950" s="70"/>
      <c r="AQ950" s="71"/>
      <c r="AR950" s="77"/>
      <c r="AS950" s="70"/>
      <c r="AT950" s="68"/>
      <c r="AU950" s="70"/>
      <c r="AV950" s="70"/>
      <c r="AW950" s="71"/>
      <c r="AX950" s="71"/>
      <c r="AY950" s="70"/>
      <c r="AZ950" s="76"/>
      <c r="BA950" s="76"/>
      <c r="BB950" s="76"/>
      <c r="BC950" s="78"/>
    </row>
    <row r="951" spans="1:55" x14ac:dyDescent="0.25">
      <c r="A951" s="68"/>
      <c r="B951" s="68"/>
      <c r="C951" s="68"/>
      <c r="D951" s="70"/>
      <c r="E951" s="70"/>
      <c r="F951" s="70"/>
      <c r="G951" s="72"/>
      <c r="H951" s="74"/>
      <c r="I951" s="74"/>
      <c r="J951" s="75"/>
      <c r="K951" s="81"/>
      <c r="L951" s="76"/>
      <c r="M951" s="76"/>
      <c r="N951" s="76"/>
      <c r="O951" s="71"/>
      <c r="P951" s="70"/>
      <c r="Q951" s="71"/>
      <c r="R951" s="71"/>
      <c r="S951" s="70"/>
      <c r="T951" s="71"/>
      <c r="U951" s="71"/>
      <c r="V951" s="75"/>
      <c r="W951" s="69"/>
      <c r="X951" s="69"/>
      <c r="Y951" s="69"/>
      <c r="Z951" s="69"/>
      <c r="AA951" s="69"/>
      <c r="AB951" s="69"/>
      <c r="AC951" s="69"/>
      <c r="AD951" s="69"/>
      <c r="AE951" s="76"/>
      <c r="AF951" s="71"/>
      <c r="AG951" s="71"/>
      <c r="AH951" s="71"/>
      <c r="AI951" s="71"/>
      <c r="AJ951" s="71"/>
      <c r="AK951" s="71"/>
      <c r="AL951" s="71"/>
      <c r="AM951" s="71"/>
      <c r="AN951" s="68"/>
      <c r="AO951" s="68"/>
      <c r="AP951" s="70"/>
      <c r="AQ951" s="71"/>
      <c r="AR951" s="77"/>
      <c r="AS951" s="70"/>
      <c r="AT951" s="68"/>
      <c r="AU951" s="70"/>
      <c r="AV951" s="70"/>
      <c r="AW951" s="71"/>
      <c r="AX951" s="71"/>
      <c r="AY951" s="70"/>
      <c r="AZ951" s="76"/>
      <c r="BA951" s="76"/>
      <c r="BB951" s="76"/>
      <c r="BC951" s="78"/>
    </row>
    <row r="952" spans="1:55" x14ac:dyDescent="0.25">
      <c r="A952" s="68"/>
      <c r="B952" s="68"/>
      <c r="C952" s="68"/>
      <c r="D952" s="70"/>
      <c r="E952" s="70"/>
      <c r="F952" s="70"/>
      <c r="G952" s="72"/>
      <c r="H952" s="74"/>
      <c r="I952" s="74"/>
      <c r="J952" s="75"/>
      <c r="K952" s="81"/>
      <c r="L952" s="76"/>
      <c r="M952" s="76"/>
      <c r="N952" s="76"/>
      <c r="O952" s="71"/>
      <c r="P952" s="70"/>
      <c r="Q952" s="71"/>
      <c r="R952" s="71"/>
      <c r="S952" s="70"/>
      <c r="T952" s="71"/>
      <c r="U952" s="71"/>
      <c r="V952" s="75"/>
      <c r="W952" s="69"/>
      <c r="X952" s="69"/>
      <c r="Y952" s="69"/>
      <c r="Z952" s="69"/>
      <c r="AA952" s="69"/>
      <c r="AB952" s="69"/>
      <c r="AC952" s="69"/>
      <c r="AD952" s="69"/>
      <c r="AE952" s="76"/>
      <c r="AF952" s="71"/>
      <c r="AG952" s="71"/>
      <c r="AH952" s="71"/>
      <c r="AI952" s="71"/>
      <c r="AJ952" s="71"/>
      <c r="AK952" s="71"/>
      <c r="AL952" s="71"/>
      <c r="AM952" s="71"/>
      <c r="AN952" s="68"/>
      <c r="AO952" s="68"/>
      <c r="AP952" s="70"/>
      <c r="AQ952" s="71"/>
      <c r="AR952" s="77"/>
      <c r="AS952" s="70"/>
      <c r="AT952" s="68"/>
      <c r="AU952" s="70"/>
      <c r="AV952" s="70"/>
      <c r="AW952" s="71"/>
      <c r="AX952" s="71"/>
      <c r="AY952" s="70"/>
      <c r="AZ952" s="76"/>
      <c r="BA952" s="76"/>
      <c r="BB952" s="76"/>
      <c r="BC952" s="78"/>
    </row>
    <row r="953" spans="1:55" x14ac:dyDescent="0.25">
      <c r="A953" s="68"/>
      <c r="B953" s="68"/>
      <c r="C953" s="68"/>
      <c r="D953" s="70"/>
      <c r="E953" s="70"/>
      <c r="F953" s="70"/>
      <c r="G953" s="72"/>
      <c r="H953" s="74"/>
      <c r="I953" s="74"/>
      <c r="J953" s="75"/>
      <c r="K953" s="81"/>
      <c r="L953" s="76"/>
      <c r="M953" s="76"/>
      <c r="N953" s="76"/>
      <c r="O953" s="71"/>
      <c r="P953" s="70"/>
      <c r="Q953" s="71"/>
      <c r="R953" s="71"/>
      <c r="S953" s="70"/>
      <c r="T953" s="71"/>
      <c r="U953" s="71"/>
      <c r="V953" s="75"/>
      <c r="W953" s="69"/>
      <c r="X953" s="69"/>
      <c r="Y953" s="69"/>
      <c r="Z953" s="69"/>
      <c r="AA953" s="69"/>
      <c r="AB953" s="69"/>
      <c r="AC953" s="69"/>
      <c r="AD953" s="69"/>
      <c r="AE953" s="76"/>
      <c r="AF953" s="71"/>
      <c r="AG953" s="71"/>
      <c r="AH953" s="71"/>
      <c r="AI953" s="71"/>
      <c r="AJ953" s="71"/>
      <c r="AK953" s="71"/>
      <c r="AL953" s="71"/>
      <c r="AM953" s="71"/>
      <c r="AN953" s="68"/>
      <c r="AO953" s="68"/>
      <c r="AP953" s="70"/>
      <c r="AQ953" s="71"/>
      <c r="AR953" s="77"/>
      <c r="AS953" s="70"/>
      <c r="AT953" s="68"/>
      <c r="AU953" s="70"/>
      <c r="AV953" s="70"/>
      <c r="AW953" s="71"/>
      <c r="AX953" s="71"/>
      <c r="AY953" s="70"/>
      <c r="AZ953" s="76"/>
      <c r="BA953" s="76"/>
      <c r="BB953" s="76"/>
      <c r="BC953" s="78"/>
    </row>
    <row r="954" spans="1:55" x14ac:dyDescent="0.25">
      <c r="A954" s="68"/>
      <c r="B954" s="68"/>
      <c r="C954" s="68"/>
      <c r="D954" s="70"/>
      <c r="E954" s="70"/>
      <c r="F954" s="70"/>
      <c r="G954" s="72"/>
      <c r="H954" s="74"/>
      <c r="I954" s="74"/>
      <c r="J954" s="75"/>
      <c r="K954" s="81"/>
      <c r="L954" s="76"/>
      <c r="M954" s="76"/>
      <c r="N954" s="76"/>
      <c r="O954" s="71"/>
      <c r="P954" s="70"/>
      <c r="Q954" s="71"/>
      <c r="R954" s="71"/>
      <c r="S954" s="70"/>
      <c r="T954" s="71"/>
      <c r="U954" s="71"/>
      <c r="V954" s="75"/>
      <c r="W954" s="69"/>
      <c r="X954" s="69"/>
      <c r="Y954" s="69"/>
      <c r="Z954" s="69"/>
      <c r="AA954" s="69"/>
      <c r="AB954" s="69"/>
      <c r="AC954" s="69"/>
      <c r="AD954" s="69"/>
      <c r="AE954" s="76"/>
      <c r="AF954" s="71"/>
      <c r="AG954" s="71"/>
      <c r="AH954" s="71"/>
      <c r="AI954" s="71"/>
      <c r="AJ954" s="71"/>
      <c r="AK954" s="71"/>
      <c r="AL954" s="71"/>
      <c r="AM954" s="71"/>
      <c r="AN954" s="68"/>
      <c r="AO954" s="68"/>
      <c r="AP954" s="70"/>
      <c r="AQ954" s="71"/>
      <c r="AR954" s="77"/>
      <c r="AS954" s="70"/>
      <c r="AT954" s="68"/>
      <c r="AU954" s="70"/>
      <c r="AV954" s="70"/>
      <c r="AW954" s="71"/>
      <c r="AX954" s="71"/>
      <c r="AY954" s="70"/>
      <c r="AZ954" s="76"/>
      <c r="BA954" s="76"/>
      <c r="BB954" s="76"/>
      <c r="BC954" s="78"/>
    </row>
    <row r="955" spans="1:55" x14ac:dyDescent="0.25">
      <c r="A955" s="68"/>
      <c r="B955" s="68"/>
      <c r="C955" s="68"/>
      <c r="D955" s="70"/>
      <c r="E955" s="70"/>
      <c r="F955" s="70"/>
      <c r="G955" s="72"/>
      <c r="H955" s="74"/>
      <c r="I955" s="74"/>
      <c r="J955" s="75"/>
      <c r="K955" s="81"/>
      <c r="L955" s="76"/>
      <c r="M955" s="76"/>
      <c r="N955" s="76"/>
      <c r="O955" s="71"/>
      <c r="P955" s="70"/>
      <c r="Q955" s="71"/>
      <c r="R955" s="71"/>
      <c r="S955" s="70"/>
      <c r="T955" s="71"/>
      <c r="U955" s="71"/>
      <c r="V955" s="75"/>
      <c r="W955" s="69"/>
      <c r="X955" s="69"/>
      <c r="Y955" s="69"/>
      <c r="Z955" s="69"/>
      <c r="AA955" s="69"/>
      <c r="AB955" s="69"/>
      <c r="AC955" s="69"/>
      <c r="AD955" s="69"/>
      <c r="AE955" s="76"/>
      <c r="AF955" s="71"/>
      <c r="AG955" s="71"/>
      <c r="AH955" s="71"/>
      <c r="AI955" s="71"/>
      <c r="AJ955" s="71"/>
      <c r="AK955" s="71"/>
      <c r="AL955" s="71"/>
      <c r="AM955" s="71"/>
      <c r="AN955" s="68"/>
      <c r="AO955" s="68"/>
      <c r="AP955" s="70"/>
      <c r="AQ955" s="71"/>
      <c r="AR955" s="77"/>
      <c r="AS955" s="70"/>
      <c r="AT955" s="68"/>
      <c r="AU955" s="70"/>
      <c r="AV955" s="70"/>
      <c r="AW955" s="71"/>
      <c r="AX955" s="71"/>
      <c r="AY955" s="70"/>
      <c r="AZ955" s="76"/>
      <c r="BA955" s="76"/>
      <c r="BB955" s="76"/>
      <c r="BC955" s="78"/>
    </row>
    <row r="956" spans="1:55" x14ac:dyDescent="0.25">
      <c r="A956" s="68"/>
      <c r="B956" s="68"/>
      <c r="C956" s="68"/>
      <c r="D956" s="70"/>
      <c r="E956" s="70"/>
      <c r="F956" s="70"/>
      <c r="G956" s="72"/>
      <c r="H956" s="74"/>
      <c r="I956" s="74"/>
      <c r="J956" s="75"/>
      <c r="K956" s="81"/>
      <c r="L956" s="76"/>
      <c r="M956" s="76"/>
      <c r="N956" s="76"/>
      <c r="O956" s="71"/>
      <c r="P956" s="70"/>
      <c r="Q956" s="71"/>
      <c r="R956" s="71"/>
      <c r="S956" s="70"/>
      <c r="T956" s="71"/>
      <c r="U956" s="71"/>
      <c r="V956" s="75"/>
      <c r="W956" s="69"/>
      <c r="X956" s="69"/>
      <c r="Y956" s="69"/>
      <c r="Z956" s="69"/>
      <c r="AA956" s="69"/>
      <c r="AB956" s="69"/>
      <c r="AC956" s="69"/>
      <c r="AD956" s="69"/>
      <c r="AE956" s="76"/>
      <c r="AF956" s="71"/>
      <c r="AG956" s="71"/>
      <c r="AH956" s="71"/>
      <c r="AI956" s="71"/>
      <c r="AJ956" s="71"/>
      <c r="AK956" s="71"/>
      <c r="AL956" s="71"/>
      <c r="AM956" s="71"/>
      <c r="AN956" s="68"/>
      <c r="AO956" s="68"/>
      <c r="AP956" s="70"/>
      <c r="AQ956" s="71"/>
      <c r="AR956" s="77"/>
      <c r="AS956" s="70"/>
      <c r="AT956" s="68"/>
      <c r="AU956" s="70"/>
      <c r="AV956" s="70"/>
      <c r="AW956" s="71"/>
      <c r="AX956" s="71"/>
      <c r="AY956" s="70"/>
      <c r="AZ956" s="76"/>
      <c r="BA956" s="76"/>
      <c r="BB956" s="76"/>
      <c r="BC956" s="78"/>
    </row>
    <row r="957" spans="1:55" x14ac:dyDescent="0.25">
      <c r="A957" s="68"/>
      <c r="B957" s="68"/>
      <c r="C957" s="68"/>
      <c r="D957" s="70"/>
      <c r="E957" s="70"/>
      <c r="F957" s="70"/>
      <c r="G957" s="72"/>
      <c r="H957" s="74"/>
      <c r="I957" s="74"/>
      <c r="J957" s="75"/>
      <c r="K957" s="81"/>
      <c r="L957" s="76"/>
      <c r="M957" s="76"/>
      <c r="N957" s="76"/>
      <c r="O957" s="71"/>
      <c r="P957" s="70"/>
      <c r="Q957" s="71"/>
      <c r="R957" s="71"/>
      <c r="S957" s="70"/>
      <c r="T957" s="71"/>
      <c r="U957" s="71"/>
      <c r="V957" s="75"/>
      <c r="W957" s="69"/>
      <c r="X957" s="69"/>
      <c r="Y957" s="69"/>
      <c r="Z957" s="69"/>
      <c r="AA957" s="69"/>
      <c r="AB957" s="69"/>
      <c r="AC957" s="69"/>
      <c r="AD957" s="69"/>
      <c r="AE957" s="76"/>
      <c r="AF957" s="71"/>
      <c r="AG957" s="71"/>
      <c r="AH957" s="71"/>
      <c r="AI957" s="71"/>
      <c r="AJ957" s="71"/>
      <c r="AK957" s="71"/>
      <c r="AL957" s="71"/>
      <c r="AM957" s="71"/>
      <c r="AN957" s="68"/>
      <c r="AO957" s="68"/>
      <c r="AP957" s="70"/>
      <c r="AQ957" s="71"/>
      <c r="AR957" s="77"/>
      <c r="AS957" s="70"/>
      <c r="AT957" s="68"/>
      <c r="AU957" s="70"/>
      <c r="AV957" s="70"/>
      <c r="AW957" s="71"/>
      <c r="AX957" s="71"/>
      <c r="AY957" s="70"/>
      <c r="AZ957" s="76"/>
      <c r="BA957" s="76"/>
      <c r="BB957" s="76"/>
      <c r="BC957" s="78"/>
    </row>
    <row r="958" spans="1:55" x14ac:dyDescent="0.25">
      <c r="A958" s="68"/>
      <c r="B958" s="68"/>
      <c r="C958" s="68"/>
      <c r="D958" s="70"/>
      <c r="E958" s="70"/>
      <c r="F958" s="70"/>
      <c r="G958" s="72"/>
      <c r="H958" s="74"/>
      <c r="I958" s="74"/>
      <c r="J958" s="75"/>
      <c r="K958" s="81"/>
      <c r="L958" s="76"/>
      <c r="M958" s="76"/>
      <c r="N958" s="76"/>
      <c r="O958" s="71"/>
      <c r="P958" s="70"/>
      <c r="Q958" s="71"/>
      <c r="R958" s="71"/>
      <c r="S958" s="70"/>
      <c r="T958" s="71"/>
      <c r="U958" s="71"/>
      <c r="V958" s="75"/>
      <c r="W958" s="69"/>
      <c r="X958" s="69"/>
      <c r="Y958" s="69"/>
      <c r="Z958" s="69"/>
      <c r="AA958" s="69"/>
      <c r="AB958" s="69"/>
      <c r="AC958" s="69"/>
      <c r="AD958" s="69"/>
      <c r="AE958" s="76"/>
      <c r="AF958" s="71"/>
      <c r="AG958" s="71"/>
      <c r="AH958" s="71"/>
      <c r="AI958" s="71"/>
      <c r="AJ958" s="71"/>
      <c r="AK958" s="71"/>
      <c r="AL958" s="71"/>
      <c r="AM958" s="71"/>
      <c r="AN958" s="68"/>
      <c r="AO958" s="68"/>
      <c r="AP958" s="70"/>
      <c r="AQ958" s="71"/>
      <c r="AR958" s="77"/>
      <c r="AS958" s="70"/>
      <c r="AT958" s="68"/>
      <c r="AU958" s="70"/>
      <c r="AV958" s="70"/>
      <c r="AW958" s="71"/>
      <c r="AX958" s="71"/>
      <c r="AY958" s="70"/>
      <c r="AZ958" s="76"/>
      <c r="BA958" s="76"/>
      <c r="BB958" s="76"/>
      <c r="BC958" s="78"/>
    </row>
    <row r="959" spans="1:55" x14ac:dyDescent="0.25">
      <c r="A959" s="68"/>
      <c r="B959" s="68"/>
      <c r="C959" s="68"/>
      <c r="D959" s="70"/>
      <c r="E959" s="70"/>
      <c r="F959" s="70"/>
      <c r="G959" s="72"/>
      <c r="H959" s="74"/>
      <c r="I959" s="74"/>
      <c r="J959" s="75"/>
      <c r="K959" s="81"/>
      <c r="L959" s="76"/>
      <c r="M959" s="76"/>
      <c r="N959" s="76"/>
      <c r="O959" s="71"/>
      <c r="P959" s="70"/>
      <c r="Q959" s="71"/>
      <c r="R959" s="71"/>
      <c r="S959" s="70"/>
      <c r="T959" s="71"/>
      <c r="U959" s="71"/>
      <c r="V959" s="75"/>
      <c r="W959" s="69"/>
      <c r="X959" s="69"/>
      <c r="Y959" s="69"/>
      <c r="Z959" s="69"/>
      <c r="AA959" s="69"/>
      <c r="AB959" s="69"/>
      <c r="AC959" s="69"/>
      <c r="AD959" s="69"/>
      <c r="AE959" s="76"/>
      <c r="AF959" s="71"/>
      <c r="AG959" s="71"/>
      <c r="AH959" s="71"/>
      <c r="AI959" s="71"/>
      <c r="AJ959" s="71"/>
      <c r="AK959" s="71"/>
      <c r="AL959" s="71"/>
      <c r="AM959" s="71"/>
      <c r="AN959" s="68"/>
      <c r="AO959" s="68"/>
      <c r="AP959" s="70"/>
      <c r="AQ959" s="71"/>
      <c r="AR959" s="77"/>
      <c r="AS959" s="70"/>
      <c r="AT959" s="68"/>
      <c r="AU959" s="70"/>
      <c r="AV959" s="70"/>
      <c r="AW959" s="71"/>
      <c r="AX959" s="71"/>
      <c r="AY959" s="70"/>
      <c r="AZ959" s="76"/>
      <c r="BA959" s="76"/>
      <c r="BB959" s="76"/>
      <c r="BC959" s="78"/>
    </row>
    <row r="960" spans="1:55" x14ac:dyDescent="0.25">
      <c r="A960" s="68"/>
      <c r="B960" s="68"/>
      <c r="C960" s="68"/>
      <c r="D960" s="70"/>
      <c r="E960" s="70"/>
      <c r="F960" s="70"/>
      <c r="G960" s="72"/>
      <c r="H960" s="74"/>
      <c r="I960" s="74"/>
      <c r="J960" s="75"/>
      <c r="K960" s="81"/>
      <c r="L960" s="76"/>
      <c r="M960" s="76"/>
      <c r="N960" s="76"/>
      <c r="O960" s="71"/>
      <c r="P960" s="70"/>
      <c r="Q960" s="71"/>
      <c r="R960" s="71"/>
      <c r="S960" s="70"/>
      <c r="T960" s="71"/>
      <c r="U960" s="71"/>
      <c r="V960" s="75"/>
      <c r="W960" s="69"/>
      <c r="X960" s="69"/>
      <c r="Y960" s="69"/>
      <c r="Z960" s="69"/>
      <c r="AA960" s="69"/>
      <c r="AB960" s="69"/>
      <c r="AC960" s="69"/>
      <c r="AD960" s="69"/>
      <c r="AE960" s="76"/>
      <c r="AF960" s="71"/>
      <c r="AG960" s="71"/>
      <c r="AH960" s="71"/>
      <c r="AI960" s="71"/>
      <c r="AJ960" s="71"/>
      <c r="AK960" s="71"/>
      <c r="AL960" s="71"/>
      <c r="AM960" s="71"/>
      <c r="AN960" s="68"/>
      <c r="AO960" s="68"/>
      <c r="AP960" s="70"/>
      <c r="AQ960" s="71"/>
      <c r="AR960" s="77"/>
      <c r="AS960" s="70"/>
      <c r="AT960" s="68"/>
      <c r="AU960" s="70"/>
      <c r="AV960" s="70"/>
      <c r="AW960" s="71"/>
      <c r="AX960" s="71"/>
      <c r="AY960" s="70"/>
      <c r="AZ960" s="76"/>
      <c r="BA960" s="76"/>
      <c r="BB960" s="76"/>
      <c r="BC960" s="78"/>
    </row>
    <row r="961" spans="1:55" x14ac:dyDescent="0.25">
      <c r="A961" s="68"/>
      <c r="B961" s="68"/>
      <c r="C961" s="68"/>
      <c r="D961" s="70"/>
      <c r="E961" s="70"/>
      <c r="F961" s="70"/>
      <c r="G961" s="72"/>
      <c r="H961" s="74"/>
      <c r="I961" s="74"/>
      <c r="J961" s="75"/>
      <c r="K961" s="81"/>
      <c r="L961" s="76"/>
      <c r="M961" s="76"/>
      <c r="N961" s="76"/>
      <c r="O961" s="71"/>
      <c r="P961" s="70"/>
      <c r="Q961" s="71"/>
      <c r="R961" s="71"/>
      <c r="S961" s="70"/>
      <c r="T961" s="71"/>
      <c r="U961" s="71"/>
      <c r="V961" s="75"/>
      <c r="W961" s="69"/>
      <c r="X961" s="69"/>
      <c r="Y961" s="69"/>
      <c r="Z961" s="69"/>
      <c r="AA961" s="69"/>
      <c r="AB961" s="69"/>
      <c r="AC961" s="69"/>
      <c r="AD961" s="69"/>
      <c r="AE961" s="76"/>
      <c r="AF961" s="71"/>
      <c r="AG961" s="71"/>
      <c r="AH961" s="71"/>
      <c r="AI961" s="71"/>
      <c r="AJ961" s="71"/>
      <c r="AK961" s="71"/>
      <c r="AL961" s="71"/>
      <c r="AM961" s="71"/>
      <c r="AN961" s="68"/>
      <c r="AO961" s="68"/>
      <c r="AP961" s="70"/>
      <c r="AQ961" s="71"/>
      <c r="AR961" s="77"/>
      <c r="AS961" s="70"/>
      <c r="AT961" s="68"/>
      <c r="AU961" s="70"/>
      <c r="AV961" s="70"/>
      <c r="AW961" s="71"/>
      <c r="AX961" s="71"/>
      <c r="AY961" s="70"/>
      <c r="AZ961" s="76"/>
      <c r="BA961" s="76"/>
      <c r="BB961" s="76"/>
      <c r="BC961" s="78"/>
    </row>
    <row r="962" spans="1:55" x14ac:dyDescent="0.25">
      <c r="A962" s="68"/>
      <c r="B962" s="68"/>
      <c r="C962" s="68"/>
      <c r="D962" s="70"/>
      <c r="E962" s="70"/>
      <c r="F962" s="70"/>
      <c r="G962" s="72"/>
      <c r="H962" s="74"/>
      <c r="I962" s="74"/>
      <c r="J962" s="75"/>
      <c r="K962" s="81"/>
      <c r="L962" s="76"/>
      <c r="M962" s="76"/>
      <c r="N962" s="76"/>
      <c r="O962" s="71"/>
      <c r="P962" s="70"/>
      <c r="Q962" s="71"/>
      <c r="R962" s="71"/>
      <c r="S962" s="70"/>
      <c r="T962" s="71"/>
      <c r="U962" s="71"/>
      <c r="V962" s="75"/>
      <c r="W962" s="69"/>
      <c r="X962" s="69"/>
      <c r="Y962" s="69"/>
      <c r="Z962" s="69"/>
      <c r="AA962" s="69"/>
      <c r="AB962" s="69"/>
      <c r="AC962" s="69"/>
      <c r="AD962" s="69"/>
      <c r="AE962" s="76"/>
      <c r="AF962" s="71"/>
      <c r="AG962" s="71"/>
      <c r="AH962" s="71"/>
      <c r="AI962" s="71"/>
      <c r="AJ962" s="71"/>
      <c r="AK962" s="71"/>
      <c r="AL962" s="71"/>
      <c r="AM962" s="71"/>
      <c r="AN962" s="68"/>
      <c r="AO962" s="68"/>
      <c r="AP962" s="70"/>
      <c r="AQ962" s="71"/>
      <c r="AR962" s="77"/>
      <c r="AS962" s="70"/>
      <c r="AT962" s="68"/>
      <c r="AU962" s="70"/>
      <c r="AV962" s="70"/>
      <c r="AW962" s="71"/>
      <c r="AX962" s="71"/>
      <c r="AY962" s="70"/>
      <c r="AZ962" s="76"/>
      <c r="BA962" s="76"/>
      <c r="BB962" s="76"/>
      <c r="BC962" s="78"/>
    </row>
    <row r="963" spans="1:55" x14ac:dyDescent="0.25">
      <c r="A963" s="68"/>
      <c r="B963" s="68"/>
      <c r="C963" s="68"/>
      <c r="D963" s="70"/>
      <c r="E963" s="70"/>
      <c r="F963" s="70"/>
      <c r="G963" s="72"/>
      <c r="H963" s="74"/>
      <c r="I963" s="74"/>
      <c r="J963" s="75"/>
      <c r="K963" s="81"/>
      <c r="L963" s="76"/>
      <c r="M963" s="76"/>
      <c r="N963" s="76"/>
      <c r="O963" s="71"/>
      <c r="P963" s="70"/>
      <c r="Q963" s="71"/>
      <c r="R963" s="71"/>
      <c r="S963" s="70"/>
      <c r="T963" s="71"/>
      <c r="U963" s="71"/>
      <c r="V963" s="75"/>
      <c r="W963" s="69"/>
      <c r="X963" s="69"/>
      <c r="Y963" s="69"/>
      <c r="Z963" s="69"/>
      <c r="AA963" s="69"/>
      <c r="AB963" s="69"/>
      <c r="AC963" s="69"/>
      <c r="AD963" s="69"/>
      <c r="AE963" s="76"/>
      <c r="AF963" s="71"/>
      <c r="AG963" s="71"/>
      <c r="AH963" s="71"/>
      <c r="AI963" s="71"/>
      <c r="AJ963" s="71"/>
      <c r="AK963" s="71"/>
      <c r="AL963" s="71"/>
      <c r="AM963" s="71"/>
      <c r="AN963" s="68"/>
      <c r="AO963" s="68"/>
      <c r="AP963" s="70"/>
      <c r="AQ963" s="71"/>
      <c r="AR963" s="77"/>
      <c r="AS963" s="70"/>
      <c r="AT963" s="68"/>
      <c r="AU963" s="70"/>
      <c r="AV963" s="70"/>
      <c r="AW963" s="71"/>
      <c r="AX963" s="71"/>
      <c r="AY963" s="70"/>
      <c r="AZ963" s="76"/>
      <c r="BA963" s="76"/>
      <c r="BB963" s="76"/>
      <c r="BC963" s="78"/>
    </row>
    <row r="964" spans="1:55" x14ac:dyDescent="0.25">
      <c r="A964" s="68"/>
      <c r="B964" s="68"/>
      <c r="C964" s="68"/>
      <c r="D964" s="70"/>
      <c r="E964" s="70"/>
      <c r="F964" s="70"/>
      <c r="G964" s="72"/>
      <c r="H964" s="74"/>
      <c r="I964" s="74"/>
      <c r="J964" s="75"/>
      <c r="K964" s="81"/>
      <c r="L964" s="76"/>
      <c r="M964" s="76"/>
      <c r="N964" s="76"/>
      <c r="O964" s="71"/>
      <c r="P964" s="70"/>
      <c r="Q964" s="71"/>
      <c r="R964" s="71"/>
      <c r="S964" s="70"/>
      <c r="T964" s="71"/>
      <c r="U964" s="71"/>
      <c r="V964" s="75"/>
      <c r="W964" s="69"/>
      <c r="X964" s="69"/>
      <c r="Y964" s="69"/>
      <c r="Z964" s="69"/>
      <c r="AA964" s="69"/>
      <c r="AB964" s="69"/>
      <c r="AC964" s="69"/>
      <c r="AD964" s="69"/>
      <c r="AE964" s="76"/>
      <c r="AF964" s="71"/>
      <c r="AG964" s="71"/>
      <c r="AH964" s="71"/>
      <c r="AI964" s="71"/>
      <c r="AJ964" s="71"/>
      <c r="AK964" s="71"/>
      <c r="AL964" s="71"/>
      <c r="AM964" s="71"/>
      <c r="AN964" s="68"/>
      <c r="AO964" s="68"/>
      <c r="AP964" s="70"/>
      <c r="AQ964" s="71"/>
      <c r="AR964" s="77"/>
      <c r="AS964" s="70"/>
      <c r="AT964" s="68"/>
      <c r="AU964" s="70"/>
      <c r="AV964" s="70"/>
      <c r="AW964" s="71"/>
      <c r="AX964" s="71"/>
      <c r="AY964" s="70"/>
      <c r="AZ964" s="76"/>
      <c r="BA964" s="76"/>
      <c r="BB964" s="76"/>
      <c r="BC964" s="78"/>
    </row>
    <row r="965" spans="1:55" x14ac:dyDescent="0.25">
      <c r="A965" s="68"/>
      <c r="B965" s="68"/>
      <c r="C965" s="68"/>
      <c r="D965" s="70"/>
      <c r="E965" s="70"/>
      <c r="F965" s="70"/>
      <c r="G965" s="72"/>
      <c r="H965" s="74"/>
      <c r="I965" s="74"/>
      <c r="J965" s="75"/>
      <c r="K965" s="81"/>
      <c r="L965" s="76"/>
      <c r="M965" s="76"/>
      <c r="N965" s="76"/>
      <c r="O965" s="71"/>
      <c r="P965" s="70"/>
      <c r="Q965" s="71"/>
      <c r="R965" s="71"/>
      <c r="S965" s="70"/>
      <c r="T965" s="71"/>
      <c r="U965" s="71"/>
      <c r="V965" s="75"/>
      <c r="W965" s="69"/>
      <c r="X965" s="69"/>
      <c r="Y965" s="69"/>
      <c r="Z965" s="69"/>
      <c r="AA965" s="69"/>
      <c r="AB965" s="69"/>
      <c r="AC965" s="69"/>
      <c r="AD965" s="69"/>
      <c r="AE965" s="76"/>
      <c r="AF965" s="71"/>
      <c r="AG965" s="71"/>
      <c r="AH965" s="71"/>
      <c r="AI965" s="71"/>
      <c r="AJ965" s="71"/>
      <c r="AK965" s="71"/>
      <c r="AL965" s="71"/>
      <c r="AM965" s="71"/>
      <c r="AN965" s="68"/>
      <c r="AO965" s="68"/>
      <c r="AP965" s="70"/>
      <c r="AQ965" s="71"/>
      <c r="AR965" s="77"/>
      <c r="AS965" s="70"/>
      <c r="AT965" s="68"/>
      <c r="AU965" s="70"/>
      <c r="AV965" s="70"/>
      <c r="AW965" s="71"/>
      <c r="AX965" s="71"/>
      <c r="AY965" s="70"/>
      <c r="AZ965" s="76"/>
      <c r="BA965" s="76"/>
      <c r="BB965" s="76"/>
      <c r="BC965" s="78"/>
    </row>
    <row r="966" spans="1:55" x14ac:dyDescent="0.25">
      <c r="A966" s="68"/>
      <c r="B966" s="68"/>
      <c r="C966" s="68"/>
      <c r="D966" s="70"/>
      <c r="E966" s="70"/>
      <c r="F966" s="70"/>
      <c r="G966" s="72"/>
      <c r="H966" s="74"/>
      <c r="I966" s="74"/>
      <c r="J966" s="75"/>
      <c r="K966" s="81"/>
      <c r="L966" s="76"/>
      <c r="M966" s="76"/>
      <c r="N966" s="76"/>
      <c r="O966" s="71"/>
      <c r="P966" s="70"/>
      <c r="Q966" s="71"/>
      <c r="R966" s="71"/>
      <c r="S966" s="70"/>
      <c r="T966" s="71"/>
      <c r="U966" s="71"/>
      <c r="V966" s="75"/>
      <c r="W966" s="69"/>
      <c r="X966" s="69"/>
      <c r="Y966" s="69"/>
      <c r="Z966" s="69"/>
      <c r="AA966" s="69"/>
      <c r="AB966" s="69"/>
      <c r="AC966" s="69"/>
      <c r="AD966" s="69"/>
      <c r="AE966" s="76"/>
      <c r="AF966" s="71"/>
      <c r="AG966" s="71"/>
      <c r="AH966" s="71"/>
      <c r="AI966" s="71"/>
      <c r="AJ966" s="71"/>
      <c r="AK966" s="71"/>
      <c r="AL966" s="71"/>
      <c r="AM966" s="71"/>
      <c r="AN966" s="68"/>
      <c r="AO966" s="68"/>
      <c r="AP966" s="70"/>
      <c r="AQ966" s="71"/>
      <c r="AR966" s="77"/>
      <c r="AS966" s="70"/>
      <c r="AT966" s="68"/>
      <c r="AU966" s="70"/>
      <c r="AV966" s="70"/>
      <c r="AW966" s="71"/>
      <c r="AX966" s="71"/>
      <c r="AY966" s="70"/>
      <c r="AZ966" s="76"/>
      <c r="BA966" s="76"/>
      <c r="BB966" s="76"/>
      <c r="BC966" s="78"/>
    </row>
    <row r="967" spans="1:55" x14ac:dyDescent="0.25">
      <c r="A967" s="68"/>
      <c r="B967" s="68"/>
      <c r="C967" s="68"/>
      <c r="D967" s="70"/>
      <c r="E967" s="70"/>
      <c r="F967" s="70"/>
      <c r="G967" s="72"/>
      <c r="H967" s="74"/>
      <c r="I967" s="74"/>
      <c r="J967" s="75"/>
      <c r="K967" s="81"/>
      <c r="L967" s="76"/>
      <c r="M967" s="76"/>
      <c r="N967" s="76"/>
      <c r="O967" s="71"/>
      <c r="P967" s="70"/>
      <c r="Q967" s="71"/>
      <c r="R967" s="71"/>
      <c r="S967" s="70"/>
      <c r="T967" s="71"/>
      <c r="U967" s="71"/>
      <c r="V967" s="75"/>
      <c r="W967" s="69"/>
      <c r="X967" s="69"/>
      <c r="Y967" s="69"/>
      <c r="Z967" s="69"/>
      <c r="AA967" s="69"/>
      <c r="AB967" s="69"/>
      <c r="AC967" s="69"/>
      <c r="AD967" s="69"/>
      <c r="AE967" s="76"/>
      <c r="AF967" s="71"/>
      <c r="AG967" s="71"/>
      <c r="AH967" s="71"/>
      <c r="AI967" s="71"/>
      <c r="AJ967" s="71"/>
      <c r="AK967" s="71"/>
      <c r="AL967" s="71"/>
      <c r="AM967" s="71"/>
      <c r="AN967" s="68"/>
      <c r="AO967" s="68"/>
      <c r="AP967" s="70"/>
      <c r="AQ967" s="71"/>
      <c r="AR967" s="77"/>
      <c r="AS967" s="70"/>
      <c r="AT967" s="68"/>
      <c r="AU967" s="70"/>
      <c r="AV967" s="70"/>
      <c r="AW967" s="71"/>
      <c r="AX967" s="71"/>
      <c r="AY967" s="70"/>
      <c r="AZ967" s="76"/>
      <c r="BA967" s="76"/>
      <c r="BB967" s="76"/>
      <c r="BC967" s="78"/>
    </row>
    <row r="968" spans="1:55" x14ac:dyDescent="0.25">
      <c r="A968" s="68"/>
      <c r="B968" s="68"/>
      <c r="C968" s="68"/>
      <c r="D968" s="70"/>
      <c r="E968" s="70"/>
      <c r="F968" s="70"/>
      <c r="G968" s="72"/>
      <c r="H968" s="74"/>
      <c r="I968" s="74"/>
      <c r="J968" s="75"/>
      <c r="K968" s="81"/>
      <c r="L968" s="76"/>
      <c r="M968" s="76"/>
      <c r="N968" s="76"/>
      <c r="O968" s="71"/>
      <c r="P968" s="70"/>
      <c r="Q968" s="71"/>
      <c r="R968" s="71"/>
      <c r="S968" s="70"/>
      <c r="T968" s="71"/>
      <c r="U968" s="71"/>
      <c r="V968" s="75"/>
      <c r="W968" s="69"/>
      <c r="X968" s="69"/>
      <c r="Y968" s="69"/>
      <c r="Z968" s="69"/>
      <c r="AA968" s="69"/>
      <c r="AB968" s="69"/>
      <c r="AC968" s="69"/>
      <c r="AD968" s="69"/>
      <c r="AE968" s="76"/>
      <c r="AF968" s="71"/>
      <c r="AG968" s="71"/>
      <c r="AH968" s="71"/>
      <c r="AI968" s="71"/>
      <c r="AJ968" s="71"/>
      <c r="AK968" s="71"/>
      <c r="AL968" s="71"/>
      <c r="AM968" s="71"/>
      <c r="AN968" s="68"/>
      <c r="AO968" s="68"/>
      <c r="AP968" s="70"/>
      <c r="AQ968" s="71"/>
      <c r="AR968" s="77"/>
      <c r="AS968" s="70"/>
      <c r="AT968" s="68"/>
      <c r="AU968" s="70"/>
      <c r="AV968" s="70"/>
      <c r="AW968" s="71"/>
      <c r="AX968" s="71"/>
      <c r="AY968" s="70"/>
      <c r="AZ968" s="76"/>
      <c r="BA968" s="76"/>
      <c r="BB968" s="76"/>
      <c r="BC968" s="78"/>
    </row>
    <row r="969" spans="1:55" x14ac:dyDescent="0.25">
      <c r="A969" s="68"/>
      <c r="B969" s="68"/>
      <c r="C969" s="68"/>
      <c r="D969" s="70"/>
      <c r="E969" s="70"/>
      <c r="F969" s="70"/>
      <c r="G969" s="72"/>
      <c r="H969" s="74"/>
      <c r="I969" s="74"/>
      <c r="J969" s="75"/>
      <c r="K969" s="81"/>
      <c r="L969" s="76"/>
      <c r="M969" s="76"/>
      <c r="N969" s="76"/>
      <c r="O969" s="71"/>
      <c r="P969" s="70"/>
      <c r="Q969" s="71"/>
      <c r="R969" s="71"/>
      <c r="S969" s="70"/>
      <c r="T969" s="71"/>
      <c r="U969" s="71"/>
      <c r="V969" s="75"/>
      <c r="W969" s="69"/>
      <c r="X969" s="69"/>
      <c r="Y969" s="69"/>
      <c r="Z969" s="69"/>
      <c r="AA969" s="69"/>
      <c r="AB969" s="69"/>
      <c r="AC969" s="69"/>
      <c r="AD969" s="69"/>
      <c r="AE969" s="76"/>
      <c r="AF969" s="71"/>
      <c r="AG969" s="71"/>
      <c r="AH969" s="71"/>
      <c r="AI969" s="71"/>
      <c r="AJ969" s="71"/>
      <c r="AK969" s="71"/>
      <c r="AL969" s="71"/>
      <c r="AM969" s="71"/>
      <c r="AN969" s="68"/>
      <c r="AO969" s="68"/>
      <c r="AP969" s="70"/>
      <c r="AQ969" s="71"/>
      <c r="AR969" s="77"/>
      <c r="AS969" s="70"/>
      <c r="AT969" s="68"/>
      <c r="AU969" s="70"/>
      <c r="AV969" s="70"/>
      <c r="AW969" s="71"/>
      <c r="AX969" s="71"/>
      <c r="AY969" s="70"/>
      <c r="AZ969" s="76"/>
      <c r="BA969" s="76"/>
      <c r="BB969" s="76"/>
      <c r="BC969" s="78"/>
    </row>
    <row r="970" spans="1:55" x14ac:dyDescent="0.25">
      <c r="A970" s="68"/>
      <c r="B970" s="68"/>
      <c r="C970" s="68"/>
      <c r="D970" s="70"/>
      <c r="E970" s="70"/>
      <c r="F970" s="70"/>
      <c r="G970" s="72"/>
      <c r="H970" s="74"/>
      <c r="I970" s="74"/>
      <c r="J970" s="75"/>
      <c r="K970" s="81"/>
      <c r="L970" s="76"/>
      <c r="M970" s="76"/>
      <c r="N970" s="76"/>
      <c r="O970" s="71"/>
      <c r="P970" s="70"/>
      <c r="Q970" s="71"/>
      <c r="R970" s="71"/>
      <c r="S970" s="70"/>
      <c r="T970" s="71"/>
      <c r="U970" s="71"/>
      <c r="V970" s="75"/>
      <c r="W970" s="69"/>
      <c r="X970" s="69"/>
      <c r="Y970" s="69"/>
      <c r="Z970" s="69"/>
      <c r="AA970" s="69"/>
      <c r="AB970" s="69"/>
      <c r="AC970" s="69"/>
      <c r="AD970" s="69"/>
      <c r="AE970" s="76"/>
      <c r="AF970" s="71"/>
      <c r="AG970" s="71"/>
      <c r="AH970" s="71"/>
      <c r="AI970" s="71"/>
      <c r="AJ970" s="71"/>
      <c r="AK970" s="71"/>
      <c r="AL970" s="71"/>
      <c r="AM970" s="71"/>
      <c r="AN970" s="68"/>
      <c r="AO970" s="68"/>
      <c r="AP970" s="70"/>
      <c r="AQ970" s="71"/>
      <c r="AR970" s="77"/>
      <c r="AS970" s="70"/>
      <c r="AT970" s="68"/>
      <c r="AU970" s="70"/>
      <c r="AV970" s="70"/>
      <c r="AW970" s="71"/>
      <c r="AX970" s="71"/>
      <c r="AY970" s="70"/>
      <c r="AZ970" s="76"/>
      <c r="BA970" s="76"/>
      <c r="BB970" s="76"/>
      <c r="BC970" s="78"/>
    </row>
    <row r="971" spans="1:55" x14ac:dyDescent="0.25">
      <c r="A971" s="68"/>
      <c r="B971" s="68"/>
      <c r="C971" s="68"/>
      <c r="D971" s="70"/>
      <c r="E971" s="70"/>
      <c r="F971" s="70"/>
      <c r="G971" s="72"/>
      <c r="H971" s="74"/>
      <c r="I971" s="74"/>
      <c r="J971" s="75"/>
      <c r="K971" s="81"/>
      <c r="L971" s="76"/>
      <c r="M971" s="76"/>
      <c r="N971" s="76"/>
      <c r="O971" s="71"/>
      <c r="P971" s="70"/>
      <c r="Q971" s="71"/>
      <c r="R971" s="71"/>
      <c r="S971" s="70"/>
      <c r="T971" s="71"/>
      <c r="U971" s="71"/>
      <c r="V971" s="75"/>
      <c r="W971" s="69"/>
      <c r="X971" s="69"/>
      <c r="Y971" s="69"/>
      <c r="Z971" s="69"/>
      <c r="AA971" s="69"/>
      <c r="AB971" s="69"/>
      <c r="AC971" s="69"/>
      <c r="AD971" s="69"/>
      <c r="AE971" s="76"/>
      <c r="AF971" s="71"/>
      <c r="AG971" s="71"/>
      <c r="AH971" s="71"/>
      <c r="AI971" s="71"/>
      <c r="AJ971" s="71"/>
      <c r="AK971" s="71"/>
      <c r="AL971" s="71"/>
      <c r="AM971" s="71"/>
      <c r="AN971" s="68"/>
      <c r="AO971" s="68"/>
      <c r="AP971" s="70"/>
      <c r="AQ971" s="71"/>
      <c r="AR971" s="77"/>
      <c r="AS971" s="70"/>
      <c r="AT971" s="68"/>
      <c r="AU971" s="70"/>
      <c r="AV971" s="70"/>
      <c r="AW971" s="71"/>
      <c r="AX971" s="71"/>
      <c r="AY971" s="70"/>
      <c r="AZ971" s="76"/>
      <c r="BA971" s="76"/>
      <c r="BB971" s="76"/>
      <c r="BC971" s="78"/>
    </row>
    <row r="972" spans="1:55" x14ac:dyDescent="0.25">
      <c r="A972" s="68"/>
      <c r="B972" s="68"/>
      <c r="C972" s="68"/>
      <c r="D972" s="70"/>
      <c r="E972" s="70"/>
      <c r="F972" s="70"/>
      <c r="G972" s="72"/>
      <c r="H972" s="74"/>
      <c r="I972" s="74"/>
      <c r="J972" s="75"/>
      <c r="K972" s="81"/>
      <c r="L972" s="76"/>
      <c r="M972" s="76"/>
      <c r="N972" s="76"/>
      <c r="O972" s="71"/>
      <c r="P972" s="70"/>
      <c r="Q972" s="71"/>
      <c r="R972" s="71"/>
      <c r="S972" s="70"/>
      <c r="T972" s="71"/>
      <c r="U972" s="71"/>
      <c r="V972" s="75"/>
      <c r="W972" s="69"/>
      <c r="X972" s="69"/>
      <c r="Y972" s="69"/>
      <c r="Z972" s="69"/>
      <c r="AA972" s="69"/>
      <c r="AB972" s="69"/>
      <c r="AC972" s="69"/>
      <c r="AD972" s="69"/>
      <c r="AE972" s="76"/>
      <c r="AF972" s="71"/>
      <c r="AG972" s="71"/>
      <c r="AH972" s="71"/>
      <c r="AI972" s="71"/>
      <c r="AJ972" s="71"/>
      <c r="AK972" s="71"/>
      <c r="AL972" s="71"/>
      <c r="AM972" s="71"/>
      <c r="AN972" s="68"/>
      <c r="AO972" s="68"/>
      <c r="AP972" s="70"/>
      <c r="AQ972" s="71"/>
      <c r="AR972" s="77"/>
      <c r="AS972" s="70"/>
      <c r="AT972" s="68"/>
      <c r="AU972" s="70"/>
      <c r="AV972" s="70"/>
      <c r="AW972" s="71"/>
      <c r="AX972" s="71"/>
      <c r="AY972" s="70"/>
      <c r="AZ972" s="76"/>
      <c r="BA972" s="76"/>
      <c r="BB972" s="76"/>
      <c r="BC972" s="78"/>
    </row>
    <row r="973" spans="1:55" x14ac:dyDescent="0.25">
      <c r="A973" s="68"/>
      <c r="B973" s="68"/>
      <c r="C973" s="68"/>
      <c r="D973" s="70"/>
      <c r="E973" s="70"/>
      <c r="F973" s="70"/>
      <c r="G973" s="72"/>
      <c r="H973" s="74"/>
      <c r="I973" s="74"/>
      <c r="J973" s="75"/>
      <c r="K973" s="81"/>
      <c r="L973" s="76"/>
      <c r="M973" s="76"/>
      <c r="N973" s="76"/>
      <c r="O973" s="71"/>
      <c r="P973" s="70"/>
      <c r="Q973" s="71"/>
      <c r="R973" s="71"/>
      <c r="S973" s="70"/>
      <c r="T973" s="71"/>
      <c r="U973" s="71"/>
      <c r="V973" s="75"/>
      <c r="W973" s="69"/>
      <c r="X973" s="69"/>
      <c r="Y973" s="69"/>
      <c r="Z973" s="69"/>
      <c r="AA973" s="69"/>
      <c r="AB973" s="69"/>
      <c r="AC973" s="69"/>
      <c r="AD973" s="69"/>
      <c r="AE973" s="76"/>
      <c r="AF973" s="71"/>
      <c r="AG973" s="71"/>
      <c r="AH973" s="71"/>
      <c r="AI973" s="71"/>
      <c r="AJ973" s="71"/>
      <c r="AK973" s="71"/>
      <c r="AL973" s="71"/>
      <c r="AM973" s="71"/>
      <c r="AN973" s="68"/>
      <c r="AO973" s="68"/>
      <c r="AP973" s="70"/>
      <c r="AQ973" s="71"/>
      <c r="AR973" s="77"/>
      <c r="AS973" s="70"/>
      <c r="AT973" s="68"/>
      <c r="AU973" s="70"/>
      <c r="AV973" s="70"/>
      <c r="AW973" s="71"/>
      <c r="AX973" s="71"/>
      <c r="AY973" s="70"/>
      <c r="AZ973" s="76"/>
      <c r="BA973" s="76"/>
      <c r="BB973" s="76"/>
      <c r="BC973" s="78"/>
    </row>
    <row r="974" spans="1:55" x14ac:dyDescent="0.25">
      <c r="A974" s="68"/>
      <c r="B974" s="68"/>
      <c r="C974" s="68"/>
      <c r="D974" s="70"/>
      <c r="E974" s="70"/>
      <c r="F974" s="70"/>
      <c r="G974" s="72"/>
      <c r="H974" s="74"/>
      <c r="I974" s="74"/>
      <c r="J974" s="75"/>
      <c r="K974" s="81"/>
      <c r="L974" s="76"/>
      <c r="M974" s="76"/>
      <c r="N974" s="76"/>
      <c r="O974" s="71"/>
      <c r="P974" s="70"/>
      <c r="Q974" s="71"/>
      <c r="R974" s="71"/>
      <c r="S974" s="70"/>
      <c r="T974" s="71"/>
      <c r="U974" s="71"/>
      <c r="V974" s="75"/>
      <c r="W974" s="69"/>
      <c r="X974" s="69"/>
      <c r="Y974" s="69"/>
      <c r="Z974" s="69"/>
      <c r="AA974" s="69"/>
      <c r="AB974" s="69"/>
      <c r="AC974" s="69"/>
      <c r="AD974" s="69"/>
      <c r="AE974" s="76"/>
      <c r="AF974" s="71"/>
      <c r="AG974" s="71"/>
      <c r="AH974" s="71"/>
      <c r="AI974" s="71"/>
      <c r="AJ974" s="71"/>
      <c r="AK974" s="71"/>
      <c r="AL974" s="71"/>
      <c r="AM974" s="71"/>
      <c r="AN974" s="68"/>
      <c r="AO974" s="68"/>
      <c r="AP974" s="70"/>
      <c r="AQ974" s="71"/>
      <c r="AR974" s="77"/>
      <c r="AS974" s="70"/>
      <c r="AT974" s="68"/>
      <c r="AU974" s="70"/>
      <c r="AV974" s="70"/>
      <c r="AW974" s="71"/>
      <c r="AX974" s="71"/>
      <c r="AY974" s="70"/>
      <c r="AZ974" s="76"/>
      <c r="BA974" s="76"/>
      <c r="BB974" s="76"/>
      <c r="BC974" s="78"/>
    </row>
    <row r="975" spans="1:55" x14ac:dyDescent="0.25">
      <c r="A975" s="68"/>
      <c r="B975" s="68"/>
      <c r="C975" s="68"/>
      <c r="D975" s="70"/>
      <c r="E975" s="70"/>
      <c r="F975" s="70"/>
      <c r="G975" s="72"/>
      <c r="H975" s="74"/>
      <c r="I975" s="74"/>
      <c r="J975" s="75"/>
      <c r="K975" s="81"/>
      <c r="L975" s="76"/>
      <c r="M975" s="76"/>
      <c r="N975" s="76"/>
      <c r="O975" s="71"/>
      <c r="P975" s="70"/>
      <c r="Q975" s="71"/>
      <c r="R975" s="71"/>
      <c r="S975" s="70"/>
      <c r="T975" s="71"/>
      <c r="U975" s="71"/>
      <c r="V975" s="75"/>
      <c r="W975" s="69"/>
      <c r="X975" s="69"/>
      <c r="Y975" s="69"/>
      <c r="Z975" s="69"/>
      <c r="AA975" s="69"/>
      <c r="AB975" s="69"/>
      <c r="AC975" s="69"/>
      <c r="AD975" s="69"/>
      <c r="AE975" s="76"/>
      <c r="AF975" s="71"/>
      <c r="AG975" s="71"/>
      <c r="AH975" s="71"/>
      <c r="AI975" s="71"/>
      <c r="AJ975" s="71"/>
      <c r="AK975" s="71"/>
      <c r="AL975" s="71"/>
      <c r="AM975" s="71"/>
      <c r="AN975" s="68"/>
      <c r="AO975" s="68"/>
      <c r="AP975" s="70"/>
      <c r="AQ975" s="71"/>
      <c r="AR975" s="77"/>
      <c r="AS975" s="70"/>
      <c r="AT975" s="68"/>
      <c r="AU975" s="70"/>
      <c r="AV975" s="70"/>
      <c r="AW975" s="71"/>
      <c r="AX975" s="71"/>
      <c r="AY975" s="70"/>
      <c r="AZ975" s="76"/>
      <c r="BA975" s="76"/>
      <c r="BB975" s="76"/>
      <c r="BC975" s="78"/>
    </row>
    <row r="976" spans="1:55" x14ac:dyDescent="0.25">
      <c r="A976" s="68"/>
      <c r="B976" s="68"/>
      <c r="C976" s="68"/>
      <c r="D976" s="70"/>
      <c r="E976" s="70"/>
      <c r="F976" s="70"/>
      <c r="G976" s="72"/>
      <c r="H976" s="74"/>
      <c r="I976" s="74"/>
      <c r="J976" s="75"/>
      <c r="K976" s="81"/>
      <c r="L976" s="76"/>
      <c r="M976" s="76"/>
      <c r="N976" s="76"/>
      <c r="O976" s="71"/>
      <c r="P976" s="70"/>
      <c r="Q976" s="71"/>
      <c r="R976" s="71"/>
      <c r="S976" s="70"/>
      <c r="T976" s="71"/>
      <c r="U976" s="71"/>
      <c r="V976" s="75"/>
      <c r="W976" s="69"/>
      <c r="X976" s="69"/>
      <c r="Y976" s="69"/>
      <c r="Z976" s="69"/>
      <c r="AA976" s="69"/>
      <c r="AB976" s="69"/>
      <c r="AC976" s="69"/>
      <c r="AD976" s="69"/>
      <c r="AE976" s="76"/>
      <c r="AF976" s="71"/>
      <c r="AG976" s="71"/>
      <c r="AH976" s="71"/>
      <c r="AI976" s="71"/>
      <c r="AJ976" s="71"/>
      <c r="AK976" s="71"/>
      <c r="AL976" s="71"/>
      <c r="AM976" s="71"/>
      <c r="AN976" s="68"/>
      <c r="AO976" s="68"/>
      <c r="AP976" s="70"/>
      <c r="AQ976" s="71"/>
      <c r="AR976" s="77"/>
      <c r="AS976" s="70"/>
      <c r="AT976" s="68"/>
      <c r="AU976" s="70"/>
      <c r="AV976" s="70"/>
      <c r="AW976" s="71"/>
      <c r="AX976" s="71"/>
      <c r="AY976" s="70"/>
      <c r="AZ976" s="76"/>
      <c r="BA976" s="76"/>
      <c r="BB976" s="76"/>
      <c r="BC976" s="78"/>
    </row>
    <row r="977" spans="1:55" x14ac:dyDescent="0.25">
      <c r="A977" s="68"/>
      <c r="B977" s="68"/>
      <c r="C977" s="68"/>
      <c r="D977" s="70"/>
      <c r="E977" s="70"/>
      <c r="F977" s="70"/>
      <c r="G977" s="72"/>
      <c r="H977" s="74"/>
      <c r="I977" s="74"/>
      <c r="J977" s="75"/>
      <c r="K977" s="81"/>
      <c r="L977" s="76"/>
      <c r="M977" s="76"/>
      <c r="N977" s="76"/>
      <c r="O977" s="71"/>
      <c r="P977" s="70"/>
      <c r="Q977" s="71"/>
      <c r="R977" s="71"/>
      <c r="S977" s="70"/>
      <c r="T977" s="71"/>
      <c r="U977" s="71"/>
      <c r="V977" s="75"/>
      <c r="W977" s="69"/>
      <c r="X977" s="69"/>
      <c r="Y977" s="69"/>
      <c r="Z977" s="69"/>
      <c r="AA977" s="69"/>
      <c r="AB977" s="69"/>
      <c r="AC977" s="69"/>
      <c r="AD977" s="69"/>
      <c r="AE977" s="76"/>
      <c r="AF977" s="71"/>
      <c r="AG977" s="71"/>
      <c r="AH977" s="71"/>
      <c r="AI977" s="71"/>
      <c r="AJ977" s="71"/>
      <c r="AK977" s="71"/>
      <c r="AL977" s="71"/>
      <c r="AM977" s="71"/>
      <c r="AN977" s="68"/>
      <c r="AO977" s="68"/>
      <c r="AP977" s="70"/>
      <c r="AQ977" s="71"/>
      <c r="AR977" s="77"/>
      <c r="AS977" s="70"/>
      <c r="AT977" s="68"/>
      <c r="AU977" s="70"/>
      <c r="AV977" s="70"/>
      <c r="AW977" s="71"/>
      <c r="AX977" s="71"/>
      <c r="AY977" s="70"/>
      <c r="AZ977" s="76"/>
      <c r="BA977" s="76"/>
      <c r="BB977" s="76"/>
      <c r="BC977" s="78"/>
    </row>
    <row r="978" spans="1:55" x14ac:dyDescent="0.25">
      <c r="A978" s="68"/>
      <c r="B978" s="68"/>
      <c r="C978" s="68"/>
      <c r="D978" s="70"/>
      <c r="E978" s="70"/>
      <c r="F978" s="70"/>
      <c r="G978" s="72"/>
      <c r="H978" s="74"/>
      <c r="I978" s="74"/>
      <c r="J978" s="75"/>
      <c r="K978" s="81"/>
      <c r="L978" s="76"/>
      <c r="M978" s="76"/>
      <c r="N978" s="76"/>
      <c r="O978" s="71"/>
      <c r="P978" s="70"/>
      <c r="Q978" s="71"/>
      <c r="R978" s="71"/>
      <c r="S978" s="70"/>
      <c r="T978" s="71"/>
      <c r="U978" s="71"/>
      <c r="V978" s="75"/>
      <c r="W978" s="69"/>
      <c r="X978" s="69"/>
      <c r="Y978" s="69"/>
      <c r="Z978" s="69"/>
      <c r="AA978" s="69"/>
      <c r="AB978" s="69"/>
      <c r="AC978" s="69"/>
      <c r="AD978" s="69"/>
      <c r="AE978" s="76"/>
      <c r="AF978" s="71"/>
      <c r="AG978" s="71"/>
      <c r="AH978" s="71"/>
      <c r="AI978" s="71"/>
      <c r="AJ978" s="71"/>
      <c r="AK978" s="71"/>
      <c r="AL978" s="71"/>
      <c r="AM978" s="71"/>
      <c r="AN978" s="68"/>
      <c r="AO978" s="68"/>
      <c r="AP978" s="70"/>
      <c r="AQ978" s="71"/>
      <c r="AR978" s="77"/>
      <c r="AS978" s="70"/>
      <c r="AT978" s="68"/>
      <c r="AU978" s="70"/>
      <c r="AV978" s="70"/>
      <c r="AW978" s="71"/>
      <c r="AX978" s="71"/>
      <c r="AY978" s="70"/>
      <c r="AZ978" s="76"/>
      <c r="BA978" s="76"/>
      <c r="BB978" s="76"/>
      <c r="BC978" s="78"/>
    </row>
    <row r="979" spans="1:55" x14ac:dyDescent="0.25">
      <c r="A979" s="68"/>
      <c r="B979" s="68"/>
      <c r="C979" s="68"/>
      <c r="D979" s="70"/>
      <c r="E979" s="70"/>
      <c r="F979" s="70"/>
      <c r="G979" s="72"/>
      <c r="H979" s="74"/>
      <c r="I979" s="74"/>
      <c r="J979" s="75"/>
      <c r="K979" s="81"/>
      <c r="L979" s="76"/>
      <c r="M979" s="76"/>
      <c r="N979" s="76"/>
      <c r="O979" s="71"/>
      <c r="P979" s="70"/>
      <c r="Q979" s="71"/>
      <c r="R979" s="71"/>
      <c r="S979" s="70"/>
      <c r="T979" s="71"/>
      <c r="U979" s="71"/>
      <c r="V979" s="75"/>
      <c r="W979" s="69"/>
      <c r="X979" s="69"/>
      <c r="Y979" s="69"/>
      <c r="Z979" s="69"/>
      <c r="AA979" s="69"/>
      <c r="AB979" s="69"/>
      <c r="AC979" s="69"/>
      <c r="AD979" s="69"/>
      <c r="AE979" s="76"/>
      <c r="AF979" s="71"/>
      <c r="AG979" s="71"/>
      <c r="AH979" s="71"/>
      <c r="AI979" s="71"/>
      <c r="AJ979" s="71"/>
      <c r="AK979" s="71"/>
      <c r="AL979" s="71"/>
      <c r="AM979" s="71"/>
      <c r="AN979" s="68"/>
      <c r="AO979" s="68"/>
      <c r="AP979" s="70"/>
      <c r="AQ979" s="71"/>
      <c r="AR979" s="77"/>
      <c r="AS979" s="70"/>
      <c r="AT979" s="68"/>
      <c r="AU979" s="70"/>
      <c r="AV979" s="70"/>
      <c r="AW979" s="71"/>
      <c r="AX979" s="71"/>
      <c r="AY979" s="70"/>
      <c r="AZ979" s="76"/>
      <c r="BA979" s="76"/>
      <c r="BB979" s="76"/>
      <c r="BC979" s="78"/>
    </row>
    <row r="980" spans="1:55" x14ac:dyDescent="0.25">
      <c r="A980" s="68"/>
      <c r="B980" s="68"/>
      <c r="C980" s="68"/>
      <c r="D980" s="70"/>
      <c r="E980" s="70"/>
      <c r="F980" s="70"/>
      <c r="G980" s="72"/>
      <c r="H980" s="74"/>
      <c r="I980" s="74"/>
      <c r="J980" s="75"/>
      <c r="K980" s="81"/>
      <c r="L980" s="76"/>
      <c r="M980" s="76"/>
      <c r="N980" s="76"/>
      <c r="O980" s="71"/>
      <c r="P980" s="70"/>
      <c r="Q980" s="71"/>
      <c r="R980" s="71"/>
      <c r="S980" s="70"/>
      <c r="T980" s="71"/>
      <c r="U980" s="71"/>
      <c r="V980" s="75"/>
      <c r="W980" s="69"/>
      <c r="X980" s="69"/>
      <c r="Y980" s="69"/>
      <c r="Z980" s="69"/>
      <c r="AA980" s="69"/>
      <c r="AB980" s="69"/>
      <c r="AC980" s="69"/>
      <c r="AD980" s="69"/>
      <c r="AE980" s="76"/>
      <c r="AF980" s="71"/>
      <c r="AG980" s="71"/>
      <c r="AH980" s="71"/>
      <c r="AI980" s="71"/>
      <c r="AJ980" s="71"/>
      <c r="AK980" s="71"/>
      <c r="AL980" s="71"/>
      <c r="AM980" s="71"/>
      <c r="AN980" s="68"/>
      <c r="AO980" s="68"/>
      <c r="AP980" s="70"/>
      <c r="AQ980" s="71"/>
      <c r="AR980" s="77"/>
      <c r="AS980" s="70"/>
      <c r="AT980" s="68"/>
      <c r="AU980" s="70"/>
      <c r="AV980" s="70"/>
      <c r="AW980" s="71"/>
      <c r="AX980" s="71"/>
      <c r="AY980" s="70"/>
      <c r="AZ980" s="76"/>
      <c r="BA980" s="76"/>
      <c r="BB980" s="76"/>
      <c r="BC980" s="78"/>
    </row>
    <row r="981" spans="1:55" x14ac:dyDescent="0.25">
      <c r="A981" s="68"/>
      <c r="B981" s="68"/>
      <c r="C981" s="68"/>
      <c r="D981" s="70"/>
      <c r="E981" s="70"/>
      <c r="F981" s="70"/>
      <c r="G981" s="72"/>
      <c r="H981" s="74"/>
      <c r="I981" s="74"/>
      <c r="J981" s="75"/>
      <c r="K981" s="81"/>
      <c r="L981" s="76"/>
      <c r="M981" s="76"/>
      <c r="N981" s="76"/>
      <c r="O981" s="71"/>
      <c r="P981" s="70"/>
      <c r="Q981" s="71"/>
      <c r="R981" s="71"/>
      <c r="S981" s="70"/>
      <c r="T981" s="71"/>
      <c r="U981" s="71"/>
      <c r="V981" s="75"/>
      <c r="W981" s="69"/>
      <c r="X981" s="69"/>
      <c r="Y981" s="69"/>
      <c r="Z981" s="69"/>
      <c r="AA981" s="69"/>
      <c r="AB981" s="69"/>
      <c r="AC981" s="69"/>
      <c r="AD981" s="69"/>
      <c r="AE981" s="76"/>
      <c r="AF981" s="71"/>
      <c r="AG981" s="71"/>
      <c r="AH981" s="71"/>
      <c r="AI981" s="71"/>
      <c r="AJ981" s="71"/>
      <c r="AK981" s="71"/>
      <c r="AL981" s="71"/>
      <c r="AM981" s="71"/>
      <c r="AN981" s="68"/>
      <c r="AO981" s="68"/>
      <c r="AP981" s="70"/>
      <c r="AQ981" s="71"/>
      <c r="AR981" s="77"/>
      <c r="AS981" s="70"/>
      <c r="AT981" s="68"/>
      <c r="AU981" s="70"/>
      <c r="AV981" s="70"/>
      <c r="AW981" s="71"/>
      <c r="AX981" s="71"/>
      <c r="AY981" s="70"/>
      <c r="AZ981" s="76"/>
      <c r="BA981" s="76"/>
      <c r="BB981" s="76"/>
      <c r="BC981" s="78"/>
    </row>
    <row r="982" spans="1:55" x14ac:dyDescent="0.25">
      <c r="A982" s="68"/>
      <c r="B982" s="68"/>
      <c r="C982" s="68"/>
      <c r="D982" s="70"/>
      <c r="E982" s="70"/>
      <c r="F982" s="70"/>
      <c r="G982" s="72"/>
      <c r="H982" s="74"/>
      <c r="I982" s="74"/>
      <c r="J982" s="75"/>
      <c r="K982" s="81"/>
      <c r="L982" s="76"/>
      <c r="M982" s="76"/>
      <c r="N982" s="76"/>
      <c r="O982" s="71"/>
      <c r="P982" s="70"/>
      <c r="Q982" s="71"/>
      <c r="R982" s="71"/>
      <c r="S982" s="70"/>
      <c r="T982" s="71"/>
      <c r="U982" s="71"/>
      <c r="V982" s="75"/>
      <c r="W982" s="69"/>
      <c r="X982" s="69"/>
      <c r="Y982" s="69"/>
      <c r="Z982" s="69"/>
      <c r="AA982" s="69"/>
      <c r="AB982" s="69"/>
      <c r="AC982" s="69"/>
      <c r="AD982" s="69"/>
      <c r="AE982" s="76"/>
      <c r="AF982" s="71"/>
      <c r="AG982" s="71"/>
      <c r="AH982" s="71"/>
      <c r="AI982" s="71"/>
      <c r="AJ982" s="71"/>
      <c r="AK982" s="71"/>
      <c r="AL982" s="71"/>
      <c r="AM982" s="71"/>
      <c r="AN982" s="68"/>
      <c r="AO982" s="68"/>
      <c r="AP982" s="70"/>
      <c r="AQ982" s="71"/>
      <c r="AR982" s="77"/>
      <c r="AS982" s="70"/>
      <c r="AT982" s="68"/>
      <c r="AU982" s="70"/>
      <c r="AV982" s="70"/>
      <c r="AW982" s="71"/>
      <c r="AX982" s="71"/>
      <c r="AY982" s="70"/>
      <c r="AZ982" s="76"/>
      <c r="BA982" s="76"/>
      <c r="BB982" s="76"/>
      <c r="BC982" s="78"/>
    </row>
    <row r="983" spans="1:55" x14ac:dyDescent="0.25">
      <c r="A983" s="68"/>
      <c r="B983" s="68"/>
      <c r="C983" s="68"/>
      <c r="D983" s="70"/>
      <c r="E983" s="70"/>
      <c r="F983" s="70"/>
      <c r="G983" s="72"/>
      <c r="H983" s="74"/>
      <c r="I983" s="74"/>
      <c r="J983" s="75"/>
      <c r="K983" s="81"/>
      <c r="L983" s="76"/>
      <c r="M983" s="76"/>
      <c r="N983" s="76"/>
      <c r="O983" s="71"/>
      <c r="P983" s="70"/>
      <c r="Q983" s="71"/>
      <c r="R983" s="71"/>
      <c r="S983" s="70"/>
      <c r="T983" s="71"/>
      <c r="U983" s="71"/>
      <c r="V983" s="75"/>
      <c r="W983" s="69"/>
      <c r="X983" s="69"/>
      <c r="Y983" s="69"/>
      <c r="Z983" s="69"/>
      <c r="AA983" s="69"/>
      <c r="AB983" s="69"/>
      <c r="AC983" s="69"/>
      <c r="AD983" s="69"/>
      <c r="AE983" s="76"/>
      <c r="AF983" s="71"/>
      <c r="AG983" s="71"/>
      <c r="AH983" s="71"/>
      <c r="AI983" s="71"/>
      <c r="AJ983" s="71"/>
      <c r="AK983" s="71"/>
      <c r="AL983" s="71"/>
      <c r="AM983" s="71"/>
      <c r="AN983" s="68"/>
      <c r="AO983" s="68"/>
      <c r="AP983" s="70"/>
      <c r="AQ983" s="71"/>
      <c r="AR983" s="77"/>
      <c r="AS983" s="70"/>
      <c r="AT983" s="68"/>
      <c r="AU983" s="70"/>
      <c r="AV983" s="70"/>
      <c r="AW983" s="71"/>
      <c r="AX983" s="71"/>
      <c r="AY983" s="70"/>
      <c r="AZ983" s="76"/>
      <c r="BA983" s="76"/>
      <c r="BB983" s="76"/>
      <c r="BC983" s="78"/>
    </row>
    <row r="984" spans="1:55" x14ac:dyDescent="0.25">
      <c r="A984" s="68"/>
      <c r="B984" s="68"/>
      <c r="C984" s="68"/>
      <c r="D984" s="70"/>
      <c r="E984" s="70"/>
      <c r="F984" s="70"/>
      <c r="G984" s="72"/>
      <c r="H984" s="74"/>
      <c r="I984" s="74"/>
      <c r="J984" s="75"/>
      <c r="K984" s="81"/>
      <c r="L984" s="76"/>
      <c r="M984" s="76"/>
      <c r="N984" s="76"/>
      <c r="O984" s="71"/>
      <c r="P984" s="70"/>
      <c r="Q984" s="71"/>
      <c r="R984" s="71"/>
      <c r="S984" s="70"/>
      <c r="T984" s="71"/>
      <c r="U984" s="71"/>
      <c r="V984" s="75"/>
      <c r="W984" s="69"/>
      <c r="X984" s="69"/>
      <c r="Y984" s="69"/>
      <c r="Z984" s="69"/>
      <c r="AA984" s="69"/>
      <c r="AB984" s="69"/>
      <c r="AC984" s="69"/>
      <c r="AD984" s="69"/>
      <c r="AE984" s="76"/>
      <c r="AF984" s="71"/>
      <c r="AG984" s="71"/>
      <c r="AH984" s="71"/>
      <c r="AI984" s="71"/>
      <c r="AJ984" s="71"/>
      <c r="AK984" s="71"/>
      <c r="AL984" s="71"/>
      <c r="AM984" s="71"/>
      <c r="AN984" s="68"/>
      <c r="AO984" s="68"/>
      <c r="AP984" s="70"/>
      <c r="AQ984" s="71"/>
      <c r="AR984" s="77"/>
      <c r="AS984" s="70"/>
      <c r="AT984" s="68"/>
      <c r="AU984" s="70"/>
      <c r="AV984" s="70"/>
      <c r="AW984" s="71"/>
      <c r="AX984" s="71"/>
      <c r="AY984" s="70"/>
      <c r="AZ984" s="76"/>
      <c r="BA984" s="76"/>
      <c r="BB984" s="76"/>
      <c r="BC984" s="78"/>
    </row>
    <row r="985" spans="1:55" x14ac:dyDescent="0.25">
      <c r="A985" s="68"/>
      <c r="B985" s="68"/>
      <c r="C985" s="68"/>
      <c r="D985" s="70"/>
      <c r="E985" s="70"/>
      <c r="F985" s="70"/>
      <c r="G985" s="72"/>
      <c r="H985" s="74"/>
      <c r="I985" s="74"/>
      <c r="J985" s="75"/>
      <c r="K985" s="81"/>
      <c r="L985" s="76"/>
      <c r="M985" s="76"/>
      <c r="N985" s="76"/>
      <c r="O985" s="71"/>
      <c r="P985" s="70"/>
      <c r="Q985" s="71"/>
      <c r="R985" s="71"/>
      <c r="S985" s="70"/>
      <c r="T985" s="71"/>
      <c r="U985" s="71"/>
      <c r="V985" s="75"/>
      <c r="W985" s="69"/>
      <c r="X985" s="69"/>
      <c r="Y985" s="69"/>
      <c r="Z985" s="69"/>
      <c r="AA985" s="69"/>
      <c r="AB985" s="69"/>
      <c r="AC985" s="69"/>
      <c r="AD985" s="69"/>
      <c r="AE985" s="76"/>
      <c r="AF985" s="71"/>
      <c r="AG985" s="71"/>
      <c r="AH985" s="71"/>
      <c r="AI985" s="71"/>
      <c r="AJ985" s="71"/>
      <c r="AK985" s="71"/>
      <c r="AL985" s="71"/>
      <c r="AM985" s="71"/>
      <c r="AN985" s="68"/>
      <c r="AO985" s="68"/>
      <c r="AP985" s="70"/>
      <c r="AQ985" s="71"/>
      <c r="AR985" s="77"/>
      <c r="AS985" s="70"/>
      <c r="AT985" s="68"/>
      <c r="AU985" s="70"/>
      <c r="AV985" s="70"/>
      <c r="AW985" s="71"/>
      <c r="AX985" s="71"/>
      <c r="AY985" s="70"/>
      <c r="AZ985" s="76"/>
      <c r="BA985" s="76"/>
      <c r="BB985" s="76"/>
      <c r="BC985" s="78"/>
    </row>
    <row r="986" spans="1:55" x14ac:dyDescent="0.25">
      <c r="A986" s="68"/>
      <c r="B986" s="68"/>
      <c r="C986" s="68"/>
      <c r="D986" s="70"/>
      <c r="E986" s="70"/>
      <c r="F986" s="70"/>
      <c r="G986" s="72"/>
      <c r="H986" s="74"/>
      <c r="I986" s="74"/>
      <c r="J986" s="75"/>
      <c r="K986" s="81"/>
      <c r="L986" s="76"/>
      <c r="M986" s="76"/>
      <c r="N986" s="76"/>
      <c r="O986" s="71"/>
      <c r="P986" s="70"/>
      <c r="Q986" s="71"/>
      <c r="R986" s="71"/>
      <c r="S986" s="70"/>
      <c r="T986" s="71"/>
      <c r="U986" s="71"/>
      <c r="V986" s="75"/>
      <c r="W986" s="69"/>
      <c r="X986" s="69"/>
      <c r="Y986" s="69"/>
      <c r="Z986" s="69"/>
      <c r="AA986" s="69"/>
      <c r="AB986" s="69"/>
      <c r="AC986" s="69"/>
      <c r="AD986" s="69"/>
      <c r="AE986" s="76"/>
      <c r="AF986" s="71"/>
      <c r="AG986" s="71"/>
      <c r="AH986" s="71"/>
      <c r="AI986" s="71"/>
      <c r="AJ986" s="71"/>
      <c r="AK986" s="71"/>
      <c r="AL986" s="71"/>
      <c r="AM986" s="71"/>
      <c r="AN986" s="68"/>
      <c r="AO986" s="68"/>
      <c r="AP986" s="70"/>
      <c r="AQ986" s="71"/>
      <c r="AR986" s="77"/>
      <c r="AS986" s="70"/>
      <c r="AT986" s="68"/>
      <c r="AU986" s="70"/>
      <c r="AV986" s="70"/>
      <c r="AW986" s="71"/>
      <c r="AX986" s="71"/>
      <c r="AY986" s="70"/>
      <c r="AZ986" s="76"/>
      <c r="BA986" s="76"/>
      <c r="BB986" s="76"/>
      <c r="BC986" s="78"/>
    </row>
    <row r="987" spans="1:55" x14ac:dyDescent="0.25">
      <c r="A987" s="68"/>
      <c r="B987" s="68"/>
      <c r="C987" s="68"/>
      <c r="D987" s="70"/>
      <c r="E987" s="70"/>
      <c r="F987" s="70"/>
      <c r="G987" s="72"/>
      <c r="H987" s="74"/>
      <c r="I987" s="74"/>
      <c r="J987" s="75"/>
      <c r="K987" s="81"/>
      <c r="L987" s="76"/>
      <c r="M987" s="76"/>
      <c r="N987" s="76"/>
      <c r="O987" s="71"/>
      <c r="P987" s="70"/>
      <c r="Q987" s="71"/>
      <c r="R987" s="71"/>
      <c r="S987" s="70"/>
      <c r="T987" s="71"/>
      <c r="U987" s="71"/>
      <c r="V987" s="75"/>
      <c r="W987" s="69"/>
      <c r="X987" s="69"/>
      <c r="Y987" s="69"/>
      <c r="Z987" s="69"/>
      <c r="AA987" s="69"/>
      <c r="AB987" s="69"/>
      <c r="AC987" s="69"/>
      <c r="AD987" s="69"/>
      <c r="AE987" s="76"/>
      <c r="AF987" s="71"/>
      <c r="AG987" s="71"/>
      <c r="AH987" s="71"/>
      <c r="AI987" s="71"/>
      <c r="AJ987" s="71"/>
      <c r="AK987" s="71"/>
      <c r="AL987" s="71"/>
      <c r="AM987" s="71"/>
      <c r="AN987" s="68"/>
      <c r="AO987" s="68"/>
      <c r="AP987" s="70"/>
      <c r="AQ987" s="71"/>
      <c r="AR987" s="77"/>
      <c r="AS987" s="70"/>
      <c r="AT987" s="68"/>
      <c r="AU987" s="70"/>
      <c r="AV987" s="70"/>
      <c r="AW987" s="71"/>
      <c r="AX987" s="71"/>
      <c r="AY987" s="70"/>
      <c r="AZ987" s="76"/>
      <c r="BA987" s="76"/>
      <c r="BB987" s="76"/>
      <c r="BC987" s="78"/>
    </row>
    <row r="988" spans="1:55" x14ac:dyDescent="0.25">
      <c r="A988" s="68"/>
      <c r="B988" s="68"/>
      <c r="C988" s="68"/>
      <c r="D988" s="70"/>
      <c r="E988" s="70"/>
      <c r="F988" s="70"/>
      <c r="G988" s="72"/>
      <c r="H988" s="74"/>
      <c r="I988" s="74"/>
      <c r="J988" s="75"/>
      <c r="K988" s="81"/>
      <c r="L988" s="76"/>
      <c r="M988" s="76"/>
      <c r="N988" s="76"/>
      <c r="O988" s="71"/>
      <c r="P988" s="70"/>
      <c r="Q988" s="71"/>
      <c r="R988" s="71"/>
      <c r="S988" s="70"/>
      <c r="T988" s="71"/>
      <c r="U988" s="71"/>
      <c r="V988" s="75"/>
      <c r="W988" s="69"/>
      <c r="X988" s="69"/>
      <c r="Y988" s="69"/>
      <c r="Z988" s="69"/>
      <c r="AA988" s="69"/>
      <c r="AB988" s="69"/>
      <c r="AC988" s="69"/>
      <c r="AD988" s="69"/>
      <c r="AE988" s="76"/>
      <c r="AF988" s="71"/>
      <c r="AG988" s="71"/>
      <c r="AH988" s="71"/>
      <c r="AI988" s="71"/>
      <c r="AJ988" s="71"/>
      <c r="AK988" s="71"/>
      <c r="AL988" s="71"/>
      <c r="AM988" s="71"/>
      <c r="AN988" s="68"/>
      <c r="AO988" s="68"/>
      <c r="AP988" s="70"/>
      <c r="AQ988" s="71"/>
      <c r="AR988" s="77"/>
      <c r="AS988" s="70"/>
      <c r="AT988" s="68"/>
      <c r="AU988" s="70"/>
      <c r="AV988" s="70"/>
      <c r="AW988" s="71"/>
      <c r="AX988" s="71"/>
      <c r="AY988" s="70"/>
      <c r="AZ988" s="76"/>
      <c r="BA988" s="76"/>
      <c r="BB988" s="76"/>
      <c r="BC988" s="78"/>
    </row>
    <row r="989" spans="1:55" x14ac:dyDescent="0.25">
      <c r="A989" s="68"/>
      <c r="B989" s="68"/>
      <c r="C989" s="68"/>
      <c r="D989" s="70"/>
      <c r="E989" s="70"/>
      <c r="F989" s="70"/>
      <c r="G989" s="72"/>
      <c r="H989" s="74"/>
      <c r="I989" s="74"/>
      <c r="J989" s="75"/>
      <c r="K989" s="81"/>
      <c r="L989" s="76"/>
      <c r="M989" s="76"/>
      <c r="N989" s="76"/>
      <c r="O989" s="71"/>
      <c r="P989" s="70"/>
      <c r="Q989" s="71"/>
      <c r="R989" s="71"/>
      <c r="S989" s="70"/>
      <c r="T989" s="71"/>
      <c r="U989" s="71"/>
      <c r="V989" s="75"/>
      <c r="W989" s="69"/>
      <c r="X989" s="69"/>
      <c r="Y989" s="69"/>
      <c r="Z989" s="69"/>
      <c r="AA989" s="69"/>
      <c r="AB989" s="69"/>
      <c r="AC989" s="69"/>
      <c r="AD989" s="69"/>
      <c r="AE989" s="76"/>
      <c r="AF989" s="71"/>
      <c r="AG989" s="71"/>
      <c r="AH989" s="71"/>
      <c r="AI989" s="71"/>
      <c r="AJ989" s="71"/>
      <c r="AK989" s="71"/>
      <c r="AL989" s="71"/>
      <c r="AM989" s="71"/>
      <c r="AN989" s="68"/>
      <c r="AO989" s="68"/>
      <c r="AP989" s="70"/>
      <c r="AQ989" s="71"/>
      <c r="AR989" s="77"/>
      <c r="AS989" s="70"/>
      <c r="AT989" s="68"/>
      <c r="AU989" s="70"/>
      <c r="AV989" s="70"/>
      <c r="AW989" s="71"/>
      <c r="AX989" s="71"/>
      <c r="AY989" s="70"/>
      <c r="AZ989" s="76"/>
      <c r="BA989" s="76"/>
      <c r="BB989" s="76"/>
      <c r="BC989" s="78"/>
    </row>
    <row r="990" spans="1:55" x14ac:dyDescent="0.25">
      <c r="A990" s="68"/>
      <c r="B990" s="68"/>
      <c r="C990" s="68"/>
      <c r="D990" s="70"/>
      <c r="E990" s="70"/>
      <c r="F990" s="70"/>
      <c r="G990" s="72"/>
      <c r="H990" s="74"/>
      <c r="I990" s="74"/>
      <c r="J990" s="75"/>
      <c r="K990" s="81"/>
      <c r="L990" s="76"/>
      <c r="M990" s="76"/>
      <c r="N990" s="76"/>
      <c r="O990" s="71"/>
      <c r="P990" s="70"/>
      <c r="Q990" s="71"/>
      <c r="R990" s="71"/>
      <c r="S990" s="70"/>
      <c r="T990" s="71"/>
      <c r="U990" s="71"/>
      <c r="V990" s="75"/>
      <c r="W990" s="69"/>
      <c r="X990" s="69"/>
      <c r="Y990" s="69"/>
      <c r="Z990" s="69"/>
      <c r="AA990" s="69"/>
      <c r="AB990" s="69"/>
      <c r="AC990" s="69"/>
      <c r="AD990" s="69"/>
      <c r="AE990" s="76"/>
      <c r="AF990" s="71"/>
      <c r="AG990" s="71"/>
      <c r="AH990" s="71"/>
      <c r="AI990" s="71"/>
      <c r="AJ990" s="71"/>
      <c r="AK990" s="71"/>
      <c r="AL990" s="71"/>
      <c r="AM990" s="71"/>
      <c r="AN990" s="68"/>
      <c r="AO990" s="68"/>
      <c r="AP990" s="70"/>
      <c r="AQ990" s="71"/>
      <c r="AR990" s="77"/>
      <c r="AS990" s="70"/>
      <c r="AT990" s="68"/>
      <c r="AU990" s="70"/>
      <c r="AV990" s="70"/>
      <c r="AW990" s="71"/>
      <c r="AX990" s="71"/>
      <c r="AY990" s="70"/>
      <c r="AZ990" s="76"/>
      <c r="BA990" s="76"/>
      <c r="BB990" s="76"/>
      <c r="BC990" s="78"/>
    </row>
    <row r="991" spans="1:55" x14ac:dyDescent="0.25">
      <c r="A991" s="68"/>
      <c r="B991" s="68"/>
      <c r="C991" s="68"/>
      <c r="D991" s="70"/>
      <c r="E991" s="70"/>
      <c r="F991" s="70"/>
      <c r="G991" s="72"/>
      <c r="H991" s="74"/>
      <c r="I991" s="74"/>
      <c r="J991" s="75"/>
      <c r="K991" s="81"/>
      <c r="L991" s="76"/>
      <c r="M991" s="76"/>
      <c r="N991" s="76"/>
      <c r="O991" s="71"/>
      <c r="P991" s="70"/>
      <c r="Q991" s="71"/>
      <c r="R991" s="71"/>
      <c r="S991" s="70"/>
      <c r="T991" s="71"/>
      <c r="U991" s="71"/>
      <c r="V991" s="75"/>
      <c r="W991" s="69"/>
      <c r="X991" s="69"/>
      <c r="Y991" s="69"/>
      <c r="Z991" s="69"/>
      <c r="AA991" s="69"/>
      <c r="AB991" s="69"/>
      <c r="AC991" s="69"/>
      <c r="AD991" s="69"/>
      <c r="AE991" s="76"/>
      <c r="AF991" s="71"/>
      <c r="AG991" s="71"/>
      <c r="AH991" s="71"/>
      <c r="AI991" s="71"/>
      <c r="AJ991" s="71"/>
      <c r="AK991" s="71"/>
      <c r="AL991" s="71"/>
      <c r="AM991" s="71"/>
      <c r="AN991" s="68"/>
      <c r="AO991" s="68"/>
      <c r="AP991" s="70"/>
      <c r="AQ991" s="71"/>
      <c r="AR991" s="77"/>
      <c r="AS991" s="70"/>
      <c r="AT991" s="68"/>
      <c r="AU991" s="70"/>
      <c r="AV991" s="70"/>
      <c r="AW991" s="71"/>
      <c r="AX991" s="71"/>
      <c r="AY991" s="70"/>
      <c r="AZ991" s="76"/>
      <c r="BA991" s="76"/>
      <c r="BB991" s="76"/>
      <c r="BC991" s="78"/>
    </row>
    <row r="992" spans="1:55" x14ac:dyDescent="0.25">
      <c r="A992" s="68"/>
      <c r="B992" s="68"/>
      <c r="C992" s="68"/>
      <c r="D992" s="70"/>
      <c r="E992" s="70"/>
      <c r="F992" s="70"/>
      <c r="G992" s="72"/>
      <c r="H992" s="74"/>
      <c r="I992" s="74"/>
      <c r="J992" s="75"/>
      <c r="K992" s="81"/>
      <c r="L992" s="76"/>
      <c r="M992" s="76"/>
      <c r="N992" s="76"/>
      <c r="O992" s="71"/>
      <c r="P992" s="70"/>
      <c r="Q992" s="71"/>
      <c r="R992" s="71"/>
      <c r="S992" s="70"/>
      <c r="T992" s="71"/>
      <c r="U992" s="71"/>
      <c r="V992" s="75"/>
      <c r="W992" s="69"/>
      <c r="X992" s="69"/>
      <c r="Y992" s="69"/>
      <c r="Z992" s="69"/>
      <c r="AA992" s="69"/>
      <c r="AB992" s="69"/>
      <c r="AC992" s="69"/>
      <c r="AD992" s="69"/>
      <c r="AE992" s="76"/>
      <c r="AF992" s="71"/>
      <c r="AG992" s="71"/>
      <c r="AH992" s="71"/>
      <c r="AI992" s="71"/>
      <c r="AJ992" s="71"/>
      <c r="AK992" s="71"/>
      <c r="AL992" s="71"/>
      <c r="AM992" s="71"/>
      <c r="AN992" s="68"/>
      <c r="AO992" s="68"/>
      <c r="AP992" s="70"/>
      <c r="AQ992" s="71"/>
      <c r="AR992" s="77"/>
      <c r="AS992" s="70"/>
      <c r="AT992" s="68"/>
      <c r="AU992" s="70"/>
      <c r="AV992" s="70"/>
      <c r="AW992" s="71"/>
      <c r="AX992" s="71"/>
      <c r="AY992" s="70"/>
      <c r="AZ992" s="76"/>
      <c r="BA992" s="76"/>
      <c r="BB992" s="76"/>
      <c r="BC992" s="78"/>
    </row>
    <row r="993" spans="1:55" x14ac:dyDescent="0.25">
      <c r="A993" s="68"/>
      <c r="B993" s="68"/>
      <c r="C993" s="68"/>
      <c r="D993" s="70"/>
      <c r="E993" s="70"/>
      <c r="F993" s="70"/>
      <c r="G993" s="72"/>
      <c r="H993" s="74"/>
      <c r="I993" s="74"/>
      <c r="J993" s="75"/>
      <c r="K993" s="81"/>
      <c r="L993" s="76"/>
      <c r="M993" s="76"/>
      <c r="N993" s="76"/>
      <c r="O993" s="71"/>
      <c r="P993" s="70"/>
      <c r="Q993" s="71"/>
      <c r="R993" s="71"/>
      <c r="S993" s="70"/>
      <c r="T993" s="71"/>
      <c r="U993" s="71"/>
      <c r="V993" s="75"/>
      <c r="W993" s="69"/>
      <c r="X993" s="69"/>
      <c r="Y993" s="69"/>
      <c r="Z993" s="69"/>
      <c r="AA993" s="69"/>
      <c r="AB993" s="69"/>
      <c r="AC993" s="69"/>
      <c r="AD993" s="69"/>
      <c r="AE993" s="76"/>
      <c r="AF993" s="71"/>
      <c r="AG993" s="71"/>
      <c r="AH993" s="71"/>
      <c r="AI993" s="71"/>
      <c r="AJ993" s="71"/>
      <c r="AK993" s="71"/>
      <c r="AL993" s="71"/>
      <c r="AM993" s="71"/>
      <c r="AN993" s="68"/>
      <c r="AO993" s="68"/>
      <c r="AP993" s="70"/>
      <c r="AQ993" s="71"/>
      <c r="AR993" s="77"/>
      <c r="AS993" s="70"/>
      <c r="AT993" s="68"/>
      <c r="AU993" s="70"/>
      <c r="AV993" s="70"/>
      <c r="AW993" s="71"/>
      <c r="AX993" s="71"/>
      <c r="AY993" s="70"/>
      <c r="AZ993" s="76"/>
      <c r="BA993" s="76"/>
      <c r="BB993" s="76"/>
      <c r="BC993" s="78"/>
    </row>
    <row r="994" spans="1:55" x14ac:dyDescent="0.25">
      <c r="A994" s="68"/>
      <c r="B994" s="68"/>
      <c r="C994" s="68"/>
      <c r="D994" s="70"/>
      <c r="E994" s="70"/>
      <c r="F994" s="70"/>
      <c r="G994" s="72"/>
      <c r="H994" s="74"/>
      <c r="I994" s="74"/>
      <c r="J994" s="75"/>
      <c r="K994" s="81"/>
      <c r="L994" s="76"/>
      <c r="M994" s="76"/>
      <c r="N994" s="76"/>
      <c r="O994" s="71"/>
      <c r="P994" s="70"/>
      <c r="Q994" s="71"/>
      <c r="R994" s="71"/>
      <c r="S994" s="70"/>
      <c r="T994" s="71"/>
      <c r="U994" s="71"/>
      <c r="V994" s="75"/>
      <c r="W994" s="69"/>
      <c r="X994" s="69"/>
      <c r="Y994" s="69"/>
      <c r="Z994" s="69"/>
      <c r="AA994" s="69"/>
      <c r="AB994" s="69"/>
      <c r="AC994" s="69"/>
      <c r="AD994" s="69"/>
      <c r="AE994" s="76"/>
      <c r="AF994" s="71"/>
      <c r="AG994" s="71"/>
      <c r="AH994" s="71"/>
      <c r="AI994" s="71"/>
      <c r="AJ994" s="71"/>
      <c r="AK994" s="71"/>
      <c r="AL994" s="71"/>
      <c r="AM994" s="71"/>
      <c r="AN994" s="68"/>
      <c r="AO994" s="68"/>
      <c r="AP994" s="70"/>
      <c r="AQ994" s="71"/>
      <c r="AR994" s="77"/>
      <c r="AS994" s="70"/>
      <c r="AT994" s="68"/>
      <c r="AU994" s="70"/>
      <c r="AV994" s="70"/>
      <c r="AW994" s="71"/>
      <c r="AX994" s="71"/>
      <c r="AY994" s="70"/>
      <c r="AZ994" s="76"/>
      <c r="BA994" s="76"/>
      <c r="BB994" s="76"/>
      <c r="BC994" s="78"/>
    </row>
    <row r="995" spans="1:55" x14ac:dyDescent="0.25">
      <c r="A995" s="68"/>
      <c r="B995" s="68"/>
      <c r="C995" s="68"/>
      <c r="D995" s="70"/>
      <c r="E995" s="70"/>
      <c r="F995" s="70"/>
      <c r="G995" s="72"/>
      <c r="H995" s="74"/>
      <c r="I995" s="74"/>
      <c r="J995" s="75"/>
      <c r="K995" s="81"/>
      <c r="L995" s="76"/>
      <c r="M995" s="76"/>
      <c r="N995" s="76"/>
      <c r="O995" s="71"/>
      <c r="P995" s="70"/>
      <c r="Q995" s="71"/>
      <c r="R995" s="71"/>
      <c r="S995" s="70"/>
      <c r="T995" s="71"/>
      <c r="U995" s="71"/>
      <c r="V995" s="75"/>
      <c r="W995" s="69"/>
      <c r="X995" s="69"/>
      <c r="Y995" s="69"/>
      <c r="Z995" s="69"/>
      <c r="AA995" s="69"/>
      <c r="AB995" s="69"/>
      <c r="AC995" s="69"/>
      <c r="AD995" s="69"/>
      <c r="AE995" s="76"/>
      <c r="AF995" s="71"/>
      <c r="AG995" s="71"/>
      <c r="AH995" s="71"/>
      <c r="AI995" s="71"/>
      <c r="AJ995" s="71"/>
      <c r="AK995" s="71"/>
      <c r="AL995" s="71"/>
      <c r="AM995" s="71"/>
      <c r="AN995" s="68"/>
      <c r="AO995" s="68"/>
      <c r="AP995" s="70"/>
      <c r="AQ995" s="71"/>
      <c r="AR995" s="77"/>
      <c r="AS995" s="70"/>
      <c r="AT995" s="68"/>
      <c r="AU995" s="70"/>
      <c r="AV995" s="70"/>
      <c r="AW995" s="71"/>
      <c r="AX995" s="71"/>
      <c r="AY995" s="70"/>
      <c r="AZ995" s="76"/>
      <c r="BA995" s="76"/>
      <c r="BB995" s="76"/>
      <c r="BC995" s="78"/>
    </row>
    <row r="996" spans="1:55" x14ac:dyDescent="0.25">
      <c r="A996" s="68"/>
      <c r="B996" s="68"/>
      <c r="C996" s="68"/>
      <c r="D996" s="70"/>
      <c r="E996" s="70"/>
      <c r="F996" s="70"/>
      <c r="G996" s="72"/>
      <c r="H996" s="74"/>
      <c r="I996" s="74"/>
      <c r="J996" s="75"/>
      <c r="K996" s="81"/>
      <c r="L996" s="76"/>
      <c r="M996" s="76"/>
      <c r="N996" s="76"/>
      <c r="O996" s="71"/>
      <c r="P996" s="70"/>
      <c r="Q996" s="71"/>
      <c r="R996" s="71"/>
      <c r="S996" s="70"/>
      <c r="T996" s="71"/>
      <c r="U996" s="71"/>
      <c r="V996" s="75"/>
      <c r="W996" s="69"/>
      <c r="X996" s="69"/>
      <c r="Y996" s="69"/>
      <c r="Z996" s="69"/>
      <c r="AA996" s="69"/>
      <c r="AB996" s="69"/>
      <c r="AC996" s="69"/>
      <c r="AD996" s="69"/>
      <c r="AE996" s="76"/>
      <c r="AF996" s="71"/>
      <c r="AG996" s="71"/>
      <c r="AH996" s="71"/>
      <c r="AI996" s="71"/>
      <c r="AJ996" s="71"/>
      <c r="AK996" s="71"/>
      <c r="AL996" s="71"/>
      <c r="AM996" s="71"/>
      <c r="AN996" s="68"/>
      <c r="AO996" s="68"/>
      <c r="AP996" s="70"/>
      <c r="AQ996" s="71"/>
      <c r="AR996" s="77"/>
      <c r="AS996" s="70"/>
      <c r="AT996" s="68"/>
      <c r="AU996" s="70"/>
      <c r="AV996" s="70"/>
      <c r="AW996" s="71"/>
      <c r="AX996" s="71"/>
      <c r="AY996" s="70"/>
      <c r="AZ996" s="76"/>
      <c r="BA996" s="76"/>
      <c r="BB996" s="76"/>
      <c r="BC996" s="78"/>
    </row>
    <row r="997" spans="1:55" x14ac:dyDescent="0.25">
      <c r="A997" s="68"/>
      <c r="B997" s="68"/>
      <c r="C997" s="68"/>
      <c r="D997" s="70"/>
      <c r="E997" s="70"/>
      <c r="F997" s="70"/>
      <c r="G997" s="72"/>
      <c r="H997" s="74"/>
      <c r="I997" s="74"/>
      <c r="J997" s="75"/>
      <c r="K997" s="81"/>
      <c r="L997" s="76"/>
      <c r="M997" s="76"/>
      <c r="N997" s="76"/>
      <c r="O997" s="71"/>
      <c r="P997" s="70"/>
      <c r="Q997" s="71"/>
      <c r="R997" s="71"/>
      <c r="S997" s="70"/>
      <c r="T997" s="71"/>
      <c r="U997" s="71"/>
      <c r="V997" s="75"/>
      <c r="W997" s="69"/>
      <c r="X997" s="69"/>
      <c r="Y997" s="69"/>
      <c r="Z997" s="69"/>
      <c r="AA997" s="69"/>
      <c r="AB997" s="69"/>
      <c r="AC997" s="69"/>
      <c r="AD997" s="69"/>
      <c r="AE997" s="76"/>
      <c r="AF997" s="71"/>
      <c r="AG997" s="71"/>
      <c r="AH997" s="71"/>
      <c r="AI997" s="71"/>
      <c r="AJ997" s="71"/>
      <c r="AK997" s="71"/>
      <c r="AL997" s="71"/>
      <c r="AM997" s="71"/>
      <c r="AN997" s="68"/>
      <c r="AO997" s="68"/>
      <c r="AP997" s="70"/>
      <c r="AQ997" s="71"/>
      <c r="AR997" s="77"/>
      <c r="AS997" s="70"/>
      <c r="AT997" s="68"/>
      <c r="AU997" s="70"/>
      <c r="AV997" s="70"/>
      <c r="AW997" s="71"/>
      <c r="AX997" s="71"/>
      <c r="AY997" s="70"/>
      <c r="AZ997" s="76"/>
      <c r="BA997" s="76"/>
      <c r="BB997" s="76"/>
      <c r="BC997" s="78"/>
    </row>
    <row r="998" spans="1:55" x14ac:dyDescent="0.25">
      <c r="A998" s="68"/>
      <c r="B998" s="68"/>
      <c r="C998" s="68"/>
      <c r="D998" s="70"/>
      <c r="E998" s="70"/>
      <c r="F998" s="70"/>
      <c r="G998" s="72"/>
      <c r="H998" s="74"/>
      <c r="I998" s="74"/>
      <c r="J998" s="75"/>
      <c r="K998" s="81"/>
      <c r="L998" s="76"/>
      <c r="M998" s="76"/>
      <c r="N998" s="76"/>
      <c r="O998" s="71"/>
      <c r="P998" s="70"/>
      <c r="Q998" s="71"/>
      <c r="R998" s="71"/>
      <c r="S998" s="70"/>
      <c r="T998" s="71"/>
      <c r="U998" s="71"/>
      <c r="V998" s="75"/>
      <c r="W998" s="69"/>
      <c r="X998" s="69"/>
      <c r="Y998" s="69"/>
      <c r="Z998" s="69"/>
      <c r="AA998" s="69"/>
      <c r="AB998" s="69"/>
      <c r="AC998" s="69"/>
      <c r="AD998" s="69"/>
      <c r="AE998" s="76"/>
      <c r="AF998" s="71"/>
      <c r="AG998" s="71"/>
      <c r="AH998" s="71"/>
      <c r="AI998" s="71"/>
      <c r="AJ998" s="71"/>
      <c r="AK998" s="71"/>
      <c r="AL998" s="71"/>
      <c r="AM998" s="71"/>
      <c r="AN998" s="68"/>
      <c r="AO998" s="68"/>
      <c r="AP998" s="70"/>
      <c r="AQ998" s="71"/>
      <c r="AR998" s="77"/>
      <c r="AS998" s="70"/>
      <c r="AT998" s="68"/>
      <c r="AU998" s="70"/>
      <c r="AV998" s="70"/>
      <c r="AW998" s="71"/>
      <c r="AX998" s="71"/>
      <c r="AY998" s="70"/>
      <c r="AZ998" s="76"/>
      <c r="BA998" s="76"/>
      <c r="BB998" s="76"/>
      <c r="BC998" s="78"/>
    </row>
    <row r="999" spans="1:55" x14ac:dyDescent="0.25">
      <c r="A999" s="68"/>
      <c r="B999" s="68"/>
      <c r="C999" s="68"/>
      <c r="D999" s="70"/>
      <c r="E999" s="70"/>
      <c r="F999" s="70"/>
      <c r="G999" s="72"/>
      <c r="H999" s="74"/>
      <c r="I999" s="74"/>
      <c r="J999" s="75"/>
      <c r="K999" s="81"/>
      <c r="L999" s="76"/>
      <c r="M999" s="76"/>
      <c r="N999" s="76"/>
      <c r="O999" s="71"/>
      <c r="P999" s="70"/>
      <c r="Q999" s="71"/>
      <c r="R999" s="71"/>
      <c r="S999" s="70"/>
      <c r="T999" s="71"/>
      <c r="U999" s="71"/>
      <c r="V999" s="75"/>
      <c r="W999" s="69"/>
      <c r="X999" s="69"/>
      <c r="Y999" s="69"/>
      <c r="Z999" s="69"/>
      <c r="AA999" s="69"/>
      <c r="AB999" s="69"/>
      <c r="AC999" s="69"/>
      <c r="AD999" s="69"/>
      <c r="AE999" s="76"/>
      <c r="AF999" s="71"/>
      <c r="AG999" s="71"/>
      <c r="AH999" s="71"/>
      <c r="AI999" s="71"/>
      <c r="AJ999" s="71"/>
      <c r="AK999" s="71"/>
      <c r="AL999" s="71"/>
      <c r="AM999" s="71"/>
      <c r="AN999" s="68"/>
      <c r="AO999" s="68"/>
      <c r="AP999" s="70"/>
      <c r="AQ999" s="71"/>
      <c r="AR999" s="77"/>
      <c r="AS999" s="70"/>
      <c r="AT999" s="68"/>
      <c r="AU999" s="70"/>
      <c r="AV999" s="70"/>
      <c r="AW999" s="71"/>
      <c r="AX999" s="71"/>
      <c r="AY999" s="70"/>
      <c r="AZ999" s="76"/>
      <c r="BA999" s="76"/>
      <c r="BB999" s="76"/>
      <c r="BC999" s="78"/>
    </row>
    <row r="1000" spans="1:55" x14ac:dyDescent="0.25">
      <c r="A1000" s="68"/>
      <c r="B1000" s="68"/>
      <c r="C1000" s="68"/>
      <c r="D1000" s="70"/>
      <c r="E1000" s="70"/>
      <c r="F1000" s="70"/>
      <c r="G1000" s="72"/>
      <c r="H1000" s="74"/>
      <c r="I1000" s="74"/>
      <c r="J1000" s="75"/>
      <c r="K1000" s="81"/>
      <c r="L1000" s="76"/>
      <c r="M1000" s="76"/>
      <c r="N1000" s="76"/>
      <c r="O1000" s="71"/>
      <c r="P1000" s="70"/>
      <c r="Q1000" s="71"/>
      <c r="R1000" s="71"/>
      <c r="S1000" s="70"/>
      <c r="T1000" s="71"/>
      <c r="U1000" s="71"/>
      <c r="V1000" s="75"/>
      <c r="W1000" s="69"/>
      <c r="X1000" s="69"/>
      <c r="Y1000" s="69"/>
      <c r="Z1000" s="69"/>
      <c r="AA1000" s="69"/>
      <c r="AB1000" s="69"/>
      <c r="AC1000" s="69"/>
      <c r="AD1000" s="69"/>
      <c r="AE1000" s="76"/>
      <c r="AF1000" s="71"/>
      <c r="AG1000" s="71"/>
      <c r="AH1000" s="71"/>
      <c r="AI1000" s="71"/>
      <c r="AJ1000" s="71"/>
      <c r="AK1000" s="71"/>
      <c r="AL1000" s="71"/>
      <c r="AM1000" s="71"/>
      <c r="AN1000" s="68"/>
      <c r="AO1000" s="68"/>
      <c r="AP1000" s="70"/>
      <c r="AQ1000" s="71"/>
      <c r="AR1000" s="77"/>
      <c r="AS1000" s="70"/>
      <c r="AT1000" s="68"/>
      <c r="AU1000" s="70"/>
      <c r="AV1000" s="70"/>
      <c r="AW1000" s="71"/>
      <c r="AX1000" s="71"/>
      <c r="AY1000" s="70"/>
      <c r="AZ1000" s="76"/>
      <c r="BA1000" s="76"/>
      <c r="BB1000" s="76"/>
      <c r="BC1000" s="78"/>
    </row>
    <row r="1001" spans="1:55" x14ac:dyDescent="0.25">
      <c r="A1001" s="68"/>
      <c r="B1001" s="68"/>
      <c r="C1001" s="68"/>
      <c r="D1001" s="70"/>
      <c r="E1001" s="70"/>
      <c r="F1001" s="70"/>
      <c r="G1001" s="72"/>
      <c r="H1001" s="74"/>
      <c r="I1001" s="74"/>
      <c r="J1001" s="75"/>
      <c r="K1001" s="81"/>
      <c r="L1001" s="76"/>
      <c r="M1001" s="76"/>
      <c r="N1001" s="76"/>
      <c r="O1001" s="71"/>
      <c r="P1001" s="70"/>
      <c r="Q1001" s="71"/>
      <c r="R1001" s="71"/>
      <c r="S1001" s="70"/>
      <c r="T1001" s="71"/>
      <c r="U1001" s="71"/>
      <c r="V1001" s="75"/>
      <c r="W1001" s="69"/>
      <c r="X1001" s="69"/>
      <c r="Y1001" s="69"/>
      <c r="Z1001" s="69"/>
      <c r="AA1001" s="69"/>
      <c r="AB1001" s="69"/>
      <c r="AC1001" s="69"/>
      <c r="AD1001" s="69"/>
      <c r="AE1001" s="76"/>
      <c r="AF1001" s="71"/>
      <c r="AG1001" s="71"/>
      <c r="AH1001" s="71"/>
      <c r="AI1001" s="71"/>
      <c r="AJ1001" s="71"/>
      <c r="AK1001" s="71"/>
      <c r="AL1001" s="71"/>
      <c r="AM1001" s="71"/>
      <c r="AN1001" s="68"/>
      <c r="AO1001" s="68"/>
      <c r="AP1001" s="70"/>
      <c r="AQ1001" s="71"/>
      <c r="AR1001" s="77"/>
      <c r="AS1001" s="70"/>
      <c r="AT1001" s="68"/>
      <c r="AU1001" s="70"/>
      <c r="AV1001" s="70"/>
      <c r="AW1001" s="71"/>
      <c r="AX1001" s="71"/>
      <c r="AY1001" s="70"/>
      <c r="AZ1001" s="76"/>
      <c r="BA1001" s="76"/>
      <c r="BB1001" s="76"/>
      <c r="BC1001" s="78"/>
    </row>
    <row r="1002" spans="1:55" x14ac:dyDescent="0.25">
      <c r="A1002" s="68"/>
      <c r="B1002" s="68"/>
      <c r="C1002" s="68"/>
      <c r="D1002" s="70"/>
      <c r="E1002" s="70"/>
      <c r="F1002" s="70"/>
      <c r="G1002" s="72"/>
      <c r="H1002" s="74"/>
      <c r="I1002" s="74"/>
      <c r="J1002" s="75"/>
      <c r="K1002" s="81"/>
      <c r="L1002" s="76"/>
      <c r="M1002" s="76"/>
      <c r="N1002" s="76"/>
      <c r="O1002" s="71"/>
      <c r="P1002" s="70"/>
      <c r="Q1002" s="71"/>
      <c r="R1002" s="71"/>
      <c r="S1002" s="70"/>
      <c r="T1002" s="71"/>
      <c r="U1002" s="71"/>
      <c r="V1002" s="75"/>
      <c r="W1002" s="69"/>
      <c r="X1002" s="69"/>
      <c r="Y1002" s="69"/>
      <c r="Z1002" s="69"/>
      <c r="AA1002" s="69"/>
      <c r="AB1002" s="69"/>
      <c r="AC1002" s="69"/>
      <c r="AD1002" s="69"/>
      <c r="AE1002" s="76"/>
      <c r="AF1002" s="71"/>
      <c r="AG1002" s="71"/>
      <c r="AH1002" s="71"/>
      <c r="AI1002" s="71"/>
      <c r="AJ1002" s="71"/>
      <c r="AK1002" s="71"/>
      <c r="AL1002" s="71"/>
      <c r="AM1002" s="71"/>
      <c r="AN1002" s="68"/>
      <c r="AO1002" s="68"/>
      <c r="AP1002" s="70"/>
      <c r="AQ1002" s="71"/>
      <c r="AR1002" s="77"/>
      <c r="AS1002" s="70"/>
      <c r="AT1002" s="68"/>
      <c r="AU1002" s="70"/>
      <c r="AV1002" s="70"/>
      <c r="AW1002" s="71"/>
      <c r="AX1002" s="71"/>
      <c r="AY1002" s="70"/>
      <c r="AZ1002" s="76"/>
      <c r="BA1002" s="76"/>
      <c r="BB1002" s="76"/>
      <c r="BC1002" s="78"/>
    </row>
    <row r="1003" spans="1:55" x14ac:dyDescent="0.25">
      <c r="A1003" s="68"/>
      <c r="B1003" s="68"/>
      <c r="C1003" s="68"/>
      <c r="D1003" s="70"/>
      <c r="E1003" s="70"/>
      <c r="F1003" s="70"/>
      <c r="G1003" s="72"/>
      <c r="H1003" s="74"/>
      <c r="I1003" s="74"/>
      <c r="J1003" s="75"/>
      <c r="K1003" s="81"/>
      <c r="L1003" s="76"/>
      <c r="M1003" s="76"/>
      <c r="N1003" s="76"/>
      <c r="O1003" s="71"/>
      <c r="P1003" s="70"/>
      <c r="Q1003" s="71"/>
      <c r="R1003" s="71"/>
      <c r="S1003" s="70"/>
      <c r="T1003" s="71"/>
      <c r="U1003" s="71"/>
      <c r="V1003" s="75"/>
      <c r="W1003" s="69"/>
      <c r="X1003" s="69"/>
      <c r="Y1003" s="69"/>
      <c r="Z1003" s="69"/>
      <c r="AA1003" s="69"/>
      <c r="AB1003" s="69"/>
      <c r="AC1003" s="69"/>
      <c r="AD1003" s="69"/>
      <c r="AE1003" s="76"/>
      <c r="AF1003" s="71"/>
      <c r="AG1003" s="71"/>
      <c r="AH1003" s="71"/>
      <c r="AI1003" s="71"/>
      <c r="AJ1003" s="71"/>
      <c r="AK1003" s="71"/>
      <c r="AL1003" s="71"/>
      <c r="AM1003" s="71"/>
      <c r="AN1003" s="68"/>
      <c r="AO1003" s="68"/>
      <c r="AP1003" s="70"/>
      <c r="AQ1003" s="71"/>
      <c r="AR1003" s="77"/>
      <c r="AS1003" s="70"/>
      <c r="AT1003" s="68"/>
      <c r="AU1003" s="70"/>
      <c r="AV1003" s="70"/>
      <c r="AW1003" s="71"/>
      <c r="AX1003" s="71"/>
      <c r="AY1003" s="70"/>
      <c r="AZ1003" s="76"/>
      <c r="BA1003" s="76"/>
      <c r="BB1003" s="76"/>
      <c r="BC1003" s="78"/>
    </row>
    <row r="1004" spans="1:55" x14ac:dyDescent="0.25">
      <c r="A1004" s="68"/>
      <c r="B1004" s="68"/>
      <c r="C1004" s="68"/>
      <c r="D1004" s="70"/>
      <c r="E1004" s="70"/>
      <c r="F1004" s="70"/>
      <c r="G1004" s="72"/>
      <c r="H1004" s="74"/>
      <c r="I1004" s="74"/>
      <c r="J1004" s="75"/>
      <c r="K1004" s="81"/>
      <c r="L1004" s="76"/>
      <c r="M1004" s="76"/>
      <c r="N1004" s="76"/>
      <c r="O1004" s="71"/>
      <c r="P1004" s="70"/>
      <c r="Q1004" s="71"/>
      <c r="R1004" s="71"/>
      <c r="S1004" s="70"/>
      <c r="T1004" s="71"/>
      <c r="U1004" s="71"/>
      <c r="V1004" s="75"/>
      <c r="W1004" s="69"/>
      <c r="X1004" s="69"/>
      <c r="Y1004" s="69"/>
      <c r="Z1004" s="69"/>
      <c r="AA1004" s="69"/>
      <c r="AB1004" s="69"/>
      <c r="AC1004" s="69"/>
      <c r="AD1004" s="69"/>
      <c r="AE1004" s="76"/>
      <c r="AF1004" s="71"/>
      <c r="AG1004" s="71"/>
      <c r="AH1004" s="71"/>
      <c r="AI1004" s="71"/>
      <c r="AJ1004" s="71"/>
      <c r="AK1004" s="71"/>
      <c r="AL1004" s="71"/>
      <c r="AM1004" s="71"/>
      <c r="AN1004" s="68"/>
      <c r="AO1004" s="68"/>
      <c r="AP1004" s="70"/>
      <c r="AQ1004" s="71"/>
      <c r="AR1004" s="77"/>
      <c r="AS1004" s="70"/>
      <c r="AT1004" s="68"/>
      <c r="AU1004" s="70"/>
      <c r="AV1004" s="70"/>
      <c r="AW1004" s="71"/>
      <c r="AX1004" s="71"/>
      <c r="AY1004" s="70"/>
      <c r="AZ1004" s="76"/>
      <c r="BA1004" s="76"/>
      <c r="BB1004" s="76"/>
      <c r="BC1004" s="78"/>
    </row>
  </sheetData>
  <mergeCells count="7">
    <mergeCell ref="AY1:BB1"/>
    <mergeCell ref="AQ2:AR2"/>
    <mergeCell ref="A1:E1"/>
    <mergeCell ref="G1:J1"/>
    <mergeCell ref="K1:W1"/>
    <mergeCell ref="X1:AM1"/>
    <mergeCell ref="AN1:AX1"/>
  </mergeCells>
  <dataValidations count="7">
    <dataValidation type="decimal" operator="greaterThanOrEqual" allowBlank="1" showInputMessage="1" showErrorMessage="1" sqref="L5:O1004 Q5:R1004 AE5:AL1004 AQ5:AQ1004 AU5:AX1004 AZ5:BB1004" xr:uid="{00000000-0002-0000-0500-000000000000}">
      <formula1>0</formula1>
      <formula2>0</formula2>
    </dataValidation>
    <dataValidation type="decimal" allowBlank="1" showInputMessage="1" showErrorMessage="1" sqref="T5:T1004" xr:uid="{00000000-0002-0000-0500-000001000000}">
      <formula1>2</formula1>
      <formula2>11</formula2>
    </dataValidation>
    <dataValidation type="decimal" allowBlank="1" showInputMessage="1" showErrorMessage="1" sqref="U5:U1004" xr:uid="{00000000-0002-0000-0500-000002000000}">
      <formula1>0.1</formula1>
      <formula2>3</formula2>
    </dataValidation>
    <dataValidation type="textLength" allowBlank="1" showInputMessage="1" showErrorMessage="1" sqref="AN5:AO1004" xr:uid="{00000000-0002-0000-0500-000003000000}">
      <formula1>12</formula1>
      <formula2>16</formula2>
    </dataValidation>
    <dataValidation type="textLength" allowBlank="1" showInputMessage="1" showErrorMessage="1" sqref="AT5:AT1004" xr:uid="{00000000-0002-0000-0500-000004000000}">
      <formula1>4</formula1>
      <formula2>5</formula2>
    </dataValidation>
    <dataValidation operator="equal" allowBlank="1" showErrorMessage="1" sqref="K5:K1005" xr:uid="{00000000-0002-0000-0500-000005000000}">
      <formula1>0</formula1>
      <formula2>0</formula2>
    </dataValidation>
    <dataValidation type="decimal" allowBlank="1" showInputMessage="1" showErrorMessage="1" sqref="AM5:AM23 AM25:AM1004" xr:uid="{00000000-0002-0000-0500-000006000000}">
      <formula1>1</formula1>
      <formula2>12</formula2>
    </dataValidation>
  </dataValidations>
  <pageMargins left="0.75" right="0.75" top="1" bottom="1" header="0.511811023622047" footer="0.511811023622047"/>
  <pageSetup paperSize="9" orientation="portrait" horizontalDpi="300" verticalDpi="300"/>
  <legacyDrawing r:id="rId1"/>
  <extLst>
    <ext xmlns:x14="http://schemas.microsoft.com/office/spreadsheetml/2009/9/main" uri="{CCE6A557-97BC-4b89-ADB6-D9C93CAAB3DF}">
      <x14:dataValidations xmlns:xm="http://schemas.microsoft.com/office/excel/2006/main" count="14">
        <x14:dataValidation type="list" allowBlank="1" showInputMessage="1" showErrorMessage="1" xr:uid="{00000000-0002-0000-0500-000007000000}">
          <x14:formula1>
            <xm:f>'Input options (lists)'!$F$18:$F$19</xm:f>
          </x14:formula1>
          <x14:formula2>
            <xm:f>0</xm:f>
          </x14:formula2>
          <xm:sqref>V5:V1004</xm:sqref>
        </x14:dataValidation>
        <x14:dataValidation type="list" allowBlank="1" showInputMessage="1" showErrorMessage="1" xr:uid="{00000000-0002-0000-0500-000008000000}">
          <x14:formula1>
            <xm:f>'Input options (lists)'!$F$22:$F$23</xm:f>
          </x14:formula1>
          <x14:formula2>
            <xm:f>0</xm:f>
          </x14:formula2>
          <xm:sqref>W5:W1004</xm:sqref>
        </x14:dataValidation>
        <x14:dataValidation type="list" allowBlank="1" showInputMessage="1" showErrorMessage="1" xr:uid="{00000000-0002-0000-0500-000009000000}">
          <x14:formula1>
            <xm:f>'Input options (lists)'!$L$12:$L$14</xm:f>
          </x14:formula1>
          <x14:formula2>
            <xm:f>0</xm:f>
          </x14:formula2>
          <xm:sqref>AA5:AA1004</xm:sqref>
        </x14:dataValidation>
        <x14:dataValidation type="list" allowBlank="1" showInputMessage="1" showErrorMessage="1" xr:uid="{00000000-0002-0000-0500-00000A000000}">
          <x14:formula1>
            <xm:f>'Input options (lists)'!$A$2:$A$5</xm:f>
          </x14:formula1>
          <x14:formula2>
            <xm:f>0</xm:f>
          </x14:formula2>
          <xm:sqref>J5:J1004</xm:sqref>
        </x14:dataValidation>
        <x14:dataValidation type="list" allowBlank="1" showInputMessage="1" showErrorMessage="1" xr:uid="{00000000-0002-0000-0500-00000B000000}">
          <x14:formula1>
            <xm:f>'Input options (lists)'!$O$3:$O$10</xm:f>
          </x14:formula1>
          <x14:formula2>
            <xm:f>0</xm:f>
          </x14:formula2>
          <xm:sqref>AP5:AP1004</xm:sqref>
        </x14:dataValidation>
        <x14:dataValidation type="list" operator="greaterThanOrEqual" allowBlank="1" showInputMessage="1" showErrorMessage="1" xr:uid="{00000000-0002-0000-0500-00000C000000}">
          <x14:formula1>
            <xm:f>'Input options (lists)'!$O$13:$O$15</xm:f>
          </x14:formula1>
          <x14:formula2>
            <xm:f>0</xm:f>
          </x14:formula2>
          <xm:sqref>AR5:AR1004</xm:sqref>
        </x14:dataValidation>
        <x14:dataValidation type="list" allowBlank="1" showInputMessage="1" showErrorMessage="1" xr:uid="{00000000-0002-0000-0500-00000D000000}">
          <x14:formula1>
            <xm:f>'Input options (lists)'!$F$12:$F$15</xm:f>
          </x14:formula1>
          <x14:formula2>
            <xm:f>0</xm:f>
          </x14:formula2>
          <xm:sqref>S5:S1004</xm:sqref>
        </x14:dataValidation>
        <x14:dataValidation type="list" allowBlank="1" showInputMessage="1" showErrorMessage="1" xr:uid="{00000000-0002-0000-0500-00000E000000}">
          <x14:formula1>
            <xm:f>'Input options (lists)'!$L$3:$L$9</xm:f>
          </x14:formula1>
          <x14:formula2>
            <xm:f>0</xm:f>
          </x14:formula2>
          <xm:sqref>X5:X1004</xm:sqref>
        </x14:dataValidation>
        <x14:dataValidation type="list" allowBlank="1" showInputMessage="1" showErrorMessage="1" xr:uid="{00000000-0002-0000-0500-00000F000000}">
          <x14:formula1>
            <xm:f>'Input options (lists)'!$F$3:$F$9</xm:f>
          </x14:formula1>
          <x14:formula2>
            <xm:f>0</xm:f>
          </x14:formula2>
          <xm:sqref>P5:P1004</xm:sqref>
        </x14:dataValidation>
        <x14:dataValidation type="list" allowBlank="1" showInputMessage="1" showErrorMessage="1" xr:uid="{00000000-0002-0000-0500-000010000000}">
          <x14:formula1>
            <xm:f>'Input options (lists)'!$L$17:$L$24</xm:f>
          </x14:formula1>
          <x14:formula2>
            <xm:f>0</xm:f>
          </x14:formula2>
          <xm:sqref>AB5:AD1004</xm:sqref>
        </x14:dataValidation>
        <x14:dataValidation type="list" allowBlank="1" showInputMessage="1" showErrorMessage="1" xr:uid="{00000000-0002-0000-0500-000011000000}">
          <x14:formula1>
            <xm:f>'Input options (lists)'!$L$27:$L$31</xm:f>
          </x14:formula1>
          <x14:formula2>
            <xm:f>0</xm:f>
          </x14:formula2>
          <xm:sqref>Z5:Z1004</xm:sqref>
        </x14:dataValidation>
        <x14:dataValidation type="list" allowBlank="1" showInputMessage="1" showErrorMessage="1" xr:uid="{00000000-0002-0000-0500-000012000000}">
          <x14:formula1>
            <xm:f>'Input options (lists)'!$O$18:$O$22</xm:f>
          </x14:formula1>
          <x14:formula2>
            <xm:f>0</xm:f>
          </x14:formula2>
          <xm:sqref>AS5:AS1004</xm:sqref>
        </x14:dataValidation>
        <x14:dataValidation type="list" allowBlank="1" showInputMessage="1" showErrorMessage="1" xr:uid="{00000000-0002-0000-0500-000013000000}">
          <x14:formula1>
            <xm:f>'Input options (lists)'!$R$3:$R$10</xm:f>
          </x14:formula1>
          <x14:formula2>
            <xm:f>0</xm:f>
          </x14:formula2>
          <xm:sqref>AY5:AY1004</xm:sqref>
        </x14:dataValidation>
        <x14:dataValidation allowBlank="1" showInputMessage="1" showErrorMessage="1" xr:uid="{00000000-0002-0000-0500-000014000000}">
          <x14:formula1>
            <xm:f>'Input options (lists)'!$L$3:$L$9</xm:f>
          </x14:formula1>
          <x14:formula2>
            <xm:f>0</xm:f>
          </x14:formula2>
          <xm:sqref>Y1:Y1004</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P1844"/>
  <sheetViews>
    <sheetView tabSelected="1" zoomScale="80" zoomScaleNormal="80" workbookViewId="0">
      <pane xSplit="7" ySplit="4" topLeftCell="AI5" activePane="bottomRight" state="frozen"/>
      <selection pane="topRight" activeCell="AJ1" sqref="AJ1"/>
      <selection pane="bottomLeft" activeCell="A5" sqref="A5"/>
      <selection pane="bottomRight" activeCell="E1844" sqref="E1844"/>
    </sheetView>
  </sheetViews>
  <sheetFormatPr defaultColWidth="9.33203125" defaultRowHeight="13.2" x14ac:dyDescent="0.25"/>
  <cols>
    <col min="1" max="1" width="15.5546875" customWidth="1"/>
    <col min="2" max="3" width="11.88671875" customWidth="1"/>
    <col min="4" max="4" width="9.5546875" customWidth="1"/>
    <col min="5" max="5" width="12.88671875" customWidth="1"/>
    <col min="6" max="6" width="13.88671875" customWidth="1"/>
    <col min="8" max="8" width="21.109375" customWidth="1"/>
    <col min="9" max="10" width="19.5546875" customWidth="1"/>
    <col min="11" max="11" width="16.6640625" customWidth="1"/>
    <col min="12" max="13" width="14.6640625" customWidth="1"/>
    <col min="14" max="14" width="9.6640625" customWidth="1"/>
    <col min="15" max="15" width="7.88671875" customWidth="1"/>
    <col min="16" max="16" width="18.44140625" customWidth="1"/>
    <col min="17" max="17" width="9.5546875" customWidth="1"/>
    <col min="18" max="18" width="11.33203125" customWidth="1"/>
    <col min="19" max="20" width="11.6640625" customWidth="1"/>
    <col min="21" max="21" width="9.88671875" customWidth="1"/>
    <col min="23" max="23" width="10" customWidth="1"/>
    <col min="24" max="25" width="12" customWidth="1"/>
    <col min="26" max="26" width="11.6640625" customWidth="1"/>
    <col min="27" max="27" width="12" customWidth="1"/>
    <col min="28" max="28" width="11.33203125" customWidth="1"/>
    <col min="30" max="30" width="11.44140625" customWidth="1"/>
    <col min="31" max="31" width="7.5546875" customWidth="1"/>
    <col min="32" max="32" width="6.6640625" customWidth="1"/>
    <col min="33" max="33" width="11.33203125" style="82" customWidth="1"/>
    <col min="35" max="35" width="13.44140625" customWidth="1"/>
    <col min="36" max="36" width="15.44140625" customWidth="1"/>
    <col min="37" max="39" width="11.6640625" customWidth="1"/>
    <col min="40" max="40" width="58.88671875" customWidth="1"/>
    <col min="994" max="1024" width="11.5546875" customWidth="1"/>
  </cols>
  <sheetData>
    <row r="1" spans="1:42" s="13" customFormat="1" x14ac:dyDescent="0.25">
      <c r="A1" s="12" t="s">
        <v>66</v>
      </c>
      <c r="B1" s="12"/>
      <c r="C1" s="12"/>
      <c r="D1" s="12"/>
      <c r="E1" s="12"/>
      <c r="F1" s="12"/>
      <c r="G1" s="11" t="s">
        <v>210</v>
      </c>
      <c r="H1" s="11"/>
      <c r="I1" s="11"/>
      <c r="J1" s="11"/>
      <c r="K1" s="11" t="s">
        <v>211</v>
      </c>
      <c r="L1" s="11"/>
      <c r="M1" s="11"/>
      <c r="N1" s="11"/>
      <c r="O1" s="11"/>
      <c r="P1" s="11"/>
      <c r="Q1" s="11"/>
      <c r="R1" s="11"/>
      <c r="S1" s="50" t="s">
        <v>212</v>
      </c>
      <c r="T1" s="11" t="s">
        <v>213</v>
      </c>
      <c r="U1" s="11"/>
      <c r="V1" s="11"/>
      <c r="W1" s="11"/>
      <c r="X1" s="11"/>
      <c r="Y1" s="11"/>
      <c r="Z1" s="11"/>
      <c r="AA1" s="11"/>
      <c r="AB1" s="11"/>
      <c r="AC1" s="11"/>
      <c r="AD1" s="11"/>
      <c r="AE1" s="11"/>
      <c r="AF1" s="11"/>
      <c r="AG1" s="11"/>
      <c r="AH1" s="11"/>
      <c r="AI1" s="11"/>
      <c r="AJ1" s="11"/>
      <c r="AK1" s="8" t="s">
        <v>214</v>
      </c>
      <c r="AL1" s="8"/>
      <c r="AM1" s="8"/>
      <c r="AN1" s="51" t="s">
        <v>72</v>
      </c>
    </row>
    <row r="2" spans="1:42" s="13" customFormat="1" ht="15.6" x14ac:dyDescent="0.35">
      <c r="A2" s="52" t="s">
        <v>73</v>
      </c>
      <c r="B2" s="52" t="s">
        <v>74</v>
      </c>
      <c r="C2" s="52" t="s">
        <v>75</v>
      </c>
      <c r="D2" s="52" t="s">
        <v>76</v>
      </c>
      <c r="E2" s="52" t="s">
        <v>97</v>
      </c>
      <c r="F2" s="52" t="s">
        <v>77</v>
      </c>
      <c r="G2" s="57" t="s">
        <v>215</v>
      </c>
      <c r="H2" s="52" t="s">
        <v>216</v>
      </c>
      <c r="I2" s="52" t="s">
        <v>217</v>
      </c>
      <c r="J2" s="57" t="s">
        <v>218</v>
      </c>
      <c r="K2" s="7" t="s">
        <v>219</v>
      </c>
      <c r="L2" s="7"/>
      <c r="M2" s="6" t="s">
        <v>220</v>
      </c>
      <c r="N2" s="6"/>
      <c r="O2" s="6"/>
      <c r="P2" s="5" t="s">
        <v>221</v>
      </c>
      <c r="Q2" s="5"/>
      <c r="R2" s="5"/>
      <c r="S2" s="57" t="s">
        <v>222</v>
      </c>
      <c r="T2" s="57" t="s">
        <v>223</v>
      </c>
      <c r="U2" s="57" t="s">
        <v>223</v>
      </c>
      <c r="V2" s="57" t="s">
        <v>224</v>
      </c>
      <c r="W2" s="57" t="s">
        <v>224</v>
      </c>
      <c r="X2" s="57" t="s">
        <v>90</v>
      </c>
      <c r="Y2" s="52" t="s">
        <v>225</v>
      </c>
      <c r="Z2" s="52" t="s">
        <v>226</v>
      </c>
      <c r="AA2" s="52" t="s">
        <v>227</v>
      </c>
      <c r="AB2" s="52" t="s">
        <v>228</v>
      </c>
      <c r="AC2" s="52" t="s">
        <v>229</v>
      </c>
      <c r="AD2" s="52" t="s">
        <v>230</v>
      </c>
      <c r="AE2" s="6" t="s">
        <v>231</v>
      </c>
      <c r="AF2" s="6"/>
      <c r="AG2" s="83" t="s">
        <v>232</v>
      </c>
      <c r="AH2" s="57" t="s">
        <v>233</v>
      </c>
      <c r="AI2" s="57" t="s">
        <v>234</v>
      </c>
      <c r="AJ2" s="57" t="s">
        <v>235</v>
      </c>
      <c r="AK2" s="57" t="s">
        <v>236</v>
      </c>
      <c r="AL2" s="57" t="s">
        <v>231</v>
      </c>
      <c r="AM2" s="57" t="s">
        <v>237</v>
      </c>
      <c r="AN2" s="59"/>
    </row>
    <row r="3" spans="1:42" s="13" customFormat="1" ht="15.6" x14ac:dyDescent="0.35">
      <c r="A3" s="55" t="s">
        <v>119</v>
      </c>
      <c r="B3" s="55" t="s">
        <v>119</v>
      </c>
      <c r="C3" s="55" t="s">
        <v>119</v>
      </c>
      <c r="D3" s="56" t="s">
        <v>120</v>
      </c>
      <c r="E3" s="56" t="s">
        <v>119</v>
      </c>
      <c r="F3" s="55" t="s">
        <v>120</v>
      </c>
      <c r="G3" s="55" t="s">
        <v>238</v>
      </c>
      <c r="H3" s="55" t="s">
        <v>169</v>
      </c>
      <c r="I3" s="55" t="s">
        <v>169</v>
      </c>
      <c r="J3" s="55" t="s">
        <v>239</v>
      </c>
      <c r="K3" s="4" t="s">
        <v>240</v>
      </c>
      <c r="L3" s="4"/>
      <c r="M3" s="3" t="s">
        <v>241</v>
      </c>
      <c r="N3" s="3"/>
      <c r="O3" s="3"/>
      <c r="P3" s="3"/>
      <c r="Q3" s="3"/>
      <c r="R3" s="3"/>
      <c r="S3" s="55" t="s">
        <v>108</v>
      </c>
      <c r="T3" s="55" t="s">
        <v>242</v>
      </c>
      <c r="U3" s="55" t="s">
        <v>243</v>
      </c>
      <c r="V3" s="55" t="s">
        <v>242</v>
      </c>
      <c r="W3" s="55" t="s">
        <v>124</v>
      </c>
      <c r="X3" s="55" t="s">
        <v>244</v>
      </c>
      <c r="Y3" s="55" t="s">
        <v>245</v>
      </c>
      <c r="Z3" s="56" t="s">
        <v>246</v>
      </c>
      <c r="AA3" s="55" t="s">
        <v>243</v>
      </c>
      <c r="AB3" s="55" t="s">
        <v>247</v>
      </c>
      <c r="AC3" s="55" t="s">
        <v>248</v>
      </c>
      <c r="AD3" s="55" t="s">
        <v>249</v>
      </c>
      <c r="AE3" s="2" t="s">
        <v>250</v>
      </c>
      <c r="AF3" s="2"/>
      <c r="AG3" s="84" t="s">
        <v>251</v>
      </c>
      <c r="AH3" s="55" t="s">
        <v>252</v>
      </c>
      <c r="AI3" s="55" t="s">
        <v>253</v>
      </c>
      <c r="AJ3" s="55" t="s">
        <v>254</v>
      </c>
      <c r="AK3" s="55" t="s">
        <v>255</v>
      </c>
      <c r="AL3" s="55" t="s">
        <v>256</v>
      </c>
      <c r="AM3" s="55" t="s">
        <v>257</v>
      </c>
      <c r="AN3" s="59"/>
    </row>
    <row r="4" spans="1:42" s="13" customFormat="1" ht="15.6" x14ac:dyDescent="0.25">
      <c r="A4" s="56" t="s">
        <v>156</v>
      </c>
      <c r="B4" s="56" t="s">
        <v>156</v>
      </c>
      <c r="C4" s="56" t="s">
        <v>156</v>
      </c>
      <c r="D4" s="56"/>
      <c r="E4" s="56" t="s">
        <v>156</v>
      </c>
      <c r="F4" s="56"/>
      <c r="G4" s="55" t="s">
        <v>120</v>
      </c>
      <c r="H4" s="56"/>
      <c r="I4" s="56"/>
      <c r="J4" s="55" t="s">
        <v>258</v>
      </c>
      <c r="K4" s="85" t="s">
        <v>259</v>
      </c>
      <c r="L4" s="85" t="s">
        <v>260</v>
      </c>
      <c r="M4" s="56" t="s">
        <v>261</v>
      </c>
      <c r="N4" s="55" t="s">
        <v>262</v>
      </c>
      <c r="O4" s="55" t="s">
        <v>263</v>
      </c>
      <c r="P4" s="55" t="s">
        <v>259</v>
      </c>
      <c r="Q4" s="55" t="s">
        <v>262</v>
      </c>
      <c r="R4" s="55" t="s">
        <v>263</v>
      </c>
      <c r="S4" s="53"/>
      <c r="T4" s="56"/>
      <c r="U4" s="55" t="s">
        <v>264</v>
      </c>
      <c r="V4" s="56"/>
      <c r="W4" s="55" t="s">
        <v>264</v>
      </c>
      <c r="X4" s="55" t="s">
        <v>265</v>
      </c>
      <c r="Y4" s="55" t="s">
        <v>266</v>
      </c>
      <c r="Z4" s="56"/>
      <c r="AA4" s="55" t="s">
        <v>264</v>
      </c>
      <c r="AB4" s="55" t="s">
        <v>267</v>
      </c>
      <c r="AC4" s="55" t="s">
        <v>246</v>
      </c>
      <c r="AD4" s="55" t="s">
        <v>264</v>
      </c>
      <c r="AE4" s="55" t="s">
        <v>262</v>
      </c>
      <c r="AF4" s="55" t="s">
        <v>263</v>
      </c>
      <c r="AG4" s="84" t="s">
        <v>268</v>
      </c>
      <c r="AH4" s="55" t="s">
        <v>125</v>
      </c>
      <c r="AI4" s="55" t="s">
        <v>269</v>
      </c>
      <c r="AJ4" s="55" t="s">
        <v>270</v>
      </c>
      <c r="AK4" s="55" t="s">
        <v>271</v>
      </c>
      <c r="AL4" s="55" t="s">
        <v>272</v>
      </c>
      <c r="AM4" s="55" t="s">
        <v>273</v>
      </c>
      <c r="AN4" s="59"/>
    </row>
    <row r="5" spans="1:42" x14ac:dyDescent="0.25">
      <c r="A5" t="s">
        <v>44</v>
      </c>
      <c r="B5" t="s">
        <v>45</v>
      </c>
      <c r="C5" s="121" t="s">
        <v>174</v>
      </c>
      <c r="D5" t="s">
        <v>175</v>
      </c>
      <c r="E5" t="s">
        <v>57</v>
      </c>
      <c r="F5">
        <v>1</v>
      </c>
      <c r="G5">
        <v>1</v>
      </c>
      <c r="H5" s="86">
        <v>45958.442485682899</v>
      </c>
      <c r="I5" s="86">
        <v>45958.459146030102</v>
      </c>
      <c r="J5" s="87">
        <v>0.39984833333333297</v>
      </c>
      <c r="K5" s="69" t="s">
        <v>274</v>
      </c>
      <c r="L5" s="69"/>
      <c r="M5" s="71"/>
      <c r="N5" s="71"/>
      <c r="O5" s="71"/>
      <c r="P5" s="71" t="s">
        <v>275</v>
      </c>
      <c r="Q5" s="88">
        <v>5.76903475969073E-4</v>
      </c>
      <c r="R5" s="89" t="s">
        <v>276</v>
      </c>
      <c r="S5" s="89"/>
      <c r="T5">
        <v>8.1</v>
      </c>
      <c r="U5" s="76">
        <v>0.2</v>
      </c>
      <c r="V5">
        <v>9.3000000000000007</v>
      </c>
      <c r="W5" s="90">
        <v>0.1</v>
      </c>
      <c r="X5" s="90"/>
      <c r="Y5" s="71"/>
      <c r="Z5" s="71"/>
      <c r="AA5" s="71"/>
      <c r="AB5" s="71"/>
      <c r="AC5" s="71"/>
      <c r="AD5" s="71"/>
      <c r="AE5" s="71"/>
      <c r="AF5" s="71"/>
      <c r="AG5" s="82">
        <v>0</v>
      </c>
      <c r="AH5" s="76"/>
      <c r="AI5" s="76"/>
      <c r="AJ5" s="76"/>
      <c r="AK5" s="71">
        <v>0.15</v>
      </c>
      <c r="AL5" s="88">
        <v>3.4362770551863299E-2</v>
      </c>
      <c r="AM5" s="89">
        <f t="shared" ref="AM5:AM68" si="0">AL5/AK5</f>
        <v>0.229085137012422</v>
      </c>
      <c r="AN5" s="78" t="s">
        <v>188</v>
      </c>
      <c r="AO5" s="87"/>
      <c r="AP5" s="87"/>
    </row>
    <row r="6" spans="1:42" x14ac:dyDescent="0.25">
      <c r="A6" t="s">
        <v>44</v>
      </c>
      <c r="B6" t="s">
        <v>45</v>
      </c>
      <c r="C6" s="121" t="s">
        <v>174</v>
      </c>
      <c r="D6" t="s">
        <v>175</v>
      </c>
      <c r="E6" t="s">
        <v>57</v>
      </c>
      <c r="F6">
        <v>1</v>
      </c>
      <c r="G6">
        <v>2</v>
      </c>
      <c r="H6" s="86">
        <v>45958.459146030102</v>
      </c>
      <c r="I6" s="86">
        <v>45958.5081293982</v>
      </c>
      <c r="J6" s="87">
        <v>1.1756008333333301</v>
      </c>
      <c r="K6" s="69" t="s">
        <v>274</v>
      </c>
      <c r="L6" s="69"/>
      <c r="M6" s="71"/>
      <c r="N6" s="71"/>
      <c r="O6" s="71"/>
      <c r="P6" s="71" t="s">
        <v>275</v>
      </c>
      <c r="Q6" s="88">
        <v>-9.9002364677819206E-3</v>
      </c>
      <c r="R6" s="89" t="s">
        <v>276</v>
      </c>
      <c r="S6" s="89"/>
      <c r="T6">
        <v>8.1</v>
      </c>
      <c r="U6" s="76">
        <v>0.2</v>
      </c>
      <c r="V6">
        <v>9.3000000000000007</v>
      </c>
      <c r="W6" s="90">
        <v>0.1</v>
      </c>
      <c r="X6" s="90"/>
      <c r="Y6" s="71"/>
      <c r="Z6" s="71"/>
      <c r="AA6" s="71"/>
      <c r="AB6" s="71"/>
      <c r="AC6" s="71"/>
      <c r="AD6" s="71"/>
      <c r="AE6" s="71"/>
      <c r="AF6" s="71"/>
      <c r="AG6" s="82">
        <v>0</v>
      </c>
      <c r="AH6" s="76"/>
      <c r="AI6" s="76"/>
      <c r="AJ6" s="76"/>
      <c r="AK6" s="71">
        <v>0.15</v>
      </c>
      <c r="AL6" s="88">
        <v>3.4362770551863299E-2</v>
      </c>
      <c r="AM6" s="89">
        <f t="shared" si="0"/>
        <v>0.229085137012422</v>
      </c>
      <c r="AN6" s="78"/>
      <c r="AO6" s="87"/>
      <c r="AP6" s="87"/>
    </row>
    <row r="7" spans="1:42" x14ac:dyDescent="0.25">
      <c r="A7" t="s">
        <v>44</v>
      </c>
      <c r="B7" t="s">
        <v>45</v>
      </c>
      <c r="C7" s="121" t="s">
        <v>174</v>
      </c>
      <c r="D7" t="s">
        <v>175</v>
      </c>
      <c r="E7" t="s">
        <v>57</v>
      </c>
      <c r="F7">
        <v>1</v>
      </c>
      <c r="G7">
        <v>3</v>
      </c>
      <c r="H7" s="86">
        <v>45958.5081293982</v>
      </c>
      <c r="I7" s="86">
        <v>45958.574760972202</v>
      </c>
      <c r="J7" s="87">
        <v>1.5991577777777799</v>
      </c>
      <c r="K7" s="69" t="s">
        <v>274</v>
      </c>
      <c r="L7" s="69"/>
      <c r="M7" s="71"/>
      <c r="N7" s="71"/>
      <c r="O7" s="71"/>
      <c r="P7" s="71" t="s">
        <v>275</v>
      </c>
      <c r="Q7" s="88">
        <v>3.3151358095009102E-3</v>
      </c>
      <c r="R7" s="89" t="s">
        <v>276</v>
      </c>
      <c r="S7" s="89"/>
      <c r="T7">
        <v>8.1999999999999993</v>
      </c>
      <c r="U7" s="76">
        <v>0.2</v>
      </c>
      <c r="V7">
        <v>9.4</v>
      </c>
      <c r="W7" s="90">
        <v>0.1</v>
      </c>
      <c r="X7" s="90"/>
      <c r="Y7" s="71"/>
      <c r="Z7" s="71"/>
      <c r="AA7" s="71"/>
      <c r="AB7" s="71"/>
      <c r="AC7" s="71"/>
      <c r="AD7" s="71"/>
      <c r="AE7" s="71"/>
      <c r="AF7" s="71"/>
      <c r="AG7" s="82">
        <v>0</v>
      </c>
      <c r="AH7" s="76"/>
      <c r="AI7" s="76"/>
      <c r="AJ7" s="76"/>
      <c r="AK7" s="71">
        <v>0.15</v>
      </c>
      <c r="AL7" s="88">
        <v>3.4362770551863299E-2</v>
      </c>
      <c r="AM7" s="89">
        <f t="shared" si="0"/>
        <v>0.229085137012422</v>
      </c>
      <c r="AN7" s="78"/>
    </row>
    <row r="8" spans="1:42" x14ac:dyDescent="0.25">
      <c r="A8" t="s">
        <v>44</v>
      </c>
      <c r="B8" t="s">
        <v>45</v>
      </c>
      <c r="C8" s="121" t="s">
        <v>174</v>
      </c>
      <c r="D8" t="s">
        <v>175</v>
      </c>
      <c r="E8" t="s">
        <v>57</v>
      </c>
      <c r="F8">
        <v>1</v>
      </c>
      <c r="G8">
        <v>4</v>
      </c>
      <c r="H8" s="86">
        <v>45958.574760972202</v>
      </c>
      <c r="I8" s="86">
        <v>45958.602085763901</v>
      </c>
      <c r="J8" s="87">
        <v>0.65579500000000002</v>
      </c>
      <c r="K8" s="69" t="s">
        <v>274</v>
      </c>
      <c r="L8" s="69"/>
      <c r="M8" s="71"/>
      <c r="N8" s="71"/>
      <c r="O8" s="71"/>
      <c r="P8" s="71" t="s">
        <v>275</v>
      </c>
      <c r="Q8" s="88">
        <v>2.6361945299070702E-3</v>
      </c>
      <c r="R8" s="89" t="s">
        <v>276</v>
      </c>
      <c r="S8" s="89"/>
      <c r="T8">
        <v>7.8</v>
      </c>
      <c r="U8" s="76">
        <v>0.2</v>
      </c>
      <c r="V8">
        <v>9.5</v>
      </c>
      <c r="W8" s="90">
        <v>0.1</v>
      </c>
      <c r="X8" s="90"/>
      <c r="Y8" s="71"/>
      <c r="Z8" s="71"/>
      <c r="AA8" s="71"/>
      <c r="AB8" s="71"/>
      <c r="AC8" s="71"/>
      <c r="AD8" s="71"/>
      <c r="AE8" s="71"/>
      <c r="AF8" s="71"/>
      <c r="AG8" s="82">
        <v>0.1</v>
      </c>
      <c r="AH8" s="76"/>
      <c r="AI8" s="76"/>
      <c r="AJ8" s="76"/>
      <c r="AK8" s="71">
        <v>0.15</v>
      </c>
      <c r="AL8" s="88">
        <v>3.4362770551863299E-2</v>
      </c>
      <c r="AM8" s="89">
        <f t="shared" si="0"/>
        <v>0.229085137012422</v>
      </c>
      <c r="AN8" s="78"/>
      <c r="AO8" s="88"/>
      <c r="AP8" s="88"/>
    </row>
    <row r="9" spans="1:42" x14ac:dyDescent="0.25">
      <c r="A9" t="s">
        <v>44</v>
      </c>
      <c r="B9" t="s">
        <v>45</v>
      </c>
      <c r="C9" s="121" t="s">
        <v>174</v>
      </c>
      <c r="D9" t="s">
        <v>175</v>
      </c>
      <c r="E9" t="s">
        <v>57</v>
      </c>
      <c r="F9">
        <v>1</v>
      </c>
      <c r="G9">
        <v>5</v>
      </c>
      <c r="H9" s="86">
        <v>45958.602085763901</v>
      </c>
      <c r="I9" s="86">
        <v>45958.6687092824</v>
      </c>
      <c r="J9" s="87">
        <v>1.59896444444444</v>
      </c>
      <c r="K9" s="69" t="s">
        <v>274</v>
      </c>
      <c r="L9" s="69"/>
      <c r="M9" s="71"/>
      <c r="N9" s="71"/>
      <c r="O9" s="71"/>
      <c r="P9" s="71" t="s">
        <v>275</v>
      </c>
      <c r="Q9" s="88">
        <v>4.9163557388580002E-4</v>
      </c>
      <c r="R9" s="89" t="s">
        <v>276</v>
      </c>
      <c r="S9" s="89"/>
      <c r="T9">
        <v>7.8</v>
      </c>
      <c r="U9" s="76">
        <v>0.2</v>
      </c>
      <c r="V9">
        <v>9.5</v>
      </c>
      <c r="W9" s="90">
        <v>0.1</v>
      </c>
      <c r="X9" s="90"/>
      <c r="Y9" s="71"/>
      <c r="Z9" s="71"/>
      <c r="AA9" s="71"/>
      <c r="AB9" s="71"/>
      <c r="AC9" s="71"/>
      <c r="AD9" s="71"/>
      <c r="AE9" s="71"/>
      <c r="AF9" s="71"/>
      <c r="AG9" s="82">
        <v>0.1</v>
      </c>
      <c r="AH9" s="76"/>
      <c r="AI9" s="76"/>
      <c r="AJ9" s="76"/>
      <c r="AK9" s="71">
        <v>0.15</v>
      </c>
      <c r="AL9" s="88">
        <v>3.4362770551863299E-2</v>
      </c>
      <c r="AM9" s="89">
        <f t="shared" si="0"/>
        <v>0.229085137012422</v>
      </c>
      <c r="AN9" s="78"/>
    </row>
    <row r="10" spans="1:42" x14ac:dyDescent="0.25">
      <c r="A10" t="s">
        <v>44</v>
      </c>
      <c r="B10" t="s">
        <v>45</v>
      </c>
      <c r="C10" s="121" t="s">
        <v>174</v>
      </c>
      <c r="D10" t="s">
        <v>175</v>
      </c>
      <c r="E10" t="s">
        <v>57</v>
      </c>
      <c r="F10">
        <v>1</v>
      </c>
      <c r="G10">
        <v>6</v>
      </c>
      <c r="H10" s="86">
        <v>45958.6687092824</v>
      </c>
      <c r="I10" s="86">
        <v>45958.693988669002</v>
      </c>
      <c r="J10" s="87">
        <v>0.60670527777777805</v>
      </c>
      <c r="K10" s="69" t="s">
        <v>274</v>
      </c>
      <c r="L10" s="69"/>
      <c r="M10" s="71"/>
      <c r="N10" s="71"/>
      <c r="O10" s="71"/>
      <c r="P10" s="71" t="s">
        <v>275</v>
      </c>
      <c r="Q10" s="88">
        <v>3.6452375735218901E-3</v>
      </c>
      <c r="R10" s="89" t="s">
        <v>276</v>
      </c>
      <c r="S10" s="89"/>
      <c r="T10">
        <v>6.8</v>
      </c>
      <c r="U10" s="76">
        <v>0.2</v>
      </c>
      <c r="V10">
        <v>9.6</v>
      </c>
      <c r="W10" s="90">
        <v>0.1</v>
      </c>
      <c r="X10" s="90"/>
      <c r="Y10" s="71"/>
      <c r="Z10" s="71"/>
      <c r="AA10" s="71"/>
      <c r="AB10" s="71"/>
      <c r="AC10" s="71"/>
      <c r="AD10" s="71"/>
      <c r="AE10" s="71"/>
      <c r="AF10" s="71"/>
      <c r="AG10" s="82">
        <v>0</v>
      </c>
      <c r="AH10" s="76"/>
      <c r="AI10" s="76"/>
      <c r="AJ10" s="76"/>
      <c r="AK10" s="71">
        <v>0.15</v>
      </c>
      <c r="AL10" s="88">
        <v>3.4362770551863299E-2</v>
      </c>
      <c r="AM10" s="89">
        <f t="shared" si="0"/>
        <v>0.229085137012422</v>
      </c>
      <c r="AN10" s="78"/>
    </row>
    <row r="11" spans="1:42" x14ac:dyDescent="0.25">
      <c r="A11" t="s">
        <v>44</v>
      </c>
      <c r="B11" t="s">
        <v>45</v>
      </c>
      <c r="C11" s="121" t="s">
        <v>174</v>
      </c>
      <c r="D11" t="s">
        <v>175</v>
      </c>
      <c r="E11" t="s">
        <v>57</v>
      </c>
      <c r="F11">
        <v>1</v>
      </c>
      <c r="G11">
        <v>7</v>
      </c>
      <c r="H11" s="86">
        <v>45958.693988669002</v>
      </c>
      <c r="I11" s="86">
        <v>45958.766175717603</v>
      </c>
      <c r="J11" s="87">
        <v>1.73248916666667</v>
      </c>
      <c r="K11" s="69" t="s">
        <v>274</v>
      </c>
      <c r="L11" s="69"/>
      <c r="M11" s="71"/>
      <c r="N11" s="71"/>
      <c r="O11" s="71"/>
      <c r="P11" s="71" t="s">
        <v>275</v>
      </c>
      <c r="Q11" s="88">
        <v>-2.4983033851570498E-3</v>
      </c>
      <c r="R11" s="89" t="s">
        <v>276</v>
      </c>
      <c r="S11" s="89"/>
      <c r="T11">
        <v>6.1</v>
      </c>
      <c r="U11" s="76">
        <v>0.2</v>
      </c>
      <c r="V11">
        <v>9.6999999999999993</v>
      </c>
      <c r="W11" s="90">
        <v>0.1</v>
      </c>
      <c r="X11" s="90"/>
      <c r="Y11" s="71"/>
      <c r="Z11" s="71"/>
      <c r="AA11" s="71"/>
      <c r="AB11" s="71"/>
      <c r="AC11" s="71"/>
      <c r="AD11" s="71"/>
      <c r="AE11" s="71"/>
      <c r="AF11" s="71"/>
      <c r="AG11" s="82">
        <v>0</v>
      </c>
      <c r="AH11" s="76"/>
      <c r="AI11" s="76"/>
      <c r="AJ11" s="76"/>
      <c r="AK11" s="71">
        <v>0.15</v>
      </c>
      <c r="AL11" s="88">
        <v>3.4362770551863299E-2</v>
      </c>
      <c r="AM11" s="89">
        <f t="shared" si="0"/>
        <v>0.229085137012422</v>
      </c>
      <c r="AN11" s="78"/>
    </row>
    <row r="12" spans="1:42" x14ac:dyDescent="0.25">
      <c r="A12" t="s">
        <v>44</v>
      </c>
      <c r="B12" t="s">
        <v>45</v>
      </c>
      <c r="C12" s="121" t="s">
        <v>174</v>
      </c>
      <c r="D12" t="s">
        <v>175</v>
      </c>
      <c r="E12" t="s">
        <v>57</v>
      </c>
      <c r="F12">
        <v>1</v>
      </c>
      <c r="G12">
        <v>8</v>
      </c>
      <c r="H12" s="86">
        <v>45958.766175717603</v>
      </c>
      <c r="I12" s="86">
        <v>45958.838357268498</v>
      </c>
      <c r="J12" s="87">
        <v>1.7323572222222201</v>
      </c>
      <c r="K12" s="69" t="s">
        <v>274</v>
      </c>
      <c r="L12" s="69"/>
      <c r="M12" s="71"/>
      <c r="N12" s="71"/>
      <c r="O12" s="71"/>
      <c r="P12" s="71" t="s">
        <v>275</v>
      </c>
      <c r="Q12" s="88">
        <v>1.2620920774380101E-2</v>
      </c>
      <c r="R12" s="89" t="s">
        <v>276</v>
      </c>
      <c r="S12" s="89"/>
      <c r="T12">
        <v>6</v>
      </c>
      <c r="U12" s="76">
        <v>0.2</v>
      </c>
      <c r="V12">
        <v>9.6999999999999993</v>
      </c>
      <c r="W12" s="90">
        <v>0.1</v>
      </c>
      <c r="X12" s="90"/>
      <c r="Y12" s="71"/>
      <c r="Z12" s="71"/>
      <c r="AA12" s="71"/>
      <c r="AB12" s="71"/>
      <c r="AC12" s="71"/>
      <c r="AD12" s="71"/>
      <c r="AE12" s="71"/>
      <c r="AF12" s="71"/>
      <c r="AG12" s="82">
        <v>0</v>
      </c>
      <c r="AH12" s="76"/>
      <c r="AI12" s="76"/>
      <c r="AJ12" s="76"/>
      <c r="AK12" s="71">
        <v>0.15</v>
      </c>
      <c r="AL12" s="88">
        <v>3.4362770551863299E-2</v>
      </c>
      <c r="AM12" s="89">
        <f t="shared" si="0"/>
        <v>0.229085137012422</v>
      </c>
      <c r="AN12" s="78"/>
    </row>
    <row r="13" spans="1:42" x14ac:dyDescent="0.25">
      <c r="A13" t="s">
        <v>44</v>
      </c>
      <c r="B13" t="s">
        <v>45</v>
      </c>
      <c r="C13" s="121" t="s">
        <v>174</v>
      </c>
      <c r="D13" t="s">
        <v>175</v>
      </c>
      <c r="E13" t="s">
        <v>57</v>
      </c>
      <c r="F13">
        <v>1</v>
      </c>
      <c r="G13">
        <v>9</v>
      </c>
      <c r="H13" s="86">
        <v>45958.838357268498</v>
      </c>
      <c r="I13" s="86">
        <v>45958.910542615697</v>
      </c>
      <c r="J13" s="87">
        <v>1.73244833333333</v>
      </c>
      <c r="K13" s="69" t="s">
        <v>274</v>
      </c>
      <c r="L13" s="69"/>
      <c r="M13" s="71"/>
      <c r="N13" s="71"/>
      <c r="O13" s="71"/>
      <c r="P13" s="71" t="s">
        <v>275</v>
      </c>
      <c r="Q13" s="88">
        <v>1.9298469487037902E-2</v>
      </c>
      <c r="R13" s="89" t="s">
        <v>276</v>
      </c>
      <c r="S13" s="89"/>
      <c r="T13">
        <v>6.7</v>
      </c>
      <c r="U13" s="76">
        <v>0.2</v>
      </c>
      <c r="V13">
        <v>9.6</v>
      </c>
      <c r="W13" s="90">
        <v>0.1</v>
      </c>
      <c r="X13" s="90"/>
      <c r="Y13" s="71"/>
      <c r="Z13" s="71"/>
      <c r="AA13" s="71"/>
      <c r="AB13" s="71"/>
      <c r="AC13" s="71"/>
      <c r="AD13" s="71"/>
      <c r="AE13" s="71"/>
      <c r="AF13" s="71"/>
      <c r="AG13" s="82">
        <v>0</v>
      </c>
      <c r="AH13" s="76"/>
      <c r="AI13" s="76"/>
      <c r="AJ13" s="76"/>
      <c r="AK13" s="71">
        <v>0.15</v>
      </c>
      <c r="AL13" s="88">
        <v>3.4362770551863299E-2</v>
      </c>
      <c r="AM13" s="89">
        <f t="shared" si="0"/>
        <v>0.229085137012422</v>
      </c>
      <c r="AN13" s="78"/>
    </row>
    <row r="14" spans="1:42" x14ac:dyDescent="0.25">
      <c r="A14" t="s">
        <v>44</v>
      </c>
      <c r="B14" t="s">
        <v>45</v>
      </c>
      <c r="C14" s="121" t="s">
        <v>174</v>
      </c>
      <c r="D14" t="s">
        <v>175</v>
      </c>
      <c r="E14" t="s">
        <v>57</v>
      </c>
      <c r="F14">
        <v>1</v>
      </c>
      <c r="G14">
        <v>10</v>
      </c>
      <c r="H14" s="86">
        <v>45958.910542615697</v>
      </c>
      <c r="I14" s="86">
        <v>45958.982715254599</v>
      </c>
      <c r="J14" s="87">
        <v>1.73214333333333</v>
      </c>
      <c r="K14" s="69" t="s">
        <v>274</v>
      </c>
      <c r="L14" s="69"/>
      <c r="M14" s="71"/>
      <c r="N14" s="71"/>
      <c r="O14" s="71"/>
      <c r="P14" s="71" t="s">
        <v>275</v>
      </c>
      <c r="Q14" s="88">
        <v>1.7955730007438699E-2</v>
      </c>
      <c r="R14" s="89" t="s">
        <v>276</v>
      </c>
      <c r="S14" s="89"/>
      <c r="T14">
        <v>6.5</v>
      </c>
      <c r="U14" s="76">
        <v>0.2</v>
      </c>
      <c r="V14">
        <v>9.6</v>
      </c>
      <c r="W14" s="90">
        <v>0.1</v>
      </c>
      <c r="X14" s="90"/>
      <c r="Y14" s="71"/>
      <c r="Z14" s="71"/>
      <c r="AA14" s="71"/>
      <c r="AB14" s="71"/>
      <c r="AC14" s="71"/>
      <c r="AD14" s="71"/>
      <c r="AE14" s="71"/>
      <c r="AF14" s="71"/>
      <c r="AG14" s="82">
        <v>0</v>
      </c>
      <c r="AH14" s="76"/>
      <c r="AI14" s="76"/>
      <c r="AJ14" s="76"/>
      <c r="AK14" s="71">
        <v>0.15</v>
      </c>
      <c r="AL14" s="88">
        <v>3.4362770551863299E-2</v>
      </c>
      <c r="AM14" s="89">
        <f t="shared" si="0"/>
        <v>0.229085137012422</v>
      </c>
      <c r="AN14" s="78"/>
    </row>
    <row r="15" spans="1:42" x14ac:dyDescent="0.25">
      <c r="A15" t="s">
        <v>44</v>
      </c>
      <c r="B15" t="s">
        <v>45</v>
      </c>
      <c r="C15" s="121" t="s">
        <v>174</v>
      </c>
      <c r="D15" t="s">
        <v>175</v>
      </c>
      <c r="E15" t="s">
        <v>57</v>
      </c>
      <c r="F15">
        <v>1</v>
      </c>
      <c r="G15">
        <v>11</v>
      </c>
      <c r="H15" s="86">
        <v>45958.982715254599</v>
      </c>
      <c r="I15" s="86">
        <v>45959.054900706004</v>
      </c>
      <c r="J15" s="87">
        <v>1.7324508333333299</v>
      </c>
      <c r="K15" s="69" t="s">
        <v>274</v>
      </c>
      <c r="L15" s="69"/>
      <c r="M15" s="71"/>
      <c r="N15" s="71"/>
      <c r="O15" s="71"/>
      <c r="P15" s="71" t="s">
        <v>275</v>
      </c>
      <c r="Q15" s="88">
        <v>2.3133335170905E-2</v>
      </c>
      <c r="R15" s="89" t="s">
        <v>276</v>
      </c>
      <c r="S15" s="89"/>
      <c r="T15">
        <v>6.9</v>
      </c>
      <c r="U15" s="76">
        <v>0.2</v>
      </c>
      <c r="V15">
        <v>9.5</v>
      </c>
      <c r="W15" s="90">
        <v>0.1</v>
      </c>
      <c r="X15" s="90"/>
      <c r="Y15" s="71"/>
      <c r="Z15" s="71"/>
      <c r="AA15" s="71"/>
      <c r="AB15" s="71"/>
      <c r="AC15" s="71"/>
      <c r="AD15" s="71"/>
      <c r="AE15" s="71"/>
      <c r="AF15" s="71"/>
      <c r="AG15" s="82">
        <v>0</v>
      </c>
      <c r="AH15" s="76"/>
      <c r="AI15" s="76"/>
      <c r="AJ15" s="76"/>
      <c r="AK15" s="71">
        <v>0.15</v>
      </c>
      <c r="AL15" s="88">
        <v>3.4362770551863299E-2</v>
      </c>
      <c r="AM15" s="89">
        <f t="shared" si="0"/>
        <v>0.229085137012422</v>
      </c>
      <c r="AN15" s="78"/>
    </row>
    <row r="16" spans="1:42" x14ac:dyDescent="0.25">
      <c r="A16" t="s">
        <v>44</v>
      </c>
      <c r="B16" t="s">
        <v>45</v>
      </c>
      <c r="C16" s="121" t="s">
        <v>174</v>
      </c>
      <c r="D16" t="s">
        <v>175</v>
      </c>
      <c r="E16" t="s">
        <v>57</v>
      </c>
      <c r="F16">
        <v>1</v>
      </c>
      <c r="G16">
        <v>12</v>
      </c>
      <c r="H16" s="86">
        <v>45959.054900706004</v>
      </c>
      <c r="I16" s="86">
        <v>45959.127082685198</v>
      </c>
      <c r="J16" s="87">
        <v>1.7323675000000001</v>
      </c>
      <c r="K16" s="69" t="s">
        <v>274</v>
      </c>
      <c r="L16" s="69"/>
      <c r="M16" s="71"/>
      <c r="N16" s="71"/>
      <c r="O16" s="71"/>
      <c r="P16" s="71" t="s">
        <v>275</v>
      </c>
      <c r="Q16" s="88">
        <v>1.9799800533603602E-2</v>
      </c>
      <c r="R16" s="89" t="s">
        <v>276</v>
      </c>
      <c r="S16" s="89"/>
      <c r="T16">
        <v>6.2</v>
      </c>
      <c r="U16" s="76">
        <v>0.2</v>
      </c>
      <c r="V16">
        <v>9.5</v>
      </c>
      <c r="W16" s="90">
        <v>0.1</v>
      </c>
      <c r="X16" s="90"/>
      <c r="Y16" s="71"/>
      <c r="Z16" s="71"/>
      <c r="AA16" s="71"/>
      <c r="AB16" s="71"/>
      <c r="AC16" s="71"/>
      <c r="AD16" s="71"/>
      <c r="AE16" s="71"/>
      <c r="AF16" s="71"/>
      <c r="AG16" s="82">
        <v>0</v>
      </c>
      <c r="AH16" s="76"/>
      <c r="AI16" s="76"/>
      <c r="AJ16" s="76"/>
      <c r="AK16" s="71">
        <v>0.15</v>
      </c>
      <c r="AL16" s="88">
        <v>3.4362770551863299E-2</v>
      </c>
      <c r="AM16" s="89">
        <f t="shared" si="0"/>
        <v>0.229085137012422</v>
      </c>
      <c r="AN16" s="78"/>
    </row>
    <row r="17" spans="1:40" x14ac:dyDescent="0.25">
      <c r="A17" t="s">
        <v>44</v>
      </c>
      <c r="B17" t="s">
        <v>45</v>
      </c>
      <c r="C17" s="121" t="s">
        <v>174</v>
      </c>
      <c r="D17" t="s">
        <v>175</v>
      </c>
      <c r="E17" t="s">
        <v>57</v>
      </c>
      <c r="F17">
        <v>1</v>
      </c>
      <c r="G17">
        <v>13</v>
      </c>
      <c r="H17" s="86">
        <v>45959.127082685198</v>
      </c>
      <c r="I17" s="86">
        <v>45959.199268020799</v>
      </c>
      <c r="J17" s="87">
        <v>1.7324480555555599</v>
      </c>
      <c r="K17" s="69" t="s">
        <v>274</v>
      </c>
      <c r="L17" s="69"/>
      <c r="M17" s="71"/>
      <c r="N17" s="71"/>
      <c r="O17" s="71"/>
      <c r="P17" s="71" t="s">
        <v>275</v>
      </c>
      <c r="Q17" s="88">
        <v>2.0944488128552301E-2</v>
      </c>
      <c r="R17" s="89" t="s">
        <v>276</v>
      </c>
      <c r="S17" s="89"/>
      <c r="T17">
        <v>6.3</v>
      </c>
      <c r="U17" s="76">
        <v>0.2</v>
      </c>
      <c r="V17">
        <v>9.5</v>
      </c>
      <c r="W17" s="90">
        <v>0.1</v>
      </c>
      <c r="X17" s="90"/>
      <c r="Y17" s="71"/>
      <c r="Z17" s="71"/>
      <c r="AA17" s="71"/>
      <c r="AB17" s="71"/>
      <c r="AC17" s="71"/>
      <c r="AD17" s="71"/>
      <c r="AE17" s="71"/>
      <c r="AF17" s="71"/>
      <c r="AG17" s="82">
        <v>0</v>
      </c>
      <c r="AH17" s="76"/>
      <c r="AI17" s="76"/>
      <c r="AJ17" s="76"/>
      <c r="AK17" s="71">
        <v>0.15</v>
      </c>
      <c r="AL17" s="88">
        <v>3.4362770551863299E-2</v>
      </c>
      <c r="AM17" s="89">
        <f t="shared" si="0"/>
        <v>0.229085137012422</v>
      </c>
      <c r="AN17" s="78"/>
    </row>
    <row r="18" spans="1:40" x14ac:dyDescent="0.25">
      <c r="A18" t="s">
        <v>44</v>
      </c>
      <c r="B18" t="s">
        <v>45</v>
      </c>
      <c r="C18" s="121" t="s">
        <v>174</v>
      </c>
      <c r="D18" t="s">
        <v>175</v>
      </c>
      <c r="E18" t="s">
        <v>57</v>
      </c>
      <c r="F18">
        <v>1</v>
      </c>
      <c r="G18">
        <v>14</v>
      </c>
      <c r="H18" s="86">
        <v>45959.199268020799</v>
      </c>
      <c r="I18" s="86">
        <v>45959.2714504861</v>
      </c>
      <c r="J18" s="87">
        <v>1.7323791666666699</v>
      </c>
      <c r="K18" s="69" t="s">
        <v>274</v>
      </c>
      <c r="L18" s="69"/>
      <c r="M18" s="71"/>
      <c r="N18" s="71"/>
      <c r="O18" s="71"/>
      <c r="P18" s="71" t="s">
        <v>275</v>
      </c>
      <c r="Q18" s="88">
        <v>1.7799552955124101E-2</v>
      </c>
      <c r="R18" s="89" t="s">
        <v>276</v>
      </c>
      <c r="S18" s="89"/>
      <c r="T18">
        <v>5.8</v>
      </c>
      <c r="U18" s="76">
        <v>0.2</v>
      </c>
      <c r="V18">
        <v>9.4</v>
      </c>
      <c r="W18" s="90">
        <v>0.1</v>
      </c>
      <c r="X18" s="90"/>
      <c r="Y18" s="71"/>
      <c r="Z18" s="71"/>
      <c r="AA18" s="71"/>
      <c r="AB18" s="71"/>
      <c r="AC18" s="71"/>
      <c r="AD18" s="71"/>
      <c r="AE18" s="71"/>
      <c r="AF18" s="71"/>
      <c r="AG18" s="82">
        <v>0</v>
      </c>
      <c r="AH18" s="76"/>
      <c r="AI18" s="76"/>
      <c r="AJ18" s="76"/>
      <c r="AK18" s="71">
        <v>0.15</v>
      </c>
      <c r="AL18" s="88">
        <v>3.4362770551863299E-2</v>
      </c>
      <c r="AM18" s="89">
        <f t="shared" si="0"/>
        <v>0.229085137012422</v>
      </c>
      <c r="AN18" s="78"/>
    </row>
    <row r="19" spans="1:40" x14ac:dyDescent="0.25">
      <c r="A19" t="s">
        <v>44</v>
      </c>
      <c r="B19" t="s">
        <v>45</v>
      </c>
      <c r="C19" s="121" t="s">
        <v>174</v>
      </c>
      <c r="D19" t="s">
        <v>175</v>
      </c>
      <c r="E19" t="s">
        <v>57</v>
      </c>
      <c r="F19">
        <v>1</v>
      </c>
      <c r="G19">
        <v>15</v>
      </c>
      <c r="H19" s="86">
        <v>45959.2714504861</v>
      </c>
      <c r="I19" s="86">
        <v>45959.3436321181</v>
      </c>
      <c r="J19" s="87">
        <v>1.73235916666667</v>
      </c>
      <c r="K19" s="69" t="s">
        <v>274</v>
      </c>
      <c r="L19" s="69"/>
      <c r="M19" s="71"/>
      <c r="N19" s="71"/>
      <c r="O19" s="71"/>
      <c r="P19" s="71" t="s">
        <v>275</v>
      </c>
      <c r="Q19" s="88">
        <v>2.3670175122720301E-2</v>
      </c>
      <c r="R19" s="89" t="s">
        <v>276</v>
      </c>
      <c r="S19" s="89"/>
      <c r="T19">
        <v>7.6</v>
      </c>
      <c r="U19" s="76">
        <v>0.2</v>
      </c>
      <c r="V19">
        <v>9.4</v>
      </c>
      <c r="W19" s="90">
        <v>0.1</v>
      </c>
      <c r="X19" s="90"/>
      <c r="Y19" s="71"/>
      <c r="Z19" s="71"/>
      <c r="AA19" s="71"/>
      <c r="AB19" s="71"/>
      <c r="AC19" s="71"/>
      <c r="AD19" s="71"/>
      <c r="AE19" s="71"/>
      <c r="AF19" s="71"/>
      <c r="AG19" s="82">
        <v>0.3</v>
      </c>
      <c r="AH19" s="76"/>
      <c r="AI19" s="76"/>
      <c r="AJ19" s="76"/>
      <c r="AK19" s="71">
        <v>0.15</v>
      </c>
      <c r="AL19" s="88">
        <v>3.4362770551863299E-2</v>
      </c>
      <c r="AM19" s="89">
        <f t="shared" si="0"/>
        <v>0.229085137012422</v>
      </c>
      <c r="AN19" s="78"/>
    </row>
    <row r="20" spans="1:40" x14ac:dyDescent="0.25">
      <c r="A20" t="s">
        <v>44</v>
      </c>
      <c r="B20" t="s">
        <v>45</v>
      </c>
      <c r="C20" s="121" t="s">
        <v>174</v>
      </c>
      <c r="D20" t="s">
        <v>175</v>
      </c>
      <c r="E20" t="s">
        <v>57</v>
      </c>
      <c r="F20">
        <v>1</v>
      </c>
      <c r="G20">
        <v>16</v>
      </c>
      <c r="H20" s="86">
        <v>45959.3436321181</v>
      </c>
      <c r="I20" s="86">
        <v>45959.4158243403</v>
      </c>
      <c r="J20" s="87">
        <v>1.73261333333333</v>
      </c>
      <c r="K20" s="69" t="s">
        <v>274</v>
      </c>
      <c r="L20" s="69"/>
      <c r="M20" s="71"/>
      <c r="N20" s="71"/>
      <c r="O20" s="71"/>
      <c r="P20" s="71" t="s">
        <v>275</v>
      </c>
      <c r="Q20" s="88">
        <v>3.3252947575476297E-2</v>
      </c>
      <c r="R20" s="89" t="s">
        <v>276</v>
      </c>
      <c r="S20" s="89"/>
      <c r="T20">
        <v>8</v>
      </c>
      <c r="U20" s="76">
        <v>0.2</v>
      </c>
      <c r="V20">
        <v>9.4</v>
      </c>
      <c r="W20" s="90">
        <v>0.1</v>
      </c>
      <c r="X20" s="90"/>
      <c r="Y20" s="71"/>
      <c r="Z20" s="71"/>
      <c r="AA20" s="71"/>
      <c r="AB20" s="71"/>
      <c r="AC20" s="71"/>
      <c r="AD20" s="71"/>
      <c r="AE20" s="71"/>
      <c r="AF20" s="71"/>
      <c r="AG20" s="82">
        <v>0</v>
      </c>
      <c r="AH20" s="76"/>
      <c r="AI20" s="76"/>
      <c r="AJ20" s="76"/>
      <c r="AK20" s="71">
        <v>0.15</v>
      </c>
      <c r="AL20" s="88">
        <v>3.4362770551863299E-2</v>
      </c>
      <c r="AM20" s="89">
        <f t="shared" si="0"/>
        <v>0.229085137012422</v>
      </c>
      <c r="AN20" s="78"/>
    </row>
    <row r="21" spans="1:40" x14ac:dyDescent="0.25">
      <c r="A21" t="s">
        <v>44</v>
      </c>
      <c r="B21" t="s">
        <v>45</v>
      </c>
      <c r="C21" s="121" t="s">
        <v>174</v>
      </c>
      <c r="D21" t="s">
        <v>175</v>
      </c>
      <c r="E21" t="s">
        <v>57</v>
      </c>
      <c r="F21">
        <v>1</v>
      </c>
      <c r="G21">
        <v>17</v>
      </c>
      <c r="H21" s="86">
        <v>45959.4158243403</v>
      </c>
      <c r="I21" s="86">
        <v>45959.488003692102</v>
      </c>
      <c r="J21" s="87">
        <v>1.73230444444444</v>
      </c>
      <c r="K21" s="69" t="s">
        <v>274</v>
      </c>
      <c r="L21" s="69"/>
      <c r="M21" s="71"/>
      <c r="N21" s="71"/>
      <c r="O21" s="71"/>
      <c r="P21" s="71" t="s">
        <v>275</v>
      </c>
      <c r="Q21" s="88">
        <v>7.8476098774892006E-2</v>
      </c>
      <c r="R21" s="89" t="s">
        <v>276</v>
      </c>
      <c r="S21" s="89"/>
      <c r="T21">
        <v>9.5</v>
      </c>
      <c r="U21" s="76">
        <v>0.2</v>
      </c>
      <c r="V21">
        <v>9.4</v>
      </c>
      <c r="W21" s="90">
        <v>0.1</v>
      </c>
      <c r="X21" s="90"/>
      <c r="Y21" s="71"/>
      <c r="Z21" s="71"/>
      <c r="AA21" s="71"/>
      <c r="AB21" s="71"/>
      <c r="AC21" s="71"/>
      <c r="AD21" s="71"/>
      <c r="AE21" s="71"/>
      <c r="AF21" s="71"/>
      <c r="AG21" s="82">
        <v>0</v>
      </c>
      <c r="AH21" s="76"/>
      <c r="AI21" s="76"/>
      <c r="AJ21" s="76"/>
      <c r="AK21" s="71">
        <v>0.15</v>
      </c>
      <c r="AL21" s="88">
        <v>3.4362770551863299E-2</v>
      </c>
      <c r="AM21" s="89">
        <f t="shared" si="0"/>
        <v>0.229085137012422</v>
      </c>
      <c r="AN21" s="78"/>
    </row>
    <row r="22" spans="1:40" x14ac:dyDescent="0.25">
      <c r="A22" t="s">
        <v>44</v>
      </c>
      <c r="B22" t="s">
        <v>45</v>
      </c>
      <c r="C22" s="121" t="s">
        <v>174</v>
      </c>
      <c r="D22" t="s">
        <v>175</v>
      </c>
      <c r="E22" t="s">
        <v>57</v>
      </c>
      <c r="F22">
        <v>1</v>
      </c>
      <c r="G22">
        <v>18</v>
      </c>
      <c r="H22" s="86">
        <v>45959.488003692102</v>
      </c>
      <c r="I22" s="86">
        <v>45959.560188796298</v>
      </c>
      <c r="J22" s="87">
        <v>1.7324425000000001</v>
      </c>
      <c r="K22" s="69" t="s">
        <v>274</v>
      </c>
      <c r="L22" s="69"/>
      <c r="M22" s="71"/>
      <c r="N22" s="71"/>
      <c r="O22" s="71"/>
      <c r="P22" s="71" t="s">
        <v>275</v>
      </c>
      <c r="Q22" s="88">
        <v>6.1816292006960698E-2</v>
      </c>
      <c r="R22" s="89" t="s">
        <v>276</v>
      </c>
      <c r="S22" s="89"/>
      <c r="T22">
        <v>9.8000000000000007</v>
      </c>
      <c r="U22" s="76">
        <v>0.2</v>
      </c>
      <c r="V22">
        <v>9.5</v>
      </c>
      <c r="W22" s="90">
        <v>0.1</v>
      </c>
      <c r="X22" s="90"/>
      <c r="Y22" s="71"/>
      <c r="Z22" s="71"/>
      <c r="AA22" s="71"/>
      <c r="AB22" s="71"/>
      <c r="AC22" s="71"/>
      <c r="AD22" s="71"/>
      <c r="AE22" s="71"/>
      <c r="AF22" s="71"/>
      <c r="AG22" s="82">
        <v>0</v>
      </c>
      <c r="AH22" s="76"/>
      <c r="AI22" s="76"/>
      <c r="AJ22" s="76"/>
      <c r="AK22" s="71">
        <v>0.15</v>
      </c>
      <c r="AL22" s="88">
        <v>3.4362770551863299E-2</v>
      </c>
      <c r="AM22" s="89">
        <f t="shared" si="0"/>
        <v>0.229085137012422</v>
      </c>
      <c r="AN22" s="78"/>
    </row>
    <row r="23" spans="1:40" x14ac:dyDescent="0.25">
      <c r="A23" t="s">
        <v>44</v>
      </c>
      <c r="B23" t="s">
        <v>45</v>
      </c>
      <c r="C23" s="121" t="s">
        <v>174</v>
      </c>
      <c r="D23" t="s">
        <v>175</v>
      </c>
      <c r="E23" t="s">
        <v>57</v>
      </c>
      <c r="F23">
        <v>1</v>
      </c>
      <c r="G23">
        <v>19</v>
      </c>
      <c r="H23" s="86">
        <v>45959.560188796298</v>
      </c>
      <c r="I23" s="86">
        <v>45959.6323853125</v>
      </c>
      <c r="J23" s="87">
        <v>1.7327163888888899</v>
      </c>
      <c r="K23" s="69" t="s">
        <v>274</v>
      </c>
      <c r="L23" s="69"/>
      <c r="M23" s="71"/>
      <c r="N23" s="71"/>
      <c r="O23" s="71"/>
      <c r="P23" s="71" t="s">
        <v>275</v>
      </c>
      <c r="Q23" s="88">
        <v>3.2684789039306002E-2</v>
      </c>
      <c r="R23" s="89" t="s">
        <v>276</v>
      </c>
      <c r="S23" s="89"/>
      <c r="T23">
        <v>9.4</v>
      </c>
      <c r="U23" s="76">
        <v>0.2</v>
      </c>
      <c r="V23">
        <v>9.6</v>
      </c>
      <c r="W23" s="90">
        <v>0.1</v>
      </c>
      <c r="X23" s="90"/>
      <c r="Y23" s="71"/>
      <c r="Z23" s="71"/>
      <c r="AA23" s="71"/>
      <c r="AB23" s="71"/>
      <c r="AC23" s="71"/>
      <c r="AD23" s="71"/>
      <c r="AE23" s="71"/>
      <c r="AF23" s="71"/>
      <c r="AG23" s="82">
        <v>0.2</v>
      </c>
      <c r="AH23" s="76"/>
      <c r="AI23" s="76"/>
      <c r="AJ23" s="76"/>
      <c r="AK23" s="71">
        <v>0.15</v>
      </c>
      <c r="AL23" s="88">
        <v>3.4362770551863299E-2</v>
      </c>
      <c r="AM23" s="89">
        <f t="shared" si="0"/>
        <v>0.229085137012422</v>
      </c>
      <c r="AN23" s="78"/>
    </row>
    <row r="24" spans="1:40" x14ac:dyDescent="0.25">
      <c r="A24" t="s">
        <v>44</v>
      </c>
      <c r="B24" t="s">
        <v>45</v>
      </c>
      <c r="C24" s="121" t="s">
        <v>174</v>
      </c>
      <c r="D24" t="s">
        <v>175</v>
      </c>
      <c r="E24" t="s">
        <v>57</v>
      </c>
      <c r="F24">
        <v>1</v>
      </c>
      <c r="G24">
        <v>20</v>
      </c>
      <c r="H24" s="86">
        <v>45959.6323853125</v>
      </c>
      <c r="I24" s="86">
        <v>45959.704562812498</v>
      </c>
      <c r="J24" s="87">
        <v>1.7322599999999999</v>
      </c>
      <c r="K24" s="69" t="s">
        <v>274</v>
      </c>
      <c r="L24" s="69"/>
      <c r="M24" s="71"/>
      <c r="N24" s="71"/>
      <c r="O24" s="71"/>
      <c r="P24" s="71" t="s">
        <v>275</v>
      </c>
      <c r="Q24" s="88">
        <v>2.8566561025454101E-2</v>
      </c>
      <c r="R24" s="89" t="s">
        <v>276</v>
      </c>
      <c r="S24" s="89"/>
      <c r="T24">
        <v>9.4</v>
      </c>
      <c r="U24" s="76">
        <v>0.2</v>
      </c>
      <c r="V24">
        <v>9.6999999999999993</v>
      </c>
      <c r="W24" s="90">
        <v>0.1</v>
      </c>
      <c r="X24" s="90"/>
      <c r="Y24" s="71"/>
      <c r="Z24" s="71"/>
      <c r="AA24" s="71"/>
      <c r="AB24" s="71"/>
      <c r="AC24" s="71"/>
      <c r="AD24" s="71"/>
      <c r="AE24" s="71"/>
      <c r="AF24" s="71"/>
      <c r="AG24" s="82">
        <v>0.1</v>
      </c>
      <c r="AH24" s="76"/>
      <c r="AI24" s="76"/>
      <c r="AJ24" s="76"/>
      <c r="AK24" s="71">
        <v>0.15</v>
      </c>
      <c r="AL24" s="88">
        <v>3.4362770551863299E-2</v>
      </c>
      <c r="AM24" s="89">
        <f t="shared" si="0"/>
        <v>0.229085137012422</v>
      </c>
      <c r="AN24" s="78"/>
    </row>
    <row r="25" spans="1:40" x14ac:dyDescent="0.25">
      <c r="A25" t="s">
        <v>44</v>
      </c>
      <c r="B25" t="s">
        <v>45</v>
      </c>
      <c r="C25" s="121" t="s">
        <v>174</v>
      </c>
      <c r="D25" t="s">
        <v>175</v>
      </c>
      <c r="E25" t="s">
        <v>57</v>
      </c>
      <c r="F25">
        <v>1</v>
      </c>
      <c r="G25">
        <v>21</v>
      </c>
      <c r="H25" s="86">
        <v>45959.704562812498</v>
      </c>
      <c r="I25" s="86">
        <v>45959.776756747699</v>
      </c>
      <c r="J25" s="87">
        <v>1.7326544444444401</v>
      </c>
      <c r="K25" s="69" t="s">
        <v>274</v>
      </c>
      <c r="L25" s="69"/>
      <c r="M25" s="71"/>
      <c r="N25" s="71"/>
      <c r="O25" s="71"/>
      <c r="P25" s="71" t="s">
        <v>275</v>
      </c>
      <c r="Q25" s="88">
        <v>2.1174821724532601E-2</v>
      </c>
      <c r="R25" s="89" t="s">
        <v>276</v>
      </c>
      <c r="S25" s="89"/>
      <c r="T25">
        <v>9.3000000000000007</v>
      </c>
      <c r="U25" s="76">
        <v>0.2</v>
      </c>
      <c r="V25">
        <v>9.8000000000000007</v>
      </c>
      <c r="W25" s="90">
        <v>0.1</v>
      </c>
      <c r="X25" s="90"/>
      <c r="Y25" s="71"/>
      <c r="Z25" s="71"/>
      <c r="AA25" s="71"/>
      <c r="AB25" s="71"/>
      <c r="AC25" s="71"/>
      <c r="AD25" s="71"/>
      <c r="AE25" s="71"/>
      <c r="AF25" s="71"/>
      <c r="AG25" s="82">
        <v>0.1</v>
      </c>
      <c r="AH25" s="76"/>
      <c r="AI25" s="76"/>
      <c r="AJ25" s="76"/>
      <c r="AK25" s="71">
        <v>0.15</v>
      </c>
      <c r="AL25" s="88">
        <v>3.4362770551863299E-2</v>
      </c>
      <c r="AM25" s="89">
        <f t="shared" si="0"/>
        <v>0.229085137012422</v>
      </c>
      <c r="AN25" s="78"/>
    </row>
    <row r="26" spans="1:40" x14ac:dyDescent="0.25">
      <c r="A26" t="s">
        <v>44</v>
      </c>
      <c r="B26" t="s">
        <v>45</v>
      </c>
      <c r="C26" s="121" t="s">
        <v>174</v>
      </c>
      <c r="D26" t="s">
        <v>175</v>
      </c>
      <c r="E26" t="s">
        <v>57</v>
      </c>
      <c r="F26">
        <v>1</v>
      </c>
      <c r="G26">
        <v>22</v>
      </c>
      <c r="H26" s="86">
        <v>45959.776756747699</v>
      </c>
      <c r="I26" s="86">
        <v>45959.848922384299</v>
      </c>
      <c r="J26" s="87">
        <v>1.7319752777777799</v>
      </c>
      <c r="K26" s="69" t="s">
        <v>274</v>
      </c>
      <c r="L26" s="69"/>
      <c r="M26" s="71"/>
      <c r="N26" s="71"/>
      <c r="O26" s="71"/>
      <c r="P26" s="71" t="s">
        <v>275</v>
      </c>
      <c r="Q26" s="88">
        <v>2.4711504687747202E-2</v>
      </c>
      <c r="R26" s="89" t="s">
        <v>276</v>
      </c>
      <c r="S26" s="89"/>
      <c r="T26">
        <v>8.8000000000000007</v>
      </c>
      <c r="U26" s="76">
        <v>0.2</v>
      </c>
      <c r="V26">
        <v>9.9</v>
      </c>
      <c r="W26" s="90">
        <v>0.1</v>
      </c>
      <c r="X26" s="90"/>
      <c r="Y26" s="71"/>
      <c r="Z26" s="71"/>
      <c r="AA26" s="71"/>
      <c r="AB26" s="71"/>
      <c r="AC26" s="71"/>
      <c r="AD26" s="71"/>
      <c r="AE26" s="71"/>
      <c r="AF26" s="71"/>
      <c r="AG26" s="82">
        <v>0.1</v>
      </c>
      <c r="AH26" s="76"/>
      <c r="AI26" s="76"/>
      <c r="AJ26" s="76"/>
      <c r="AK26" s="71">
        <v>0.15</v>
      </c>
      <c r="AL26" s="88">
        <v>3.4362770551863299E-2</v>
      </c>
      <c r="AM26" s="89">
        <f t="shared" si="0"/>
        <v>0.229085137012422</v>
      </c>
      <c r="AN26" s="78"/>
    </row>
    <row r="27" spans="1:40" x14ac:dyDescent="0.25">
      <c r="A27" t="s">
        <v>44</v>
      </c>
      <c r="B27" t="s">
        <v>45</v>
      </c>
      <c r="C27" s="121" t="s">
        <v>174</v>
      </c>
      <c r="D27" t="s">
        <v>175</v>
      </c>
      <c r="E27" t="s">
        <v>57</v>
      </c>
      <c r="F27">
        <v>1</v>
      </c>
      <c r="G27">
        <v>23</v>
      </c>
      <c r="H27" s="86">
        <v>45959.848922384299</v>
      </c>
      <c r="I27" s="86">
        <v>45959.921116435202</v>
      </c>
      <c r="J27" s="87">
        <v>1.7326572222222201</v>
      </c>
      <c r="K27" s="69" t="s">
        <v>274</v>
      </c>
      <c r="L27" s="69"/>
      <c r="M27" s="71"/>
      <c r="N27" s="71"/>
      <c r="O27" s="71"/>
      <c r="P27" s="71" t="s">
        <v>275</v>
      </c>
      <c r="Q27" s="88">
        <v>2.2092790321125402E-2</v>
      </c>
      <c r="R27" s="89" t="s">
        <v>276</v>
      </c>
      <c r="S27" s="89"/>
      <c r="T27">
        <v>8.8000000000000007</v>
      </c>
      <c r="U27" s="76">
        <v>0.2</v>
      </c>
      <c r="V27">
        <v>9.9</v>
      </c>
      <c r="W27" s="90">
        <v>0.1</v>
      </c>
      <c r="X27" s="90"/>
      <c r="Y27" s="71"/>
      <c r="Z27" s="71"/>
      <c r="AA27" s="71"/>
      <c r="AB27" s="71"/>
      <c r="AC27" s="71"/>
      <c r="AD27" s="71"/>
      <c r="AE27" s="71"/>
      <c r="AF27" s="71"/>
      <c r="AG27" s="82">
        <v>0.1</v>
      </c>
      <c r="AH27" s="76"/>
      <c r="AI27" s="76"/>
      <c r="AJ27" s="76"/>
      <c r="AK27" s="71">
        <v>0.15</v>
      </c>
      <c r="AL27" s="88">
        <v>3.4362770551863299E-2</v>
      </c>
      <c r="AM27" s="89">
        <f t="shared" si="0"/>
        <v>0.229085137012422</v>
      </c>
      <c r="AN27" s="78"/>
    </row>
    <row r="28" spans="1:40" x14ac:dyDescent="0.25">
      <c r="A28" t="s">
        <v>44</v>
      </c>
      <c r="B28" t="s">
        <v>45</v>
      </c>
      <c r="C28" s="121" t="s">
        <v>174</v>
      </c>
      <c r="D28" t="s">
        <v>175</v>
      </c>
      <c r="E28" t="s">
        <v>57</v>
      </c>
      <c r="F28">
        <v>1</v>
      </c>
      <c r="G28">
        <v>24</v>
      </c>
      <c r="H28" s="86">
        <v>45959.921116435202</v>
      </c>
      <c r="I28" s="86">
        <v>45959.993306562501</v>
      </c>
      <c r="J28" s="87">
        <v>1.73256305555556</v>
      </c>
      <c r="K28" s="69" t="s">
        <v>274</v>
      </c>
      <c r="L28" s="69"/>
      <c r="M28" s="71"/>
      <c r="N28" s="71"/>
      <c r="O28" s="71"/>
      <c r="P28" s="71" t="s">
        <v>275</v>
      </c>
      <c r="Q28" s="88">
        <v>2.5148906521430401E-2</v>
      </c>
      <c r="R28" s="89" t="s">
        <v>276</v>
      </c>
      <c r="S28" s="89"/>
      <c r="T28">
        <v>8.9</v>
      </c>
      <c r="U28" s="76">
        <v>0.2</v>
      </c>
      <c r="V28">
        <v>9.9</v>
      </c>
      <c r="W28" s="90">
        <v>0.1</v>
      </c>
      <c r="X28" s="90"/>
      <c r="Y28" s="71"/>
      <c r="Z28" s="71"/>
      <c r="AA28" s="71"/>
      <c r="AB28" s="71"/>
      <c r="AC28" s="71"/>
      <c r="AD28" s="71"/>
      <c r="AE28" s="71"/>
      <c r="AF28" s="71"/>
      <c r="AG28" s="82">
        <v>0.4</v>
      </c>
      <c r="AH28" s="76"/>
      <c r="AI28" s="76"/>
      <c r="AJ28" s="76"/>
      <c r="AK28" s="71">
        <v>0.15</v>
      </c>
      <c r="AL28" s="88">
        <v>3.4362770551863299E-2</v>
      </c>
      <c r="AM28" s="89">
        <f t="shared" si="0"/>
        <v>0.229085137012422</v>
      </c>
      <c r="AN28" s="78"/>
    </row>
    <row r="29" spans="1:40" x14ac:dyDescent="0.25">
      <c r="A29" t="s">
        <v>44</v>
      </c>
      <c r="B29" t="s">
        <v>45</v>
      </c>
      <c r="C29" s="121" t="s">
        <v>174</v>
      </c>
      <c r="D29" t="s">
        <v>175</v>
      </c>
      <c r="E29" t="s">
        <v>57</v>
      </c>
      <c r="F29">
        <v>1</v>
      </c>
      <c r="G29">
        <v>25</v>
      </c>
      <c r="H29" s="86">
        <v>45959.993306562501</v>
      </c>
      <c r="I29" s="86">
        <v>45960.065490520799</v>
      </c>
      <c r="J29" s="87">
        <v>1.732415</v>
      </c>
      <c r="K29" s="69" t="s">
        <v>274</v>
      </c>
      <c r="L29" s="69"/>
      <c r="M29" s="71"/>
      <c r="N29" s="71"/>
      <c r="O29" s="71"/>
      <c r="P29" s="71" t="s">
        <v>275</v>
      </c>
      <c r="Q29" s="88">
        <v>2.35653438884268E-2</v>
      </c>
      <c r="R29" s="89" t="s">
        <v>276</v>
      </c>
      <c r="S29" s="89"/>
      <c r="T29">
        <v>8.6999999999999993</v>
      </c>
      <c r="U29" s="76">
        <v>0.2</v>
      </c>
      <c r="V29">
        <v>9.9</v>
      </c>
      <c r="W29" s="90">
        <v>0.1</v>
      </c>
      <c r="X29" s="90"/>
      <c r="Y29" s="71"/>
      <c r="Z29" s="71"/>
      <c r="AA29" s="71"/>
      <c r="AB29" s="71"/>
      <c r="AC29" s="71"/>
      <c r="AD29" s="71"/>
      <c r="AE29" s="71"/>
      <c r="AF29" s="71"/>
      <c r="AG29" s="82">
        <v>2.6</v>
      </c>
      <c r="AH29" s="76"/>
      <c r="AI29" s="76"/>
      <c r="AJ29" s="76"/>
      <c r="AK29" s="71">
        <v>0.15</v>
      </c>
      <c r="AL29" s="88">
        <v>3.4362770551863299E-2</v>
      </c>
      <c r="AM29" s="89">
        <f t="shared" si="0"/>
        <v>0.229085137012422</v>
      </c>
      <c r="AN29" s="78"/>
    </row>
    <row r="30" spans="1:40" x14ac:dyDescent="0.25">
      <c r="A30" t="s">
        <v>44</v>
      </c>
      <c r="B30" t="s">
        <v>45</v>
      </c>
      <c r="C30" s="121" t="s">
        <v>174</v>
      </c>
      <c r="D30" t="s">
        <v>175</v>
      </c>
      <c r="E30" t="s">
        <v>57</v>
      </c>
      <c r="F30">
        <v>1</v>
      </c>
      <c r="G30">
        <v>26</v>
      </c>
      <c r="H30" s="86">
        <v>45960.065490520799</v>
      </c>
      <c r="I30" s="86">
        <v>45960.1376768056</v>
      </c>
      <c r="J30" s="87">
        <v>1.7324708333333301</v>
      </c>
      <c r="K30" s="69" t="s">
        <v>274</v>
      </c>
      <c r="L30" s="69"/>
      <c r="M30" s="71"/>
      <c r="N30" s="71"/>
      <c r="O30" s="71"/>
      <c r="P30" s="71" t="s">
        <v>275</v>
      </c>
      <c r="Q30" s="88">
        <v>2.3128213294113201E-2</v>
      </c>
      <c r="R30" s="89" t="s">
        <v>276</v>
      </c>
      <c r="S30" s="89"/>
      <c r="T30">
        <v>8.6999999999999993</v>
      </c>
      <c r="U30" s="76">
        <v>0.2</v>
      </c>
      <c r="V30">
        <v>9.9</v>
      </c>
      <c r="W30" s="90">
        <v>0.1</v>
      </c>
      <c r="X30" s="90"/>
      <c r="Y30" s="71"/>
      <c r="Z30" s="71"/>
      <c r="AA30" s="71"/>
      <c r="AB30" s="71"/>
      <c r="AC30" s="71"/>
      <c r="AD30" s="71"/>
      <c r="AE30" s="71"/>
      <c r="AF30" s="71"/>
      <c r="AG30" s="82">
        <v>1.3</v>
      </c>
      <c r="AH30" s="76"/>
      <c r="AI30" s="76"/>
      <c r="AJ30" s="76"/>
      <c r="AK30" s="71">
        <v>0.15</v>
      </c>
      <c r="AL30" s="88">
        <v>3.4362770551863299E-2</v>
      </c>
      <c r="AM30" s="89">
        <f t="shared" si="0"/>
        <v>0.229085137012422</v>
      </c>
      <c r="AN30" s="78"/>
    </row>
    <row r="31" spans="1:40" x14ac:dyDescent="0.25">
      <c r="A31" t="s">
        <v>44</v>
      </c>
      <c r="B31" t="s">
        <v>45</v>
      </c>
      <c r="C31" s="121" t="s">
        <v>174</v>
      </c>
      <c r="D31" t="s">
        <v>175</v>
      </c>
      <c r="E31" t="s">
        <v>57</v>
      </c>
      <c r="F31">
        <v>1</v>
      </c>
      <c r="G31">
        <v>27</v>
      </c>
      <c r="H31" s="86">
        <v>45960.1376768056</v>
      </c>
      <c r="I31" s="86">
        <v>45960.209855613401</v>
      </c>
      <c r="J31" s="87">
        <v>1.73229138888889</v>
      </c>
      <c r="K31" s="69" t="s">
        <v>274</v>
      </c>
      <c r="L31" s="69"/>
      <c r="M31" s="71"/>
      <c r="N31" s="71"/>
      <c r="O31" s="71"/>
      <c r="P31" s="71" t="s">
        <v>275</v>
      </c>
      <c r="Q31" s="88">
        <v>2.5758376943683499E-2</v>
      </c>
      <c r="R31" s="89" t="s">
        <v>276</v>
      </c>
      <c r="S31" s="89"/>
      <c r="T31">
        <v>8.6999999999999993</v>
      </c>
      <c r="U31" s="76">
        <v>0.2</v>
      </c>
      <c r="V31">
        <v>9.8000000000000007</v>
      </c>
      <c r="W31" s="90">
        <v>0.1</v>
      </c>
      <c r="X31" s="90"/>
      <c r="Y31" s="71"/>
      <c r="Z31" s="71"/>
      <c r="AA31" s="71"/>
      <c r="AB31" s="71"/>
      <c r="AC31" s="71"/>
      <c r="AD31" s="71"/>
      <c r="AE31" s="71"/>
      <c r="AF31" s="71"/>
      <c r="AG31" s="82">
        <v>2.1</v>
      </c>
      <c r="AH31" s="76"/>
      <c r="AI31" s="76"/>
      <c r="AJ31" s="76"/>
      <c r="AK31" s="71">
        <v>0.15</v>
      </c>
      <c r="AL31" s="88">
        <v>3.4362770551863299E-2</v>
      </c>
      <c r="AM31" s="89">
        <f t="shared" si="0"/>
        <v>0.229085137012422</v>
      </c>
      <c r="AN31" s="78"/>
    </row>
    <row r="32" spans="1:40" x14ac:dyDescent="0.25">
      <c r="A32" t="s">
        <v>44</v>
      </c>
      <c r="B32" t="s">
        <v>45</v>
      </c>
      <c r="C32" s="121" t="s">
        <v>174</v>
      </c>
      <c r="D32" t="s">
        <v>175</v>
      </c>
      <c r="E32" t="s">
        <v>57</v>
      </c>
      <c r="F32">
        <v>1</v>
      </c>
      <c r="G32">
        <v>28</v>
      </c>
      <c r="H32" s="86">
        <v>45960.209855613401</v>
      </c>
      <c r="I32" s="86">
        <v>45960.282039571801</v>
      </c>
      <c r="J32" s="87">
        <v>1.732415</v>
      </c>
      <c r="K32" s="69" t="s">
        <v>274</v>
      </c>
      <c r="L32" s="69"/>
      <c r="M32" s="71"/>
      <c r="N32" s="71"/>
      <c r="O32" s="71"/>
      <c r="P32" s="71" t="s">
        <v>275</v>
      </c>
      <c r="Q32" s="88">
        <v>2.80091039054285E-2</v>
      </c>
      <c r="R32" s="89" t="s">
        <v>276</v>
      </c>
      <c r="S32" s="89"/>
      <c r="T32">
        <v>8.5</v>
      </c>
      <c r="U32" s="76">
        <v>0.2</v>
      </c>
      <c r="V32">
        <v>9.8000000000000007</v>
      </c>
      <c r="W32" s="90">
        <v>0.1</v>
      </c>
      <c r="X32" s="90"/>
      <c r="Y32" s="71"/>
      <c r="Z32" s="71"/>
      <c r="AA32" s="71"/>
      <c r="AB32" s="71"/>
      <c r="AC32" s="71"/>
      <c r="AD32" s="71"/>
      <c r="AE32" s="71"/>
      <c r="AF32" s="71"/>
      <c r="AG32" s="82">
        <v>1.5</v>
      </c>
      <c r="AH32" s="76"/>
      <c r="AI32" s="76"/>
      <c r="AJ32" s="76"/>
      <c r="AK32" s="71">
        <v>0.15</v>
      </c>
      <c r="AL32" s="88">
        <v>3.4362770551863299E-2</v>
      </c>
      <c r="AM32" s="89">
        <f t="shared" si="0"/>
        <v>0.229085137012422</v>
      </c>
      <c r="AN32" s="78"/>
    </row>
    <row r="33" spans="1:40" x14ac:dyDescent="0.25">
      <c r="A33" t="s">
        <v>44</v>
      </c>
      <c r="B33" t="s">
        <v>45</v>
      </c>
      <c r="C33" s="121" t="s">
        <v>174</v>
      </c>
      <c r="D33" t="s">
        <v>175</v>
      </c>
      <c r="E33" t="s">
        <v>57</v>
      </c>
      <c r="F33">
        <v>1</v>
      </c>
      <c r="G33">
        <v>29</v>
      </c>
      <c r="H33" s="86">
        <v>45960.282039571801</v>
      </c>
      <c r="I33" s="86">
        <v>45960.354230671299</v>
      </c>
      <c r="J33" s="87">
        <v>1.7325863888888899</v>
      </c>
      <c r="K33" s="69" t="s">
        <v>274</v>
      </c>
      <c r="L33" s="69"/>
      <c r="M33" s="71"/>
      <c r="N33" s="71"/>
      <c r="O33" s="71"/>
      <c r="P33" s="71" t="s">
        <v>275</v>
      </c>
      <c r="Q33" s="88">
        <v>3.4794809172955E-2</v>
      </c>
      <c r="R33" s="89" t="s">
        <v>276</v>
      </c>
      <c r="S33" s="89"/>
      <c r="T33">
        <v>8</v>
      </c>
      <c r="U33" s="76">
        <v>0.2</v>
      </c>
      <c r="V33">
        <v>9.8000000000000007</v>
      </c>
      <c r="W33" s="90">
        <v>0.1</v>
      </c>
      <c r="X33" s="90"/>
      <c r="Y33" s="71"/>
      <c r="Z33" s="71"/>
      <c r="AA33" s="71"/>
      <c r="AB33" s="71"/>
      <c r="AC33" s="71"/>
      <c r="AD33" s="71"/>
      <c r="AE33" s="71"/>
      <c r="AF33" s="71"/>
      <c r="AG33" s="82">
        <v>0.1</v>
      </c>
      <c r="AH33" s="76"/>
      <c r="AI33" s="76"/>
      <c r="AJ33" s="76"/>
      <c r="AK33" s="71">
        <v>0.15</v>
      </c>
      <c r="AL33" s="88">
        <v>3.4362770551863299E-2</v>
      </c>
      <c r="AM33" s="89">
        <f t="shared" si="0"/>
        <v>0.229085137012422</v>
      </c>
      <c r="AN33" s="78"/>
    </row>
    <row r="34" spans="1:40" x14ac:dyDescent="0.25">
      <c r="A34" t="s">
        <v>44</v>
      </c>
      <c r="B34" t="s">
        <v>45</v>
      </c>
      <c r="C34" s="121" t="s">
        <v>174</v>
      </c>
      <c r="D34" t="s">
        <v>175</v>
      </c>
      <c r="E34" t="s">
        <v>57</v>
      </c>
      <c r="F34">
        <v>1</v>
      </c>
      <c r="G34">
        <v>30</v>
      </c>
      <c r="H34" s="86">
        <v>45960.354230671299</v>
      </c>
      <c r="I34" s="86">
        <v>45960.426407465297</v>
      </c>
      <c r="J34" s="87">
        <v>1.7322430555555599</v>
      </c>
      <c r="K34" s="69" t="s">
        <v>274</v>
      </c>
      <c r="L34" s="69"/>
      <c r="M34" s="71"/>
      <c r="N34" s="71"/>
      <c r="O34" s="71"/>
      <c r="P34" s="71" t="s">
        <v>275</v>
      </c>
      <c r="Q34" s="88">
        <v>3.5433223817506999E-2</v>
      </c>
      <c r="R34" s="89" t="s">
        <v>276</v>
      </c>
      <c r="S34" s="89"/>
      <c r="T34">
        <v>8</v>
      </c>
      <c r="U34" s="76">
        <v>0.2</v>
      </c>
      <c r="V34">
        <v>9.8000000000000007</v>
      </c>
      <c r="W34" s="90">
        <v>0.1</v>
      </c>
      <c r="X34" s="90"/>
      <c r="Y34" s="71"/>
      <c r="Z34" s="71"/>
      <c r="AA34" s="71"/>
      <c r="AB34" s="71"/>
      <c r="AC34" s="71"/>
      <c r="AD34" s="71"/>
      <c r="AE34" s="71"/>
      <c r="AF34" s="71"/>
      <c r="AG34" s="82">
        <v>0.5</v>
      </c>
      <c r="AH34" s="76"/>
      <c r="AI34" s="76"/>
      <c r="AJ34" s="76"/>
      <c r="AK34" s="71">
        <v>0.15</v>
      </c>
      <c r="AL34" s="88">
        <v>3.4362770551863299E-2</v>
      </c>
      <c r="AM34" s="89">
        <f t="shared" si="0"/>
        <v>0.229085137012422</v>
      </c>
      <c r="AN34" s="78"/>
    </row>
    <row r="35" spans="1:40" x14ac:dyDescent="0.25">
      <c r="A35" t="s">
        <v>44</v>
      </c>
      <c r="B35" t="s">
        <v>45</v>
      </c>
      <c r="C35" s="121" t="s">
        <v>174</v>
      </c>
      <c r="D35" t="s">
        <v>175</v>
      </c>
      <c r="E35" t="s">
        <v>57</v>
      </c>
      <c r="F35">
        <v>1</v>
      </c>
      <c r="G35">
        <v>31</v>
      </c>
      <c r="H35" s="86">
        <v>45960.426407465297</v>
      </c>
      <c r="I35" s="86">
        <v>45960.498590937503</v>
      </c>
      <c r="J35" s="87">
        <v>1.73240333333333</v>
      </c>
      <c r="K35" s="69" t="s">
        <v>274</v>
      </c>
      <c r="L35" s="69"/>
      <c r="M35" s="71"/>
      <c r="N35" s="71"/>
      <c r="O35" s="71"/>
      <c r="P35" s="71" t="s">
        <v>275</v>
      </c>
      <c r="Q35" s="88">
        <v>6.1353903201351902E-2</v>
      </c>
      <c r="R35" s="89" t="s">
        <v>276</v>
      </c>
      <c r="S35" s="89"/>
      <c r="T35">
        <v>7.4</v>
      </c>
      <c r="U35" s="76">
        <v>0.2</v>
      </c>
      <c r="V35">
        <v>9.8000000000000007</v>
      </c>
      <c r="W35" s="90">
        <v>0.1</v>
      </c>
      <c r="X35" s="90"/>
      <c r="Y35" s="71"/>
      <c r="Z35" s="71"/>
      <c r="AA35" s="71"/>
      <c r="AB35" s="71"/>
      <c r="AC35" s="71"/>
      <c r="AD35" s="71"/>
      <c r="AE35" s="71"/>
      <c r="AF35" s="71"/>
      <c r="AG35" s="82">
        <v>0.1</v>
      </c>
      <c r="AH35" s="76"/>
      <c r="AI35" s="76"/>
      <c r="AJ35" s="76"/>
      <c r="AK35" s="71">
        <v>0.15</v>
      </c>
      <c r="AL35" s="88">
        <v>3.4362770551863299E-2</v>
      </c>
      <c r="AM35" s="89">
        <f t="shared" si="0"/>
        <v>0.229085137012422</v>
      </c>
      <c r="AN35" s="78"/>
    </row>
    <row r="36" spans="1:40" x14ac:dyDescent="0.25">
      <c r="A36" t="s">
        <v>44</v>
      </c>
      <c r="B36" t="s">
        <v>45</v>
      </c>
      <c r="C36" s="121" t="s">
        <v>174</v>
      </c>
      <c r="D36" t="s">
        <v>175</v>
      </c>
      <c r="E36" t="s">
        <v>57</v>
      </c>
      <c r="F36">
        <v>1</v>
      </c>
      <c r="G36">
        <v>32</v>
      </c>
      <c r="H36" s="86">
        <v>45960.498590937503</v>
      </c>
      <c r="I36" s="86">
        <v>45960.570787141201</v>
      </c>
      <c r="J36" s="87">
        <v>1.73270888888889</v>
      </c>
      <c r="K36" s="69" t="s">
        <v>274</v>
      </c>
      <c r="L36" s="69"/>
      <c r="M36" s="71"/>
      <c r="N36" s="71"/>
      <c r="O36" s="71"/>
      <c r="P36" s="71" t="s">
        <v>275</v>
      </c>
      <c r="Q36" s="88">
        <v>0.138738197999726</v>
      </c>
      <c r="R36" s="89" t="s">
        <v>276</v>
      </c>
      <c r="S36" s="89"/>
      <c r="T36">
        <v>10.1</v>
      </c>
      <c r="U36" s="76">
        <v>0.2</v>
      </c>
      <c r="V36">
        <v>9.8000000000000007</v>
      </c>
      <c r="W36" s="90">
        <v>0.1</v>
      </c>
      <c r="X36" s="90"/>
      <c r="Y36" s="71"/>
      <c r="Z36" s="71"/>
      <c r="AA36" s="71"/>
      <c r="AB36" s="71"/>
      <c r="AC36" s="71"/>
      <c r="AD36" s="71"/>
      <c r="AE36" s="71"/>
      <c r="AF36" s="71"/>
      <c r="AG36" s="82">
        <v>0</v>
      </c>
      <c r="AH36" s="76"/>
      <c r="AI36" s="76"/>
      <c r="AJ36" s="76"/>
      <c r="AK36" s="71">
        <v>0.15</v>
      </c>
      <c r="AL36" s="88">
        <v>3.4362770551863299E-2</v>
      </c>
      <c r="AM36" s="89">
        <f t="shared" si="0"/>
        <v>0.229085137012422</v>
      </c>
      <c r="AN36" s="78"/>
    </row>
    <row r="37" spans="1:40" x14ac:dyDescent="0.25">
      <c r="A37" t="s">
        <v>44</v>
      </c>
      <c r="B37" t="s">
        <v>45</v>
      </c>
      <c r="C37" s="121" t="s">
        <v>174</v>
      </c>
      <c r="D37" t="s">
        <v>175</v>
      </c>
      <c r="E37" t="s">
        <v>57</v>
      </c>
      <c r="F37">
        <v>1</v>
      </c>
      <c r="G37">
        <v>33</v>
      </c>
      <c r="H37" s="86">
        <v>45960.570787141201</v>
      </c>
      <c r="I37" s="86">
        <v>45960.642972094902</v>
      </c>
      <c r="J37" s="87">
        <v>1.73243888888889</v>
      </c>
      <c r="K37" s="69" t="s">
        <v>274</v>
      </c>
      <c r="L37" s="69"/>
      <c r="M37" s="71"/>
      <c r="N37" s="71"/>
      <c r="O37" s="71"/>
      <c r="P37" s="71" t="s">
        <v>275</v>
      </c>
      <c r="Q37" s="88">
        <v>8.7044930004370205E-2</v>
      </c>
      <c r="R37" s="89" t="s">
        <v>276</v>
      </c>
      <c r="S37" s="89"/>
      <c r="T37">
        <v>10.6</v>
      </c>
      <c r="U37" s="76">
        <v>0.2</v>
      </c>
      <c r="V37">
        <v>9.9</v>
      </c>
      <c r="W37" s="90">
        <v>0.1</v>
      </c>
      <c r="X37" s="90"/>
      <c r="Y37" s="71"/>
      <c r="Z37" s="71"/>
      <c r="AA37" s="71"/>
      <c r="AB37" s="71"/>
      <c r="AC37" s="71"/>
      <c r="AD37" s="71"/>
      <c r="AE37" s="71"/>
      <c r="AF37" s="71"/>
      <c r="AG37" s="82">
        <v>0</v>
      </c>
      <c r="AH37" s="76"/>
      <c r="AI37" s="76"/>
      <c r="AJ37" s="76"/>
      <c r="AK37" s="71">
        <v>0.15</v>
      </c>
      <c r="AL37" s="88">
        <v>3.4362770551863299E-2</v>
      </c>
      <c r="AM37" s="89">
        <f t="shared" si="0"/>
        <v>0.229085137012422</v>
      </c>
      <c r="AN37" s="78"/>
    </row>
    <row r="38" spans="1:40" x14ac:dyDescent="0.25">
      <c r="A38" t="s">
        <v>44</v>
      </c>
      <c r="B38" t="s">
        <v>45</v>
      </c>
      <c r="C38" s="121" t="s">
        <v>174</v>
      </c>
      <c r="D38" t="s">
        <v>175</v>
      </c>
      <c r="E38" t="s">
        <v>57</v>
      </c>
      <c r="F38">
        <v>1</v>
      </c>
      <c r="G38">
        <v>34</v>
      </c>
      <c r="H38" s="86">
        <v>45960.642972094902</v>
      </c>
      <c r="I38" s="86">
        <v>45960.715168588002</v>
      </c>
      <c r="J38" s="87">
        <v>1.7327158333333299</v>
      </c>
      <c r="K38" s="69" t="s">
        <v>274</v>
      </c>
      <c r="L38" s="69"/>
      <c r="M38" s="71"/>
      <c r="N38" s="71"/>
      <c r="O38" s="71"/>
      <c r="P38" s="71" t="s">
        <v>275</v>
      </c>
      <c r="Q38" s="88">
        <v>3.2626371938536201E-2</v>
      </c>
      <c r="R38" s="89" t="s">
        <v>276</v>
      </c>
      <c r="S38" s="89"/>
      <c r="T38">
        <v>9.1</v>
      </c>
      <c r="U38" s="76">
        <v>0.2</v>
      </c>
      <c r="V38">
        <v>9.9</v>
      </c>
      <c r="W38" s="90">
        <v>0.1</v>
      </c>
      <c r="X38" s="90"/>
      <c r="Y38" s="71"/>
      <c r="Z38" s="71"/>
      <c r="AA38" s="71"/>
      <c r="AB38" s="71"/>
      <c r="AC38" s="71"/>
      <c r="AD38" s="71"/>
      <c r="AE38" s="71"/>
      <c r="AF38" s="71"/>
      <c r="AG38" s="82">
        <v>1.2</v>
      </c>
      <c r="AH38" s="76"/>
      <c r="AI38" s="76"/>
      <c r="AJ38" s="76"/>
      <c r="AK38" s="71">
        <v>0.15</v>
      </c>
      <c r="AL38" s="88">
        <v>3.4362770551863299E-2</v>
      </c>
      <c r="AM38" s="89">
        <f t="shared" si="0"/>
        <v>0.229085137012422</v>
      </c>
      <c r="AN38" s="78"/>
    </row>
    <row r="39" spans="1:40" x14ac:dyDescent="0.25">
      <c r="A39" t="s">
        <v>44</v>
      </c>
      <c r="B39" t="s">
        <v>45</v>
      </c>
      <c r="C39" s="121" t="s">
        <v>174</v>
      </c>
      <c r="D39" t="s">
        <v>175</v>
      </c>
      <c r="E39" t="s">
        <v>57</v>
      </c>
      <c r="F39">
        <v>1</v>
      </c>
      <c r="G39">
        <v>35</v>
      </c>
      <c r="H39" s="86">
        <v>45960.715168588002</v>
      </c>
      <c r="I39" s="86">
        <v>45960.7873344213</v>
      </c>
      <c r="J39" s="87">
        <v>1.7319800000000001</v>
      </c>
      <c r="K39" s="69" t="s">
        <v>274</v>
      </c>
      <c r="L39" s="69"/>
      <c r="M39" s="71"/>
      <c r="N39" s="71"/>
      <c r="O39" s="71"/>
      <c r="P39" s="71" t="s">
        <v>275</v>
      </c>
      <c r="Q39" s="88">
        <v>3.03461582599894E-2</v>
      </c>
      <c r="R39" s="89" t="s">
        <v>276</v>
      </c>
      <c r="S39" s="89"/>
      <c r="T39">
        <v>4.4000000000000004</v>
      </c>
      <c r="U39" s="76">
        <v>0.2</v>
      </c>
      <c r="V39">
        <v>10</v>
      </c>
      <c r="W39" s="90">
        <v>0.1</v>
      </c>
      <c r="X39" s="90"/>
      <c r="Y39" s="71"/>
      <c r="Z39" s="71"/>
      <c r="AA39" s="71"/>
      <c r="AB39" s="71"/>
      <c r="AC39" s="71"/>
      <c r="AD39" s="71"/>
      <c r="AE39" s="71"/>
      <c r="AF39" s="71"/>
      <c r="AG39" s="82">
        <v>0</v>
      </c>
      <c r="AH39" s="76"/>
      <c r="AI39" s="76"/>
      <c r="AJ39" s="76"/>
      <c r="AK39" s="71">
        <v>0.15</v>
      </c>
      <c r="AL39" s="88">
        <v>3.4362770551863299E-2</v>
      </c>
      <c r="AM39" s="89">
        <f t="shared" si="0"/>
        <v>0.229085137012422</v>
      </c>
      <c r="AN39" s="78"/>
    </row>
    <row r="40" spans="1:40" x14ac:dyDescent="0.25">
      <c r="A40" t="s">
        <v>44</v>
      </c>
      <c r="B40" t="s">
        <v>45</v>
      </c>
      <c r="C40" s="121" t="s">
        <v>174</v>
      </c>
      <c r="D40" t="s">
        <v>175</v>
      </c>
      <c r="E40" t="s">
        <v>57</v>
      </c>
      <c r="F40">
        <v>1</v>
      </c>
      <c r="G40">
        <v>36</v>
      </c>
      <c r="H40" s="86">
        <v>45960.7873344213</v>
      </c>
      <c r="I40" s="86">
        <v>45960.859519016201</v>
      </c>
      <c r="J40" s="87">
        <v>1.73243027777778</v>
      </c>
      <c r="K40" s="69" t="s">
        <v>274</v>
      </c>
      <c r="L40" s="69"/>
      <c r="M40" s="71"/>
      <c r="N40" s="71"/>
      <c r="O40" s="71"/>
      <c r="P40" s="71" t="s">
        <v>275</v>
      </c>
      <c r="Q40" s="88">
        <v>4.8444674283518001E-2</v>
      </c>
      <c r="R40" s="89" t="s">
        <v>276</v>
      </c>
      <c r="S40" s="89"/>
      <c r="T40">
        <v>4.2</v>
      </c>
      <c r="U40" s="76">
        <v>0.2</v>
      </c>
      <c r="V40">
        <v>9.8000000000000007</v>
      </c>
      <c r="W40" s="90">
        <v>0.1</v>
      </c>
      <c r="X40" s="90"/>
      <c r="Y40" s="71"/>
      <c r="Z40" s="71"/>
      <c r="AA40" s="71"/>
      <c r="AB40" s="71"/>
      <c r="AC40" s="71"/>
      <c r="AD40" s="71"/>
      <c r="AE40" s="71"/>
      <c r="AF40" s="71"/>
      <c r="AG40" s="82">
        <v>0</v>
      </c>
      <c r="AH40" s="76"/>
      <c r="AI40" s="76"/>
      <c r="AJ40" s="76"/>
      <c r="AK40" s="71">
        <v>0.15</v>
      </c>
      <c r="AL40" s="88">
        <v>3.4362770551863299E-2</v>
      </c>
      <c r="AM40" s="89">
        <f t="shared" si="0"/>
        <v>0.229085137012422</v>
      </c>
      <c r="AN40" s="78"/>
    </row>
    <row r="41" spans="1:40" x14ac:dyDescent="0.25">
      <c r="A41" t="s">
        <v>44</v>
      </c>
      <c r="B41" t="s">
        <v>45</v>
      </c>
      <c r="C41" s="121" t="s">
        <v>174</v>
      </c>
      <c r="D41" t="s">
        <v>175</v>
      </c>
      <c r="E41" t="s">
        <v>57</v>
      </c>
      <c r="F41">
        <v>1</v>
      </c>
      <c r="G41">
        <v>37</v>
      </c>
      <c r="H41" s="86">
        <v>45960.859519016201</v>
      </c>
      <c r="I41" s="86">
        <v>45960.931709536999</v>
      </c>
      <c r="J41" s="87">
        <v>1.7325725000000001</v>
      </c>
      <c r="K41" s="69" t="s">
        <v>274</v>
      </c>
      <c r="L41" s="69"/>
      <c r="M41" s="71"/>
      <c r="N41" s="71"/>
      <c r="O41" s="71"/>
      <c r="P41" s="71" t="s">
        <v>275</v>
      </c>
      <c r="Q41" s="88">
        <v>5.7002540558760202E-2</v>
      </c>
      <c r="R41" s="89" t="s">
        <v>276</v>
      </c>
      <c r="S41" s="89"/>
      <c r="T41">
        <v>3.4</v>
      </c>
      <c r="U41" s="76">
        <v>0.2</v>
      </c>
      <c r="V41">
        <v>9.6</v>
      </c>
      <c r="W41" s="90">
        <v>0.1</v>
      </c>
      <c r="X41" s="90"/>
      <c r="Y41" s="71"/>
      <c r="Z41" s="71"/>
      <c r="AA41" s="71"/>
      <c r="AB41" s="71"/>
      <c r="AC41" s="71"/>
      <c r="AD41" s="71"/>
      <c r="AE41" s="71"/>
      <c r="AF41" s="71"/>
      <c r="AG41" s="82">
        <v>0</v>
      </c>
      <c r="AH41" s="76"/>
      <c r="AI41" s="76"/>
      <c r="AJ41" s="76"/>
      <c r="AK41" s="71">
        <v>0.15</v>
      </c>
      <c r="AL41" s="88">
        <v>3.4362770551863299E-2</v>
      </c>
      <c r="AM41" s="89">
        <f t="shared" si="0"/>
        <v>0.229085137012422</v>
      </c>
      <c r="AN41" s="78"/>
    </row>
    <row r="42" spans="1:40" x14ac:dyDescent="0.25">
      <c r="A42" t="s">
        <v>44</v>
      </c>
      <c r="B42" t="s">
        <v>45</v>
      </c>
      <c r="C42" s="121" t="s">
        <v>174</v>
      </c>
      <c r="D42" t="s">
        <v>175</v>
      </c>
      <c r="E42" t="s">
        <v>57</v>
      </c>
      <c r="F42">
        <v>1</v>
      </c>
      <c r="G42">
        <v>38</v>
      </c>
      <c r="H42" s="86">
        <v>45960.931709536999</v>
      </c>
      <c r="I42" s="86">
        <v>45961.0038949769</v>
      </c>
      <c r="J42" s="87">
        <v>1.73245055555556</v>
      </c>
      <c r="K42" s="69" t="s">
        <v>274</v>
      </c>
      <c r="L42" s="69"/>
      <c r="M42" s="71"/>
      <c r="N42" s="71"/>
      <c r="O42" s="71"/>
      <c r="P42" s="71" t="s">
        <v>275</v>
      </c>
      <c r="Q42" s="88">
        <v>7.0133206048217503E-2</v>
      </c>
      <c r="R42" s="89" t="s">
        <v>276</v>
      </c>
      <c r="S42" s="89"/>
      <c r="T42">
        <v>3.6</v>
      </c>
      <c r="U42" s="76">
        <v>0.2</v>
      </c>
      <c r="V42">
        <v>9.5</v>
      </c>
      <c r="W42" s="90">
        <v>0.1</v>
      </c>
      <c r="X42" s="90"/>
      <c r="Y42" s="71"/>
      <c r="Z42" s="71"/>
      <c r="AA42" s="71"/>
      <c r="AB42" s="71"/>
      <c r="AC42" s="71"/>
      <c r="AD42" s="71"/>
      <c r="AE42" s="71"/>
      <c r="AF42" s="71"/>
      <c r="AG42" s="82">
        <v>0</v>
      </c>
      <c r="AH42" s="76"/>
      <c r="AI42" s="76"/>
      <c r="AJ42" s="76"/>
      <c r="AK42" s="71">
        <v>0.15</v>
      </c>
      <c r="AL42" s="88">
        <v>3.4362770551863299E-2</v>
      </c>
      <c r="AM42" s="89">
        <f t="shared" si="0"/>
        <v>0.229085137012422</v>
      </c>
      <c r="AN42" s="78"/>
    </row>
    <row r="43" spans="1:40" x14ac:dyDescent="0.25">
      <c r="A43" t="s">
        <v>44</v>
      </c>
      <c r="B43" t="s">
        <v>45</v>
      </c>
      <c r="C43" s="121" t="s">
        <v>174</v>
      </c>
      <c r="D43" t="s">
        <v>175</v>
      </c>
      <c r="E43" t="s">
        <v>57</v>
      </c>
      <c r="F43">
        <v>1</v>
      </c>
      <c r="G43">
        <v>39</v>
      </c>
      <c r="H43" s="86">
        <v>45961.0038949769</v>
      </c>
      <c r="I43" s="86">
        <v>45961.076080682898</v>
      </c>
      <c r="J43" s="87">
        <v>1.73245694444444</v>
      </c>
      <c r="K43" s="69" t="s">
        <v>274</v>
      </c>
      <c r="L43" s="69"/>
      <c r="M43" s="71"/>
      <c r="N43" s="71"/>
      <c r="O43" s="71"/>
      <c r="P43" s="71" t="s">
        <v>275</v>
      </c>
      <c r="Q43" s="88">
        <v>6.7509046341717199E-2</v>
      </c>
      <c r="R43" s="89" t="s">
        <v>276</v>
      </c>
      <c r="S43" s="89"/>
      <c r="T43">
        <v>2.2999999999999998</v>
      </c>
      <c r="U43" s="76">
        <v>0.2</v>
      </c>
      <c r="V43">
        <v>9.1999999999999993</v>
      </c>
      <c r="W43" s="90">
        <v>0.1</v>
      </c>
      <c r="X43" s="90"/>
      <c r="Y43" s="71"/>
      <c r="Z43" s="71"/>
      <c r="AA43" s="71"/>
      <c r="AB43" s="71"/>
      <c r="AC43" s="71"/>
      <c r="AD43" s="71"/>
      <c r="AE43" s="71"/>
      <c r="AF43" s="71"/>
      <c r="AG43" s="82">
        <v>0</v>
      </c>
      <c r="AH43" s="76"/>
      <c r="AI43" s="76"/>
      <c r="AJ43" s="76"/>
      <c r="AK43" s="71">
        <v>0.15</v>
      </c>
      <c r="AL43" s="88">
        <v>3.4362770551863299E-2</v>
      </c>
      <c r="AM43" s="89">
        <f t="shared" si="0"/>
        <v>0.229085137012422</v>
      </c>
      <c r="AN43" s="78"/>
    </row>
    <row r="44" spans="1:40" x14ac:dyDescent="0.25">
      <c r="A44" t="s">
        <v>44</v>
      </c>
      <c r="B44" t="s">
        <v>45</v>
      </c>
      <c r="C44" s="121" t="s">
        <v>174</v>
      </c>
      <c r="D44" t="s">
        <v>175</v>
      </c>
      <c r="E44" t="s">
        <v>57</v>
      </c>
      <c r="F44">
        <v>1</v>
      </c>
      <c r="G44">
        <v>40</v>
      </c>
      <c r="H44" s="86">
        <v>45961.076080682898</v>
      </c>
      <c r="I44" s="86">
        <v>45961.148261713002</v>
      </c>
      <c r="J44" s="87">
        <v>1.7323447222222199</v>
      </c>
      <c r="K44" s="69" t="s">
        <v>274</v>
      </c>
      <c r="L44" s="69"/>
      <c r="M44" s="71"/>
      <c r="N44" s="71"/>
      <c r="O44" s="71"/>
      <c r="P44" s="71" t="s">
        <v>275</v>
      </c>
      <c r="Q44" s="88">
        <v>7.5556786138558998E-2</v>
      </c>
      <c r="R44" s="89" t="s">
        <v>276</v>
      </c>
      <c r="S44" s="89"/>
      <c r="T44">
        <v>4.8</v>
      </c>
      <c r="U44" s="76">
        <v>0.2</v>
      </c>
      <c r="V44">
        <v>9</v>
      </c>
      <c r="W44" s="90">
        <v>0.1</v>
      </c>
      <c r="X44" s="90"/>
      <c r="Y44" s="71"/>
      <c r="Z44" s="71"/>
      <c r="AA44" s="71"/>
      <c r="AB44" s="71"/>
      <c r="AC44" s="71"/>
      <c r="AD44" s="71"/>
      <c r="AE44" s="71"/>
      <c r="AF44" s="71"/>
      <c r="AG44" s="82">
        <v>0</v>
      </c>
      <c r="AH44" s="76"/>
      <c r="AI44" s="76"/>
      <c r="AJ44" s="76"/>
      <c r="AK44" s="71">
        <v>0.15</v>
      </c>
      <c r="AL44" s="88">
        <v>3.4362770551863299E-2</v>
      </c>
      <c r="AM44" s="89">
        <f t="shared" si="0"/>
        <v>0.229085137012422</v>
      </c>
      <c r="AN44" s="78"/>
    </row>
    <row r="45" spans="1:40" x14ac:dyDescent="0.25">
      <c r="A45" t="s">
        <v>44</v>
      </c>
      <c r="B45" t="s">
        <v>45</v>
      </c>
      <c r="C45" s="121" t="s">
        <v>174</v>
      </c>
      <c r="D45" t="s">
        <v>175</v>
      </c>
      <c r="E45" t="s">
        <v>57</v>
      </c>
      <c r="F45">
        <v>1</v>
      </c>
      <c r="G45">
        <v>41</v>
      </c>
      <c r="H45" s="86">
        <v>45961.148261713002</v>
      </c>
      <c r="I45" s="86">
        <v>45961.220431122703</v>
      </c>
      <c r="J45" s="87">
        <v>1.7320658333333301</v>
      </c>
      <c r="K45" s="69" t="s">
        <v>274</v>
      </c>
      <c r="L45" s="69"/>
      <c r="M45" s="71"/>
      <c r="N45" s="71"/>
      <c r="O45" s="71"/>
      <c r="P45" s="71" t="s">
        <v>275</v>
      </c>
      <c r="Q45" s="88">
        <v>9.21527659616765E-2</v>
      </c>
      <c r="R45" s="89" t="s">
        <v>276</v>
      </c>
      <c r="S45" s="89"/>
      <c r="T45">
        <v>4.2</v>
      </c>
      <c r="U45" s="76">
        <v>0.2</v>
      </c>
      <c r="V45">
        <v>9</v>
      </c>
      <c r="W45" s="90">
        <v>0.1</v>
      </c>
      <c r="X45" s="90"/>
      <c r="Y45" s="71"/>
      <c r="Z45" s="71"/>
      <c r="AA45" s="71"/>
      <c r="AB45" s="71"/>
      <c r="AC45" s="71"/>
      <c r="AD45" s="71"/>
      <c r="AE45" s="71"/>
      <c r="AF45" s="71"/>
      <c r="AG45" s="82">
        <v>0</v>
      </c>
      <c r="AH45" s="76"/>
      <c r="AI45" s="76"/>
      <c r="AJ45" s="76"/>
      <c r="AK45" s="71">
        <v>0.15</v>
      </c>
      <c r="AL45" s="88">
        <v>3.4362770551863299E-2</v>
      </c>
      <c r="AM45" s="89">
        <f t="shared" si="0"/>
        <v>0.229085137012422</v>
      </c>
      <c r="AN45" s="78"/>
    </row>
    <row r="46" spans="1:40" x14ac:dyDescent="0.25">
      <c r="A46" t="s">
        <v>44</v>
      </c>
      <c r="B46" t="s">
        <v>45</v>
      </c>
      <c r="C46" s="121" t="s">
        <v>174</v>
      </c>
      <c r="D46" t="s">
        <v>175</v>
      </c>
      <c r="E46" t="s">
        <v>57</v>
      </c>
      <c r="F46">
        <v>1</v>
      </c>
      <c r="G46">
        <v>42</v>
      </c>
      <c r="H46" s="86">
        <v>45961.220431122703</v>
      </c>
      <c r="I46" s="86">
        <v>45961.2926206829</v>
      </c>
      <c r="J46" s="87">
        <v>1.73254944444444</v>
      </c>
      <c r="K46" s="69" t="s">
        <v>274</v>
      </c>
      <c r="L46" s="69"/>
      <c r="M46" s="71"/>
      <c r="N46" s="71"/>
      <c r="O46" s="71"/>
      <c r="P46" s="71" t="s">
        <v>275</v>
      </c>
      <c r="Q46" s="88">
        <v>6.5761439353351006E-2</v>
      </c>
      <c r="R46" s="89" t="s">
        <v>276</v>
      </c>
      <c r="S46" s="89"/>
      <c r="T46">
        <v>3.2</v>
      </c>
      <c r="U46" s="76">
        <v>0.2</v>
      </c>
      <c r="V46">
        <v>8.9</v>
      </c>
      <c r="W46" s="90">
        <v>0.1</v>
      </c>
      <c r="X46" s="90"/>
      <c r="Y46" s="71"/>
      <c r="Z46" s="71"/>
      <c r="AA46" s="71"/>
      <c r="AB46" s="71"/>
      <c r="AC46" s="71"/>
      <c r="AD46" s="71"/>
      <c r="AE46" s="71"/>
      <c r="AF46" s="71"/>
      <c r="AG46" s="82">
        <v>0</v>
      </c>
      <c r="AH46" s="76"/>
      <c r="AI46" s="76"/>
      <c r="AJ46" s="76"/>
      <c r="AK46" s="71">
        <v>0.15</v>
      </c>
      <c r="AL46" s="88">
        <v>3.4362770551863299E-2</v>
      </c>
      <c r="AM46" s="89">
        <f t="shared" si="0"/>
        <v>0.229085137012422</v>
      </c>
      <c r="AN46" s="78"/>
    </row>
    <row r="47" spans="1:40" x14ac:dyDescent="0.25">
      <c r="A47" t="s">
        <v>44</v>
      </c>
      <c r="B47" t="s">
        <v>45</v>
      </c>
      <c r="C47" s="121" t="s">
        <v>174</v>
      </c>
      <c r="D47" t="s">
        <v>175</v>
      </c>
      <c r="E47" t="s">
        <v>57</v>
      </c>
      <c r="F47">
        <v>1</v>
      </c>
      <c r="G47">
        <v>43</v>
      </c>
      <c r="H47" s="86">
        <v>45961.2926206829</v>
      </c>
      <c r="I47" s="86">
        <v>45961.364804791701</v>
      </c>
      <c r="J47" s="87">
        <v>1.73241861111111</v>
      </c>
      <c r="K47" s="69" t="s">
        <v>274</v>
      </c>
      <c r="L47" s="69"/>
      <c r="M47" s="71"/>
      <c r="N47" s="71"/>
      <c r="O47" s="71"/>
      <c r="P47" s="71" t="s">
        <v>275</v>
      </c>
      <c r="Q47" s="88">
        <v>8.0313852092671903E-2</v>
      </c>
      <c r="R47" s="89" t="s">
        <v>276</v>
      </c>
      <c r="S47" s="89"/>
      <c r="T47">
        <v>3.6</v>
      </c>
      <c r="U47" s="76">
        <v>0.2</v>
      </c>
      <c r="V47">
        <v>8.8000000000000007</v>
      </c>
      <c r="W47" s="90">
        <v>0.1</v>
      </c>
      <c r="X47" s="90"/>
      <c r="Y47" s="71"/>
      <c r="Z47" s="71"/>
      <c r="AA47" s="71"/>
      <c r="AB47" s="71"/>
      <c r="AC47" s="71"/>
      <c r="AD47" s="71"/>
      <c r="AE47" s="71"/>
      <c r="AF47" s="71"/>
      <c r="AG47" s="82">
        <v>0</v>
      </c>
      <c r="AH47" s="76"/>
      <c r="AI47" s="76"/>
      <c r="AJ47" s="76"/>
      <c r="AK47" s="71">
        <v>0.15</v>
      </c>
      <c r="AL47" s="88">
        <v>3.4362770551863299E-2</v>
      </c>
      <c r="AM47" s="89">
        <f t="shared" si="0"/>
        <v>0.229085137012422</v>
      </c>
      <c r="AN47" s="78"/>
    </row>
    <row r="48" spans="1:40" x14ac:dyDescent="0.25">
      <c r="A48" t="s">
        <v>44</v>
      </c>
      <c r="B48" t="s">
        <v>45</v>
      </c>
      <c r="C48" s="121" t="s">
        <v>174</v>
      </c>
      <c r="D48" t="s">
        <v>175</v>
      </c>
      <c r="E48" t="s">
        <v>57</v>
      </c>
      <c r="F48">
        <v>1</v>
      </c>
      <c r="G48">
        <v>44</v>
      </c>
      <c r="H48" s="86">
        <v>45961.364804791701</v>
      </c>
      <c r="I48" s="86">
        <v>45961.436984768501</v>
      </c>
      <c r="J48" s="87">
        <v>1.7323194444444501</v>
      </c>
      <c r="K48" s="69" t="s">
        <v>274</v>
      </c>
      <c r="L48" s="69"/>
      <c r="M48" s="71"/>
      <c r="N48" s="71"/>
      <c r="O48" s="71"/>
      <c r="P48" s="71" t="s">
        <v>275</v>
      </c>
      <c r="Q48" s="88">
        <v>0.120619112220107</v>
      </c>
      <c r="R48" s="89" t="s">
        <v>276</v>
      </c>
      <c r="S48" s="89"/>
      <c r="T48">
        <v>6</v>
      </c>
      <c r="U48" s="76">
        <v>0.2</v>
      </c>
      <c r="V48">
        <v>8.6999999999999993</v>
      </c>
      <c r="W48" s="90">
        <v>0.1</v>
      </c>
      <c r="X48" s="90"/>
      <c r="Y48" s="71"/>
      <c r="Z48" s="71"/>
      <c r="AA48" s="71"/>
      <c r="AB48" s="71"/>
      <c r="AC48" s="71"/>
      <c r="AD48" s="71"/>
      <c r="AE48" s="71"/>
      <c r="AF48" s="71"/>
      <c r="AG48" s="82">
        <v>0</v>
      </c>
      <c r="AH48" s="76"/>
      <c r="AI48" s="76"/>
      <c r="AJ48" s="76"/>
      <c r="AK48" s="71">
        <v>0.15</v>
      </c>
      <c r="AL48" s="88">
        <v>3.4362770551863299E-2</v>
      </c>
      <c r="AM48" s="89">
        <f t="shared" si="0"/>
        <v>0.229085137012422</v>
      </c>
      <c r="AN48" s="78"/>
    </row>
    <row r="49" spans="1:40" x14ac:dyDescent="0.25">
      <c r="A49" t="s">
        <v>44</v>
      </c>
      <c r="B49" t="s">
        <v>45</v>
      </c>
      <c r="C49" s="121" t="s">
        <v>174</v>
      </c>
      <c r="D49" t="s">
        <v>175</v>
      </c>
      <c r="E49" t="s">
        <v>57</v>
      </c>
      <c r="F49">
        <v>1</v>
      </c>
      <c r="G49">
        <v>45</v>
      </c>
      <c r="H49" s="86">
        <v>45961.436984768501</v>
      </c>
      <c r="I49" s="86">
        <v>45961.509178379602</v>
      </c>
      <c r="J49" s="87">
        <v>1.73264666666667</v>
      </c>
      <c r="K49" s="69" t="s">
        <v>274</v>
      </c>
      <c r="L49" s="69"/>
      <c r="M49" s="71"/>
      <c r="N49" s="71"/>
      <c r="O49" s="71"/>
      <c r="P49" s="71" t="s">
        <v>275</v>
      </c>
      <c r="Q49" s="88">
        <v>0.15327212038911101</v>
      </c>
      <c r="R49" s="89" t="s">
        <v>276</v>
      </c>
      <c r="S49" s="89"/>
      <c r="T49">
        <v>7.3</v>
      </c>
      <c r="U49" s="76">
        <v>0.2</v>
      </c>
      <c r="V49">
        <v>8.6999999999999993</v>
      </c>
      <c r="W49" s="90">
        <v>0.1</v>
      </c>
      <c r="X49" s="90"/>
      <c r="Y49" s="71"/>
      <c r="Z49" s="71"/>
      <c r="AA49" s="71"/>
      <c r="AB49" s="71"/>
      <c r="AC49" s="71"/>
      <c r="AD49" s="71"/>
      <c r="AE49" s="71"/>
      <c r="AF49" s="71"/>
      <c r="AG49" s="82">
        <v>0</v>
      </c>
      <c r="AH49" s="76"/>
      <c r="AI49" s="76"/>
      <c r="AJ49" s="76"/>
      <c r="AK49" s="71">
        <v>0.15</v>
      </c>
      <c r="AL49" s="88">
        <v>3.4362770551863299E-2</v>
      </c>
      <c r="AM49" s="89">
        <f t="shared" si="0"/>
        <v>0.229085137012422</v>
      </c>
      <c r="AN49" s="78"/>
    </row>
    <row r="50" spans="1:40" x14ac:dyDescent="0.25">
      <c r="A50" t="s">
        <v>44</v>
      </c>
      <c r="B50" t="s">
        <v>45</v>
      </c>
      <c r="C50" s="121" t="s">
        <v>174</v>
      </c>
      <c r="D50" t="s">
        <v>175</v>
      </c>
      <c r="E50" t="s">
        <v>57</v>
      </c>
      <c r="F50">
        <v>1</v>
      </c>
      <c r="G50">
        <v>46</v>
      </c>
      <c r="H50" s="86">
        <v>45961.509178379602</v>
      </c>
      <c r="I50" s="86">
        <v>45961.581349444401</v>
      </c>
      <c r="J50" s="87">
        <v>1.73210555555556</v>
      </c>
      <c r="K50" s="69" t="s">
        <v>274</v>
      </c>
      <c r="L50" s="69"/>
      <c r="M50" s="71"/>
      <c r="N50" s="71"/>
      <c r="O50" s="71"/>
      <c r="P50" s="71" t="s">
        <v>275</v>
      </c>
      <c r="Q50" s="88">
        <v>0.14529456576196401</v>
      </c>
      <c r="R50" s="89" t="s">
        <v>276</v>
      </c>
      <c r="S50" s="89"/>
      <c r="T50">
        <v>10.7</v>
      </c>
      <c r="U50" s="76">
        <v>0.2</v>
      </c>
      <c r="V50">
        <v>8.8000000000000007</v>
      </c>
      <c r="W50" s="90">
        <v>0.1</v>
      </c>
      <c r="X50" s="90"/>
      <c r="Y50" s="71"/>
      <c r="Z50" s="71"/>
      <c r="AA50" s="71"/>
      <c r="AB50" s="71"/>
      <c r="AC50" s="71"/>
      <c r="AD50" s="71"/>
      <c r="AE50" s="71"/>
      <c r="AF50" s="71"/>
      <c r="AG50" s="82">
        <v>0</v>
      </c>
      <c r="AH50" s="76"/>
      <c r="AI50" s="76"/>
      <c r="AJ50" s="76"/>
      <c r="AK50" s="71">
        <v>0.15</v>
      </c>
      <c r="AL50" s="88">
        <v>3.4362770551863299E-2</v>
      </c>
      <c r="AM50" s="89">
        <f t="shared" si="0"/>
        <v>0.229085137012422</v>
      </c>
      <c r="AN50" s="78"/>
    </row>
    <row r="51" spans="1:40" x14ac:dyDescent="0.25">
      <c r="A51" t="s">
        <v>44</v>
      </c>
      <c r="B51" t="s">
        <v>45</v>
      </c>
      <c r="C51" s="121" t="s">
        <v>174</v>
      </c>
      <c r="D51" t="s">
        <v>175</v>
      </c>
      <c r="E51" t="s">
        <v>57</v>
      </c>
      <c r="F51">
        <v>1</v>
      </c>
      <c r="G51">
        <v>47</v>
      </c>
      <c r="H51" s="86">
        <v>45961.581349444401</v>
      </c>
      <c r="I51" s="86">
        <v>45961.653543333297</v>
      </c>
      <c r="J51" s="87">
        <v>1.73265333333333</v>
      </c>
      <c r="K51" s="69" t="s">
        <v>274</v>
      </c>
      <c r="L51" s="69"/>
      <c r="M51" s="71"/>
      <c r="N51" s="71"/>
      <c r="O51" s="71"/>
      <c r="P51" s="71" t="s">
        <v>275</v>
      </c>
      <c r="Q51" s="88">
        <v>0.112565209831097</v>
      </c>
      <c r="R51" s="89" t="s">
        <v>276</v>
      </c>
      <c r="S51" s="89"/>
      <c r="T51">
        <v>10.3</v>
      </c>
      <c r="U51" s="76">
        <v>0.2</v>
      </c>
      <c r="V51">
        <v>9</v>
      </c>
      <c r="W51" s="90">
        <v>0.1</v>
      </c>
      <c r="X51" s="90"/>
      <c r="Y51" s="71"/>
      <c r="Z51" s="71"/>
      <c r="AA51" s="71"/>
      <c r="AB51" s="71"/>
      <c r="AC51" s="71"/>
      <c r="AD51" s="71"/>
      <c r="AE51" s="71"/>
      <c r="AF51" s="71"/>
      <c r="AG51" s="82">
        <v>0</v>
      </c>
      <c r="AH51" s="76"/>
      <c r="AI51" s="76"/>
      <c r="AJ51" s="76"/>
      <c r="AK51" s="71">
        <v>0.15</v>
      </c>
      <c r="AL51" s="88">
        <v>3.4362770551863299E-2</v>
      </c>
      <c r="AM51" s="89">
        <f t="shared" si="0"/>
        <v>0.229085137012422</v>
      </c>
      <c r="AN51" s="78"/>
    </row>
    <row r="52" spans="1:40" x14ac:dyDescent="0.25">
      <c r="A52" t="s">
        <v>44</v>
      </c>
      <c r="B52" t="s">
        <v>45</v>
      </c>
      <c r="C52" s="121" t="s">
        <v>174</v>
      </c>
      <c r="D52" t="s">
        <v>175</v>
      </c>
      <c r="E52" t="s">
        <v>57</v>
      </c>
      <c r="F52">
        <v>1</v>
      </c>
      <c r="G52">
        <v>48</v>
      </c>
      <c r="H52" s="86">
        <v>45961.653543333297</v>
      </c>
      <c r="I52" s="86">
        <v>45961.7257280208</v>
      </c>
      <c r="J52" s="87">
        <v>1.7324325</v>
      </c>
      <c r="K52" s="69" t="s">
        <v>274</v>
      </c>
      <c r="L52" s="69"/>
      <c r="M52" s="71"/>
      <c r="N52" s="71"/>
      <c r="O52" s="71"/>
      <c r="P52" s="71" t="s">
        <v>275</v>
      </c>
      <c r="Q52" s="88">
        <v>8.1967056927147397E-2</v>
      </c>
      <c r="R52" s="89" t="s">
        <v>276</v>
      </c>
      <c r="S52" s="89"/>
      <c r="T52">
        <v>8.6999999999999993</v>
      </c>
      <c r="U52" s="76">
        <v>0.2</v>
      </c>
      <c r="V52">
        <v>9.1999999999999993</v>
      </c>
      <c r="W52" s="90">
        <v>0.1</v>
      </c>
      <c r="X52" s="90"/>
      <c r="Y52" s="71"/>
      <c r="Z52" s="71"/>
      <c r="AA52" s="71"/>
      <c r="AB52" s="71"/>
      <c r="AC52" s="71"/>
      <c r="AD52" s="71"/>
      <c r="AE52" s="71"/>
      <c r="AF52" s="71"/>
      <c r="AG52" s="82">
        <v>0</v>
      </c>
      <c r="AH52" s="76"/>
      <c r="AI52" s="76"/>
      <c r="AJ52" s="76"/>
      <c r="AK52" s="71">
        <v>0.15</v>
      </c>
      <c r="AL52" s="88">
        <v>3.4362770551863299E-2</v>
      </c>
      <c r="AM52" s="89">
        <f t="shared" si="0"/>
        <v>0.229085137012422</v>
      </c>
      <c r="AN52" s="78"/>
    </row>
    <row r="53" spans="1:40" x14ac:dyDescent="0.25">
      <c r="A53" t="s">
        <v>44</v>
      </c>
      <c r="B53" t="s">
        <v>45</v>
      </c>
      <c r="C53" s="121" t="s">
        <v>174</v>
      </c>
      <c r="D53" t="s">
        <v>175</v>
      </c>
      <c r="E53" t="s">
        <v>57</v>
      </c>
      <c r="F53">
        <v>1</v>
      </c>
      <c r="G53">
        <v>49</v>
      </c>
      <c r="H53" s="86">
        <v>45961.7257280208</v>
      </c>
      <c r="I53" s="86">
        <v>45961.797924537001</v>
      </c>
      <c r="J53" s="87">
        <v>1.7327163888888899</v>
      </c>
      <c r="K53" s="69" t="s">
        <v>274</v>
      </c>
      <c r="L53" s="69"/>
      <c r="M53" s="71"/>
      <c r="N53" s="71"/>
      <c r="O53" s="71"/>
      <c r="P53" s="71" t="s">
        <v>275</v>
      </c>
      <c r="Q53" s="88">
        <v>4.7031059740803099E-2</v>
      </c>
      <c r="R53" s="89" t="s">
        <v>276</v>
      </c>
      <c r="S53" s="89"/>
      <c r="T53">
        <v>7.7</v>
      </c>
      <c r="U53" s="76">
        <v>0.2</v>
      </c>
      <c r="V53">
        <v>9.3000000000000007</v>
      </c>
      <c r="W53" s="90">
        <v>0.1</v>
      </c>
      <c r="X53" s="90"/>
      <c r="Y53" s="71"/>
      <c r="Z53" s="71"/>
      <c r="AA53" s="71"/>
      <c r="AB53" s="71"/>
      <c r="AC53" s="71"/>
      <c r="AD53" s="71"/>
      <c r="AE53" s="71"/>
      <c r="AF53" s="71"/>
      <c r="AG53" s="82">
        <v>0</v>
      </c>
      <c r="AH53" s="76"/>
      <c r="AI53" s="76"/>
      <c r="AJ53" s="76"/>
      <c r="AK53" s="71">
        <v>0.15</v>
      </c>
      <c r="AL53" s="88">
        <v>3.4362770551863299E-2</v>
      </c>
      <c r="AM53" s="89">
        <f t="shared" si="0"/>
        <v>0.229085137012422</v>
      </c>
      <c r="AN53" s="78"/>
    </row>
    <row r="54" spans="1:40" x14ac:dyDescent="0.25">
      <c r="A54" t="s">
        <v>44</v>
      </c>
      <c r="B54" t="s">
        <v>45</v>
      </c>
      <c r="C54" s="121" t="s">
        <v>174</v>
      </c>
      <c r="D54" t="s">
        <v>175</v>
      </c>
      <c r="E54" t="s">
        <v>57</v>
      </c>
      <c r="F54">
        <v>1</v>
      </c>
      <c r="G54">
        <v>50</v>
      </c>
      <c r="H54" s="86">
        <v>45961.797924537001</v>
      </c>
      <c r="I54" s="86">
        <v>45961.870096967599</v>
      </c>
      <c r="J54" s="87">
        <v>1.73213833333333</v>
      </c>
      <c r="K54" s="69" t="s">
        <v>274</v>
      </c>
      <c r="L54" s="69"/>
      <c r="M54" s="71"/>
      <c r="N54" s="71"/>
      <c r="O54" s="71"/>
      <c r="P54" s="71" t="s">
        <v>275</v>
      </c>
      <c r="Q54" s="88">
        <v>5.5589738503741402E-2</v>
      </c>
      <c r="R54" s="89" t="s">
        <v>276</v>
      </c>
      <c r="S54" s="89"/>
      <c r="T54">
        <v>7.7</v>
      </c>
      <c r="U54" s="76">
        <v>0.2</v>
      </c>
      <c r="V54">
        <v>9.3000000000000007</v>
      </c>
      <c r="W54" s="90">
        <v>0.1</v>
      </c>
      <c r="X54" s="90"/>
      <c r="Y54" s="71"/>
      <c r="Z54" s="71"/>
      <c r="AA54" s="71"/>
      <c r="AB54" s="71"/>
      <c r="AC54" s="71"/>
      <c r="AD54" s="71"/>
      <c r="AE54" s="71"/>
      <c r="AF54" s="71"/>
      <c r="AG54" s="82">
        <v>0</v>
      </c>
      <c r="AH54" s="76"/>
      <c r="AI54" s="76"/>
      <c r="AJ54" s="76"/>
      <c r="AK54" s="71">
        <v>0.15</v>
      </c>
      <c r="AL54" s="88">
        <v>3.4362770551863299E-2</v>
      </c>
      <c r="AM54" s="89">
        <f t="shared" si="0"/>
        <v>0.229085137012422</v>
      </c>
      <c r="AN54" s="78"/>
    </row>
    <row r="55" spans="1:40" x14ac:dyDescent="0.25">
      <c r="A55" t="s">
        <v>44</v>
      </c>
      <c r="B55" t="s">
        <v>45</v>
      </c>
      <c r="C55" s="121" t="s">
        <v>174</v>
      </c>
      <c r="D55" t="s">
        <v>175</v>
      </c>
      <c r="E55" t="s">
        <v>57</v>
      </c>
      <c r="F55">
        <v>1</v>
      </c>
      <c r="G55">
        <v>51</v>
      </c>
      <c r="H55" s="86">
        <v>45961.870096967599</v>
      </c>
      <c r="I55" s="86">
        <v>45961.942290752297</v>
      </c>
      <c r="J55" s="87">
        <v>1.7326508333333299</v>
      </c>
      <c r="K55" s="69" t="s">
        <v>274</v>
      </c>
      <c r="L55" s="69"/>
      <c r="M55" s="71"/>
      <c r="N55" s="71"/>
      <c r="O55" s="71"/>
      <c r="P55" s="71" t="s">
        <v>275</v>
      </c>
      <c r="Q55" s="88">
        <v>7.0303091943996601E-2</v>
      </c>
      <c r="R55" s="89" t="s">
        <v>276</v>
      </c>
      <c r="S55" s="89"/>
      <c r="T55">
        <v>8</v>
      </c>
      <c r="U55" s="76">
        <v>0.2</v>
      </c>
      <c r="V55">
        <v>9.1999999999999993</v>
      </c>
      <c r="W55" s="90">
        <v>0.1</v>
      </c>
      <c r="X55" s="90"/>
      <c r="Y55" s="71"/>
      <c r="Z55" s="71"/>
      <c r="AA55" s="71"/>
      <c r="AB55" s="71"/>
      <c r="AC55" s="71"/>
      <c r="AD55" s="71"/>
      <c r="AE55" s="71"/>
      <c r="AF55" s="71"/>
      <c r="AG55" s="82">
        <v>0</v>
      </c>
      <c r="AH55" s="76"/>
      <c r="AI55" s="76"/>
      <c r="AJ55" s="76"/>
      <c r="AK55" s="71">
        <v>0.15</v>
      </c>
      <c r="AL55" s="88">
        <v>3.4362770551863299E-2</v>
      </c>
      <c r="AM55" s="89">
        <f t="shared" si="0"/>
        <v>0.229085137012422</v>
      </c>
      <c r="AN55" s="78"/>
    </row>
    <row r="56" spans="1:40" x14ac:dyDescent="0.25">
      <c r="A56" t="s">
        <v>44</v>
      </c>
      <c r="B56" t="s">
        <v>45</v>
      </c>
      <c r="C56" s="121" t="s">
        <v>174</v>
      </c>
      <c r="D56" t="s">
        <v>175</v>
      </c>
      <c r="E56" t="s">
        <v>57</v>
      </c>
      <c r="F56">
        <v>1</v>
      </c>
      <c r="G56">
        <v>52</v>
      </c>
      <c r="H56" s="86">
        <v>45961.942290752297</v>
      </c>
      <c r="I56" s="86">
        <v>45962.014457465302</v>
      </c>
      <c r="J56" s="87">
        <v>1.73200111111111</v>
      </c>
      <c r="K56" s="69" t="s">
        <v>274</v>
      </c>
      <c r="L56" s="69"/>
      <c r="M56" s="71"/>
      <c r="N56" s="71"/>
      <c r="O56" s="71"/>
      <c r="P56" s="71" t="s">
        <v>275</v>
      </c>
      <c r="Q56" s="88">
        <v>6.14132637495277E-2</v>
      </c>
      <c r="R56" s="89" t="s">
        <v>276</v>
      </c>
      <c r="S56" s="89"/>
      <c r="T56">
        <v>8.1</v>
      </c>
      <c r="U56" s="76">
        <v>0.2</v>
      </c>
      <c r="V56">
        <v>9.1999999999999993</v>
      </c>
      <c r="W56" s="90">
        <v>0.1</v>
      </c>
      <c r="X56" s="90"/>
      <c r="Y56" s="71"/>
      <c r="Z56" s="71"/>
      <c r="AA56" s="71"/>
      <c r="AB56" s="71"/>
      <c r="AC56" s="71"/>
      <c r="AD56" s="71"/>
      <c r="AE56" s="71"/>
      <c r="AF56" s="71"/>
      <c r="AG56" s="82">
        <v>0.4</v>
      </c>
      <c r="AH56" s="76"/>
      <c r="AI56" s="76"/>
      <c r="AJ56" s="76"/>
      <c r="AK56" s="71">
        <v>0.15</v>
      </c>
      <c r="AL56" s="88">
        <v>3.4362770551863299E-2</v>
      </c>
      <c r="AM56" s="89">
        <f t="shared" si="0"/>
        <v>0.229085137012422</v>
      </c>
      <c r="AN56" s="78"/>
    </row>
    <row r="57" spans="1:40" x14ac:dyDescent="0.25">
      <c r="A57" t="s">
        <v>44</v>
      </c>
      <c r="B57" t="s">
        <v>45</v>
      </c>
      <c r="C57" s="121" t="s">
        <v>174</v>
      </c>
      <c r="D57" t="s">
        <v>175</v>
      </c>
      <c r="E57" t="s">
        <v>57</v>
      </c>
      <c r="F57">
        <v>1</v>
      </c>
      <c r="G57">
        <v>53</v>
      </c>
      <c r="H57" s="86">
        <v>45962.014457465302</v>
      </c>
      <c r="I57" s="86">
        <v>45962.086646851902</v>
      </c>
      <c r="J57" s="87">
        <v>1.7325452777777799</v>
      </c>
      <c r="K57" s="69" t="s">
        <v>274</v>
      </c>
      <c r="L57" s="69"/>
      <c r="M57" s="71"/>
      <c r="N57" s="71"/>
      <c r="O57" s="71"/>
      <c r="P57" s="71" t="s">
        <v>275</v>
      </c>
      <c r="Q57" s="88">
        <v>5.9154930595219597E-2</v>
      </c>
      <c r="R57" s="89" t="s">
        <v>276</v>
      </c>
      <c r="S57" s="89"/>
      <c r="T57">
        <v>8.1</v>
      </c>
      <c r="U57" s="76">
        <v>0.2</v>
      </c>
      <c r="V57">
        <v>9.1999999999999993</v>
      </c>
      <c r="W57" s="90">
        <v>0.1</v>
      </c>
      <c r="X57" s="90"/>
      <c r="Y57" s="71"/>
      <c r="Z57" s="71"/>
      <c r="AA57" s="71"/>
      <c r="AB57" s="71"/>
      <c r="AC57" s="71"/>
      <c r="AD57" s="71"/>
      <c r="AE57" s="71"/>
      <c r="AF57" s="71"/>
      <c r="AG57" s="82">
        <v>0</v>
      </c>
      <c r="AH57" s="76"/>
      <c r="AI57" s="76"/>
      <c r="AJ57" s="76"/>
      <c r="AK57" s="71">
        <v>0.15</v>
      </c>
      <c r="AL57" s="88">
        <v>3.4362770551863299E-2</v>
      </c>
      <c r="AM57" s="89">
        <f t="shared" si="0"/>
        <v>0.229085137012422</v>
      </c>
      <c r="AN57" s="78"/>
    </row>
    <row r="58" spans="1:40" x14ac:dyDescent="0.25">
      <c r="A58" t="s">
        <v>44</v>
      </c>
      <c r="B58" t="s">
        <v>45</v>
      </c>
      <c r="C58" s="121" t="s">
        <v>174</v>
      </c>
      <c r="D58" t="s">
        <v>175</v>
      </c>
      <c r="E58" t="s">
        <v>57</v>
      </c>
      <c r="F58">
        <v>1</v>
      </c>
      <c r="G58">
        <v>54</v>
      </c>
      <c r="H58" s="86">
        <v>45962.086646851902</v>
      </c>
      <c r="I58" s="86">
        <v>45962.158836805596</v>
      </c>
      <c r="J58" s="87">
        <v>1.7325588888888901</v>
      </c>
      <c r="K58" s="69" t="s">
        <v>274</v>
      </c>
      <c r="L58" s="69"/>
      <c r="M58" s="71"/>
      <c r="N58" s="71"/>
      <c r="O58" s="71"/>
      <c r="P58" s="71" t="s">
        <v>275</v>
      </c>
      <c r="Q58" s="88">
        <v>6.7127667298585894E-2</v>
      </c>
      <c r="R58" s="89" t="s">
        <v>276</v>
      </c>
      <c r="S58" s="89"/>
      <c r="T58">
        <v>8.1999999999999993</v>
      </c>
      <c r="U58" s="76">
        <v>0.2</v>
      </c>
      <c r="V58">
        <v>9.1999999999999993</v>
      </c>
      <c r="W58" s="90">
        <v>0.1</v>
      </c>
      <c r="X58" s="90"/>
      <c r="Y58" s="71"/>
      <c r="Z58" s="71"/>
      <c r="AA58" s="71"/>
      <c r="AB58" s="71"/>
      <c r="AC58" s="71"/>
      <c r="AD58" s="71"/>
      <c r="AE58" s="71"/>
      <c r="AF58" s="71"/>
      <c r="AG58" s="82">
        <v>0</v>
      </c>
      <c r="AH58" s="76"/>
      <c r="AI58" s="76"/>
      <c r="AJ58" s="76"/>
      <c r="AK58" s="71">
        <v>0.15</v>
      </c>
      <c r="AL58" s="88">
        <v>3.4362770551863299E-2</v>
      </c>
      <c r="AM58" s="89">
        <f t="shared" si="0"/>
        <v>0.229085137012422</v>
      </c>
      <c r="AN58" s="78"/>
    </row>
    <row r="59" spans="1:40" x14ac:dyDescent="0.25">
      <c r="A59" t="s">
        <v>44</v>
      </c>
      <c r="B59" t="s">
        <v>45</v>
      </c>
      <c r="C59" s="121" t="s">
        <v>174</v>
      </c>
      <c r="D59" t="s">
        <v>175</v>
      </c>
      <c r="E59" t="s">
        <v>57</v>
      </c>
      <c r="F59">
        <v>1</v>
      </c>
      <c r="G59">
        <v>55</v>
      </c>
      <c r="H59" s="86">
        <v>45962.158836805596</v>
      </c>
      <c r="I59" s="86">
        <v>45962.231027349502</v>
      </c>
      <c r="J59" s="87">
        <v>1.7325730555555601</v>
      </c>
      <c r="K59" s="69" t="s">
        <v>274</v>
      </c>
      <c r="L59" s="69"/>
      <c r="M59" s="71"/>
      <c r="N59" s="71"/>
      <c r="O59" s="71"/>
      <c r="P59" s="71" t="s">
        <v>275</v>
      </c>
      <c r="Q59" s="88">
        <v>5.8398968912519597E-2</v>
      </c>
      <c r="R59" s="89" t="s">
        <v>276</v>
      </c>
      <c r="S59" s="89"/>
      <c r="T59">
        <v>8.1</v>
      </c>
      <c r="U59" s="76">
        <v>0.2</v>
      </c>
      <c r="V59">
        <v>9.1999999999999993</v>
      </c>
      <c r="W59" s="90">
        <v>0.1</v>
      </c>
      <c r="X59" s="90"/>
      <c r="Y59" s="71"/>
      <c r="Z59" s="71"/>
      <c r="AA59" s="71"/>
      <c r="AB59" s="71"/>
      <c r="AC59" s="71"/>
      <c r="AD59" s="71"/>
      <c r="AE59" s="71"/>
      <c r="AF59" s="71"/>
      <c r="AG59" s="82">
        <v>0</v>
      </c>
      <c r="AH59" s="76"/>
      <c r="AI59" s="76"/>
      <c r="AJ59" s="76"/>
      <c r="AK59" s="71">
        <v>0.15</v>
      </c>
      <c r="AL59" s="88">
        <v>3.4362770551863299E-2</v>
      </c>
      <c r="AM59" s="89">
        <f t="shared" si="0"/>
        <v>0.229085137012422</v>
      </c>
      <c r="AN59" s="78"/>
    </row>
    <row r="60" spans="1:40" x14ac:dyDescent="0.25">
      <c r="A60" t="s">
        <v>44</v>
      </c>
      <c r="B60" t="s">
        <v>45</v>
      </c>
      <c r="C60" s="121" t="s">
        <v>174</v>
      </c>
      <c r="D60" t="s">
        <v>175</v>
      </c>
      <c r="E60" t="s">
        <v>57</v>
      </c>
      <c r="F60">
        <v>1</v>
      </c>
      <c r="G60">
        <v>56</v>
      </c>
      <c r="H60" s="86">
        <v>45962.231027349502</v>
      </c>
      <c r="I60" s="86">
        <v>45962.303210763901</v>
      </c>
      <c r="J60" s="87">
        <v>1.7324019444444501</v>
      </c>
      <c r="K60" s="69" t="s">
        <v>274</v>
      </c>
      <c r="L60" s="69"/>
      <c r="M60" s="71"/>
      <c r="N60" s="71"/>
      <c r="O60" s="71"/>
      <c r="P60" s="71" t="s">
        <v>275</v>
      </c>
      <c r="Q60" s="88">
        <v>4.6235616310238002E-2</v>
      </c>
      <c r="R60" s="89" t="s">
        <v>276</v>
      </c>
      <c r="S60" s="89"/>
      <c r="T60">
        <v>7.5</v>
      </c>
      <c r="U60" s="76">
        <v>0.2</v>
      </c>
      <c r="V60">
        <v>9.1999999999999993</v>
      </c>
      <c r="W60" s="90">
        <v>0.1</v>
      </c>
      <c r="X60" s="90"/>
      <c r="Y60" s="71"/>
      <c r="Z60" s="71"/>
      <c r="AA60" s="71"/>
      <c r="AB60" s="71"/>
      <c r="AC60" s="71"/>
      <c r="AD60" s="71"/>
      <c r="AE60" s="71"/>
      <c r="AF60" s="71"/>
      <c r="AG60" s="82">
        <v>0</v>
      </c>
      <c r="AH60" s="76"/>
      <c r="AI60" s="76"/>
      <c r="AJ60" s="76"/>
      <c r="AK60" s="71">
        <v>0.15</v>
      </c>
      <c r="AL60" s="88">
        <v>3.4362770551863299E-2</v>
      </c>
      <c r="AM60" s="89">
        <f t="shared" si="0"/>
        <v>0.229085137012422</v>
      </c>
      <c r="AN60" s="78"/>
    </row>
    <row r="61" spans="1:40" x14ac:dyDescent="0.25">
      <c r="A61" t="s">
        <v>44</v>
      </c>
      <c r="B61" t="s">
        <v>45</v>
      </c>
      <c r="C61" s="121" t="s">
        <v>174</v>
      </c>
      <c r="D61" t="s">
        <v>175</v>
      </c>
      <c r="E61" t="s">
        <v>57</v>
      </c>
      <c r="F61">
        <v>1</v>
      </c>
      <c r="G61">
        <v>57</v>
      </c>
      <c r="H61" s="86">
        <v>45962.303210763901</v>
      </c>
      <c r="I61" s="86">
        <v>45962.375401238402</v>
      </c>
      <c r="J61" s="87">
        <v>1.7325713888888901</v>
      </c>
      <c r="K61" s="69" t="s">
        <v>274</v>
      </c>
      <c r="L61" s="69"/>
      <c r="M61" s="71"/>
      <c r="N61" s="71"/>
      <c r="O61" s="71"/>
      <c r="P61" s="71" t="s">
        <v>275</v>
      </c>
      <c r="Q61" s="88">
        <v>3.9776125120341697E-2</v>
      </c>
      <c r="R61" s="89" t="s">
        <v>276</v>
      </c>
      <c r="S61" s="89"/>
      <c r="T61">
        <v>7.5</v>
      </c>
      <c r="U61" s="76">
        <v>0.2</v>
      </c>
      <c r="V61">
        <v>9.1999999999999993</v>
      </c>
      <c r="W61" s="90">
        <v>0.1</v>
      </c>
      <c r="X61" s="90"/>
      <c r="Y61" s="71"/>
      <c r="Z61" s="71"/>
      <c r="AA61" s="71"/>
      <c r="AB61" s="71"/>
      <c r="AC61" s="71"/>
      <c r="AD61" s="71"/>
      <c r="AE61" s="71"/>
      <c r="AF61" s="71"/>
      <c r="AG61" s="82">
        <v>0</v>
      </c>
      <c r="AH61" s="76"/>
      <c r="AI61" s="76"/>
      <c r="AJ61" s="76"/>
      <c r="AK61" s="71">
        <v>0.15</v>
      </c>
      <c r="AL61" s="88">
        <v>3.4362770551863299E-2</v>
      </c>
      <c r="AM61" s="89">
        <f t="shared" si="0"/>
        <v>0.229085137012422</v>
      </c>
      <c r="AN61" s="78"/>
    </row>
    <row r="62" spans="1:40" x14ac:dyDescent="0.25">
      <c r="A62" t="s">
        <v>44</v>
      </c>
      <c r="B62" t="s">
        <v>45</v>
      </c>
      <c r="C62" s="121" t="s">
        <v>174</v>
      </c>
      <c r="D62" t="s">
        <v>175</v>
      </c>
      <c r="E62" t="s">
        <v>57</v>
      </c>
      <c r="F62">
        <v>1</v>
      </c>
      <c r="G62">
        <v>58</v>
      </c>
      <c r="H62" s="86">
        <v>45962.375401238402</v>
      </c>
      <c r="I62" s="86">
        <v>45962.447582534704</v>
      </c>
      <c r="J62" s="87">
        <v>1.7323511111111101</v>
      </c>
      <c r="K62" s="69" t="s">
        <v>274</v>
      </c>
      <c r="L62" s="69"/>
      <c r="M62" s="71"/>
      <c r="N62" s="71"/>
      <c r="O62" s="71"/>
      <c r="P62" s="71" t="s">
        <v>275</v>
      </c>
      <c r="Q62" s="88">
        <v>4.8413187455485097E-2</v>
      </c>
      <c r="R62" s="89" t="s">
        <v>276</v>
      </c>
      <c r="S62" s="89"/>
      <c r="T62">
        <v>8.5</v>
      </c>
      <c r="U62" s="76">
        <v>0.2</v>
      </c>
      <c r="V62">
        <v>9.1999999999999993</v>
      </c>
      <c r="W62" s="90">
        <v>0.1</v>
      </c>
      <c r="X62" s="90"/>
      <c r="Y62" s="71"/>
      <c r="Z62" s="71"/>
      <c r="AA62" s="71"/>
      <c r="AB62" s="71"/>
      <c r="AC62" s="71"/>
      <c r="AD62" s="71"/>
      <c r="AE62" s="71"/>
      <c r="AF62" s="71"/>
      <c r="AG62" s="82">
        <v>0</v>
      </c>
      <c r="AH62" s="76"/>
      <c r="AI62" s="76"/>
      <c r="AJ62" s="76"/>
      <c r="AK62" s="71">
        <v>0.15</v>
      </c>
      <c r="AL62" s="88">
        <v>3.4362770551863299E-2</v>
      </c>
      <c r="AM62" s="89">
        <f t="shared" si="0"/>
        <v>0.229085137012422</v>
      </c>
      <c r="AN62" s="78"/>
    </row>
    <row r="63" spans="1:40" x14ac:dyDescent="0.25">
      <c r="A63" t="s">
        <v>44</v>
      </c>
      <c r="B63" t="s">
        <v>45</v>
      </c>
      <c r="C63" s="121" t="s">
        <v>174</v>
      </c>
      <c r="D63" t="s">
        <v>175</v>
      </c>
      <c r="E63" t="s">
        <v>57</v>
      </c>
      <c r="F63">
        <v>1</v>
      </c>
      <c r="G63">
        <v>59</v>
      </c>
      <c r="H63" s="86">
        <v>45962.447582534704</v>
      </c>
      <c r="I63" s="86">
        <v>45962.519759988398</v>
      </c>
      <c r="J63" s="87">
        <v>1.7322588888888899</v>
      </c>
      <c r="K63" s="69" t="s">
        <v>274</v>
      </c>
      <c r="L63" s="69"/>
      <c r="M63" s="71"/>
      <c r="N63" s="71"/>
      <c r="O63" s="71"/>
      <c r="P63" s="71" t="s">
        <v>275</v>
      </c>
      <c r="Q63" s="88">
        <v>7.6554192865617293E-2</v>
      </c>
      <c r="R63" s="89" t="s">
        <v>276</v>
      </c>
      <c r="S63" s="89"/>
      <c r="T63">
        <v>10.5</v>
      </c>
      <c r="U63" s="76">
        <v>0.2</v>
      </c>
      <c r="V63">
        <v>9.1999999999999993</v>
      </c>
      <c r="W63" s="90">
        <v>0.1</v>
      </c>
      <c r="X63" s="90"/>
      <c r="Y63" s="71"/>
      <c r="Z63" s="71"/>
      <c r="AA63" s="71"/>
      <c r="AB63" s="71"/>
      <c r="AC63" s="71"/>
      <c r="AD63" s="71"/>
      <c r="AE63" s="71"/>
      <c r="AF63" s="71"/>
      <c r="AG63" s="82">
        <v>0</v>
      </c>
      <c r="AH63" s="76"/>
      <c r="AI63" s="76"/>
      <c r="AJ63" s="76"/>
      <c r="AK63" s="71">
        <v>0.15</v>
      </c>
      <c r="AL63" s="88">
        <v>3.4362770551863299E-2</v>
      </c>
      <c r="AM63" s="89">
        <f t="shared" si="0"/>
        <v>0.229085137012422</v>
      </c>
      <c r="AN63" s="78"/>
    </row>
    <row r="64" spans="1:40" x14ac:dyDescent="0.25">
      <c r="A64" t="s">
        <v>44</v>
      </c>
      <c r="B64" t="s">
        <v>45</v>
      </c>
      <c r="C64" s="121" t="s">
        <v>174</v>
      </c>
      <c r="D64" t="s">
        <v>175</v>
      </c>
      <c r="E64" t="s">
        <v>57</v>
      </c>
      <c r="F64">
        <v>1</v>
      </c>
      <c r="G64">
        <v>60</v>
      </c>
      <c r="H64" s="86">
        <v>45962.519759988398</v>
      </c>
      <c r="I64" s="86">
        <v>45962.591953009302</v>
      </c>
      <c r="J64" s="87">
        <v>1.7326325</v>
      </c>
      <c r="K64" s="69" t="s">
        <v>274</v>
      </c>
      <c r="L64" s="69"/>
      <c r="M64" s="71"/>
      <c r="N64" s="71"/>
      <c r="O64" s="71"/>
      <c r="P64" s="71" t="s">
        <v>275</v>
      </c>
      <c r="Q64" s="88">
        <v>6.3329566524522998E-2</v>
      </c>
      <c r="R64" s="89" t="s">
        <v>276</v>
      </c>
      <c r="S64" s="89"/>
      <c r="T64">
        <v>10.9</v>
      </c>
      <c r="U64" s="76">
        <v>0.2</v>
      </c>
      <c r="V64">
        <v>9.1999999999999993</v>
      </c>
      <c r="W64" s="90">
        <v>0.1</v>
      </c>
      <c r="X64" s="90"/>
      <c r="Y64" s="71"/>
      <c r="Z64" s="71"/>
      <c r="AA64" s="71"/>
      <c r="AB64" s="71"/>
      <c r="AC64" s="71"/>
      <c r="AD64" s="71"/>
      <c r="AE64" s="71"/>
      <c r="AF64" s="71"/>
      <c r="AG64" s="82">
        <v>0</v>
      </c>
      <c r="AH64" s="76"/>
      <c r="AI64" s="76"/>
      <c r="AJ64" s="76"/>
      <c r="AK64" s="71">
        <v>0.15</v>
      </c>
      <c r="AL64" s="88">
        <v>3.4362770551863299E-2</v>
      </c>
      <c r="AM64" s="89">
        <f t="shared" si="0"/>
        <v>0.229085137012422</v>
      </c>
      <c r="AN64" s="78"/>
    </row>
    <row r="65" spans="1:40" x14ac:dyDescent="0.25">
      <c r="A65" t="s">
        <v>44</v>
      </c>
      <c r="B65" t="s">
        <v>45</v>
      </c>
      <c r="C65" s="121" t="s">
        <v>174</v>
      </c>
      <c r="D65" t="s">
        <v>175</v>
      </c>
      <c r="E65" t="s">
        <v>57</v>
      </c>
      <c r="F65">
        <v>1</v>
      </c>
      <c r="G65">
        <v>61</v>
      </c>
      <c r="H65" s="86">
        <v>45962.591953009302</v>
      </c>
      <c r="I65" s="86">
        <v>45962.664137071799</v>
      </c>
      <c r="J65" s="87">
        <v>1.7324174999999999</v>
      </c>
      <c r="K65" s="69" t="s">
        <v>274</v>
      </c>
      <c r="L65" s="69"/>
      <c r="M65" s="71"/>
      <c r="N65" s="71"/>
      <c r="O65" s="71"/>
      <c r="P65" s="71" t="s">
        <v>275</v>
      </c>
      <c r="Q65" s="88">
        <v>4.6229052051867697E-2</v>
      </c>
      <c r="R65" s="89" t="s">
        <v>276</v>
      </c>
      <c r="S65" s="89"/>
      <c r="T65">
        <v>10.9</v>
      </c>
      <c r="U65" s="76">
        <v>0.2</v>
      </c>
      <c r="V65">
        <v>9.4</v>
      </c>
      <c r="W65" s="90">
        <v>0.1</v>
      </c>
      <c r="X65" s="90"/>
      <c r="Y65" s="71"/>
      <c r="Z65" s="71"/>
      <c r="AA65" s="71"/>
      <c r="AB65" s="71"/>
      <c r="AC65" s="71"/>
      <c r="AD65" s="71"/>
      <c r="AE65" s="71"/>
      <c r="AF65" s="71"/>
      <c r="AG65" s="82">
        <v>0.1</v>
      </c>
      <c r="AH65" s="76"/>
      <c r="AI65" s="76"/>
      <c r="AJ65" s="76"/>
      <c r="AK65" s="71">
        <v>0.15</v>
      </c>
      <c r="AL65" s="88">
        <v>3.4362770551863299E-2</v>
      </c>
      <c r="AM65" s="89">
        <f t="shared" si="0"/>
        <v>0.229085137012422</v>
      </c>
      <c r="AN65" s="78"/>
    </row>
    <row r="66" spans="1:40" x14ac:dyDescent="0.25">
      <c r="A66" t="s">
        <v>44</v>
      </c>
      <c r="B66" t="s">
        <v>45</v>
      </c>
      <c r="C66" s="121" t="s">
        <v>174</v>
      </c>
      <c r="D66" t="s">
        <v>175</v>
      </c>
      <c r="E66" t="s">
        <v>57</v>
      </c>
      <c r="F66">
        <v>1</v>
      </c>
      <c r="G66">
        <v>62</v>
      </c>
      <c r="H66" s="86">
        <v>45962.664137071799</v>
      </c>
      <c r="I66" s="86">
        <v>45962.736328391198</v>
      </c>
      <c r="J66" s="87">
        <v>1.7325916666666701</v>
      </c>
      <c r="K66" s="69" t="s">
        <v>274</v>
      </c>
      <c r="L66" s="69"/>
      <c r="M66" s="71"/>
      <c r="N66" s="71"/>
      <c r="O66" s="71"/>
      <c r="P66" s="71" t="s">
        <v>275</v>
      </c>
      <c r="Q66" s="88">
        <v>3.0011109393651501E-2</v>
      </c>
      <c r="R66" s="89" t="s">
        <v>276</v>
      </c>
      <c r="S66" s="89"/>
      <c r="T66">
        <v>10.5</v>
      </c>
      <c r="U66" s="76">
        <v>0.2</v>
      </c>
      <c r="V66">
        <v>9.6</v>
      </c>
      <c r="W66" s="90">
        <v>0.1</v>
      </c>
      <c r="X66" s="90"/>
      <c r="Y66" s="71"/>
      <c r="Z66" s="71"/>
      <c r="AA66" s="71"/>
      <c r="AB66" s="71"/>
      <c r="AC66" s="71"/>
      <c r="AD66" s="71"/>
      <c r="AE66" s="71"/>
      <c r="AF66" s="71"/>
      <c r="AG66" s="82">
        <v>0.6</v>
      </c>
      <c r="AH66" s="76"/>
      <c r="AI66" s="76"/>
      <c r="AJ66" s="76"/>
      <c r="AK66" s="71">
        <v>0.15</v>
      </c>
      <c r="AL66" s="88">
        <v>3.4362770551863299E-2</v>
      </c>
      <c r="AM66" s="89">
        <f t="shared" si="0"/>
        <v>0.229085137012422</v>
      </c>
      <c r="AN66" s="78"/>
    </row>
    <row r="67" spans="1:40" x14ac:dyDescent="0.25">
      <c r="A67" t="s">
        <v>44</v>
      </c>
      <c r="B67" t="s">
        <v>45</v>
      </c>
      <c r="C67" s="121" t="s">
        <v>174</v>
      </c>
      <c r="D67" t="s">
        <v>175</v>
      </c>
      <c r="E67" t="s">
        <v>57</v>
      </c>
      <c r="F67">
        <v>1</v>
      </c>
      <c r="G67">
        <v>63</v>
      </c>
      <c r="H67" s="86">
        <v>45962.736328391198</v>
      </c>
      <c r="I67" s="86">
        <v>45962.808501180603</v>
      </c>
      <c r="J67" s="87">
        <v>1.7321469444444499</v>
      </c>
      <c r="K67" s="69" t="s">
        <v>274</v>
      </c>
      <c r="L67" s="69"/>
      <c r="M67" s="71"/>
      <c r="N67" s="71"/>
      <c r="O67" s="71"/>
      <c r="P67" s="71" t="s">
        <v>275</v>
      </c>
      <c r="Q67" s="88">
        <v>2.4883407208134301E-2</v>
      </c>
      <c r="R67" s="89" t="s">
        <v>276</v>
      </c>
      <c r="S67" s="89"/>
      <c r="T67">
        <v>10.6</v>
      </c>
      <c r="U67" s="76">
        <v>0.2</v>
      </c>
      <c r="V67">
        <v>9.6999999999999993</v>
      </c>
      <c r="W67" s="90">
        <v>0.1</v>
      </c>
      <c r="X67" s="90"/>
      <c r="Y67" s="71"/>
      <c r="Z67" s="71"/>
      <c r="AA67" s="71"/>
      <c r="AB67" s="71"/>
      <c r="AC67" s="71"/>
      <c r="AD67" s="71"/>
      <c r="AE67" s="71"/>
      <c r="AF67" s="71"/>
      <c r="AG67" s="82">
        <v>0.4</v>
      </c>
      <c r="AH67" s="76"/>
      <c r="AI67" s="76"/>
      <c r="AJ67" s="76"/>
      <c r="AK67" s="71">
        <v>0.15</v>
      </c>
      <c r="AL67" s="88">
        <v>3.4362770551863299E-2</v>
      </c>
      <c r="AM67" s="89">
        <f t="shared" si="0"/>
        <v>0.229085137012422</v>
      </c>
      <c r="AN67" s="78"/>
    </row>
    <row r="68" spans="1:40" x14ac:dyDescent="0.25">
      <c r="A68" t="s">
        <v>44</v>
      </c>
      <c r="B68" t="s">
        <v>45</v>
      </c>
      <c r="C68" s="121" t="s">
        <v>174</v>
      </c>
      <c r="D68" t="s">
        <v>175</v>
      </c>
      <c r="E68" t="s">
        <v>57</v>
      </c>
      <c r="F68">
        <v>1</v>
      </c>
      <c r="G68">
        <v>64</v>
      </c>
      <c r="H68" s="86">
        <v>45962.808501180603</v>
      </c>
      <c r="I68" s="86">
        <v>45962.8806923843</v>
      </c>
      <c r="J68" s="87">
        <v>1.7325888888888901</v>
      </c>
      <c r="K68" s="69" t="s">
        <v>274</v>
      </c>
      <c r="L68" s="69"/>
      <c r="M68" s="71"/>
      <c r="N68" s="71"/>
      <c r="O68" s="71"/>
      <c r="P68" s="71" t="s">
        <v>275</v>
      </c>
      <c r="Q68" s="88">
        <v>2.6527617805930701E-2</v>
      </c>
      <c r="R68" s="89" t="s">
        <v>276</v>
      </c>
      <c r="S68" s="89"/>
      <c r="T68">
        <v>10.4</v>
      </c>
      <c r="U68" s="76">
        <v>0.2</v>
      </c>
      <c r="V68">
        <v>9.6999999999999993</v>
      </c>
      <c r="W68" s="90">
        <v>0.1</v>
      </c>
      <c r="X68" s="90"/>
      <c r="Y68" s="71"/>
      <c r="Z68" s="71"/>
      <c r="AA68" s="71"/>
      <c r="AB68" s="71"/>
      <c r="AC68" s="71"/>
      <c r="AD68" s="71"/>
      <c r="AE68" s="71"/>
      <c r="AF68" s="71"/>
      <c r="AG68" s="82">
        <v>0</v>
      </c>
      <c r="AH68" s="76"/>
      <c r="AI68" s="76"/>
      <c r="AJ68" s="76"/>
      <c r="AK68" s="71">
        <v>0.15</v>
      </c>
      <c r="AL68" s="88">
        <v>3.4362770551863299E-2</v>
      </c>
      <c r="AM68" s="89">
        <f t="shared" si="0"/>
        <v>0.229085137012422</v>
      </c>
      <c r="AN68" s="78"/>
    </row>
    <row r="69" spans="1:40" x14ac:dyDescent="0.25">
      <c r="A69" t="s">
        <v>44</v>
      </c>
      <c r="B69" t="s">
        <v>45</v>
      </c>
      <c r="C69" s="121" t="s">
        <v>174</v>
      </c>
      <c r="D69" t="s">
        <v>175</v>
      </c>
      <c r="E69" t="s">
        <v>57</v>
      </c>
      <c r="F69">
        <v>1</v>
      </c>
      <c r="G69">
        <v>65</v>
      </c>
      <c r="H69" s="86">
        <v>45962.8806923843</v>
      </c>
      <c r="I69" s="86">
        <v>45962.952877858799</v>
      </c>
      <c r="J69" s="87">
        <v>1.7324513888888899</v>
      </c>
      <c r="K69" s="69" t="s">
        <v>274</v>
      </c>
      <c r="L69" s="69"/>
      <c r="M69" s="71"/>
      <c r="N69" s="71"/>
      <c r="O69" s="71"/>
      <c r="P69" s="71" t="s">
        <v>275</v>
      </c>
      <c r="Q69" s="88">
        <v>3.4159058576131301E-2</v>
      </c>
      <c r="R69" s="89" t="s">
        <v>276</v>
      </c>
      <c r="S69" s="89"/>
      <c r="T69">
        <v>10.5</v>
      </c>
      <c r="U69" s="76">
        <v>0.2</v>
      </c>
      <c r="V69">
        <v>9.8000000000000007</v>
      </c>
      <c r="W69" s="90">
        <v>0.1</v>
      </c>
      <c r="X69" s="90"/>
      <c r="Y69" s="71"/>
      <c r="Z69" s="71"/>
      <c r="AA69" s="71"/>
      <c r="AB69" s="71"/>
      <c r="AC69" s="71"/>
      <c r="AD69" s="71"/>
      <c r="AE69" s="71"/>
      <c r="AF69" s="71"/>
      <c r="AG69" s="82">
        <v>0</v>
      </c>
      <c r="AH69" s="76"/>
      <c r="AI69" s="76"/>
      <c r="AJ69" s="76"/>
      <c r="AK69" s="71">
        <v>0.15</v>
      </c>
      <c r="AL69" s="88">
        <v>3.4362770551863299E-2</v>
      </c>
      <c r="AM69" s="89">
        <f t="shared" ref="AM69:AM132" si="1">AL69/AK69</f>
        <v>0.229085137012422</v>
      </c>
      <c r="AN69" s="78"/>
    </row>
    <row r="70" spans="1:40" x14ac:dyDescent="0.25">
      <c r="A70" t="s">
        <v>44</v>
      </c>
      <c r="B70" t="s">
        <v>45</v>
      </c>
      <c r="C70" s="121" t="s">
        <v>174</v>
      </c>
      <c r="D70" t="s">
        <v>175</v>
      </c>
      <c r="E70" t="s">
        <v>57</v>
      </c>
      <c r="F70">
        <v>1</v>
      </c>
      <c r="G70">
        <v>66</v>
      </c>
      <c r="H70" s="86">
        <v>45962.952877858799</v>
      </c>
      <c r="I70" s="86">
        <v>45963.025057488398</v>
      </c>
      <c r="J70" s="87">
        <v>1.73231111111111</v>
      </c>
      <c r="K70" s="69" t="s">
        <v>274</v>
      </c>
      <c r="L70" s="69"/>
      <c r="M70" s="71"/>
      <c r="N70" s="71"/>
      <c r="O70" s="71"/>
      <c r="P70" s="71" t="s">
        <v>275</v>
      </c>
      <c r="Q70" s="88">
        <v>2.7353665187389999E-2</v>
      </c>
      <c r="R70" s="89" t="s">
        <v>276</v>
      </c>
      <c r="S70" s="89"/>
      <c r="T70">
        <v>9.1999999999999993</v>
      </c>
      <c r="U70" s="76">
        <v>0.2</v>
      </c>
      <c r="V70">
        <v>9.8000000000000007</v>
      </c>
      <c r="W70" s="90">
        <v>0.1</v>
      </c>
      <c r="X70" s="90"/>
      <c r="Y70" s="71"/>
      <c r="Z70" s="71"/>
      <c r="AA70" s="71"/>
      <c r="AB70" s="71"/>
      <c r="AC70" s="71"/>
      <c r="AD70" s="71"/>
      <c r="AE70" s="71"/>
      <c r="AF70" s="71"/>
      <c r="AG70" s="82">
        <v>0</v>
      </c>
      <c r="AH70" s="76"/>
      <c r="AI70" s="76"/>
      <c r="AJ70" s="76"/>
      <c r="AK70" s="71">
        <v>0.15</v>
      </c>
      <c r="AL70" s="88">
        <v>3.4362770551863299E-2</v>
      </c>
      <c r="AM70" s="89">
        <f t="shared" si="1"/>
        <v>0.229085137012422</v>
      </c>
      <c r="AN70" s="78"/>
    </row>
    <row r="71" spans="1:40" x14ac:dyDescent="0.25">
      <c r="A71" t="s">
        <v>44</v>
      </c>
      <c r="B71" t="s">
        <v>45</v>
      </c>
      <c r="C71" s="121" t="s">
        <v>174</v>
      </c>
      <c r="D71" t="s">
        <v>175</v>
      </c>
      <c r="E71" t="s">
        <v>57</v>
      </c>
      <c r="F71">
        <v>1</v>
      </c>
      <c r="G71">
        <v>67</v>
      </c>
      <c r="H71" s="86">
        <v>45963.025057488398</v>
      </c>
      <c r="I71" s="86">
        <v>45963.097244606499</v>
      </c>
      <c r="J71" s="87">
        <v>1.73249083333333</v>
      </c>
      <c r="K71" s="69" t="s">
        <v>274</v>
      </c>
      <c r="L71" s="69"/>
      <c r="M71" s="71"/>
      <c r="N71" s="71"/>
      <c r="O71" s="71"/>
      <c r="P71" s="71" t="s">
        <v>275</v>
      </c>
      <c r="Q71" s="88">
        <v>2.8774099782370902E-2</v>
      </c>
      <c r="R71" s="89" t="s">
        <v>276</v>
      </c>
      <c r="S71" s="89"/>
      <c r="T71">
        <v>8.6999999999999993</v>
      </c>
      <c r="U71" s="76">
        <v>0.2</v>
      </c>
      <c r="V71">
        <v>9.8000000000000007</v>
      </c>
      <c r="W71" s="90">
        <v>0.1</v>
      </c>
      <c r="X71" s="90"/>
      <c r="Y71" s="71"/>
      <c r="Z71" s="71"/>
      <c r="AA71" s="71"/>
      <c r="AB71" s="71"/>
      <c r="AC71" s="71"/>
      <c r="AD71" s="71"/>
      <c r="AE71" s="71"/>
      <c r="AF71" s="71"/>
      <c r="AG71" s="82">
        <v>0.1</v>
      </c>
      <c r="AH71" s="76"/>
      <c r="AI71" s="76"/>
      <c r="AJ71" s="76"/>
      <c r="AK71" s="71">
        <v>0.15</v>
      </c>
      <c r="AL71" s="88">
        <v>3.4362770551863299E-2</v>
      </c>
      <c r="AM71" s="89">
        <f t="shared" si="1"/>
        <v>0.229085137012422</v>
      </c>
      <c r="AN71" s="78"/>
    </row>
    <row r="72" spans="1:40" x14ac:dyDescent="0.25">
      <c r="A72" t="s">
        <v>44</v>
      </c>
      <c r="B72" t="s">
        <v>45</v>
      </c>
      <c r="C72" s="121" t="s">
        <v>174</v>
      </c>
      <c r="D72" t="s">
        <v>175</v>
      </c>
      <c r="E72" t="s">
        <v>57</v>
      </c>
      <c r="F72">
        <v>1</v>
      </c>
      <c r="G72">
        <v>68</v>
      </c>
      <c r="H72" s="86">
        <v>45963.097244606499</v>
      </c>
      <c r="I72" s="86">
        <v>45963.169426053202</v>
      </c>
      <c r="J72" s="87">
        <v>1.73235472222222</v>
      </c>
      <c r="K72" s="69" t="s">
        <v>274</v>
      </c>
      <c r="L72" s="69"/>
      <c r="M72" s="71"/>
      <c r="N72" s="71"/>
      <c r="O72" s="71"/>
      <c r="P72" s="71" t="s">
        <v>275</v>
      </c>
      <c r="Q72" s="88">
        <v>1.9760982526207602E-2</v>
      </c>
      <c r="R72" s="89" t="s">
        <v>276</v>
      </c>
      <c r="S72" s="89"/>
      <c r="T72">
        <v>8.1999999999999993</v>
      </c>
      <c r="U72" s="76">
        <v>0.2</v>
      </c>
      <c r="V72">
        <v>9.8000000000000007</v>
      </c>
      <c r="W72" s="90">
        <v>0.1</v>
      </c>
      <c r="X72" s="90"/>
      <c r="Y72" s="71"/>
      <c r="Z72" s="71"/>
      <c r="AA72" s="71"/>
      <c r="AB72" s="71"/>
      <c r="AC72" s="71"/>
      <c r="AD72" s="71"/>
      <c r="AE72" s="71"/>
      <c r="AF72" s="71"/>
      <c r="AG72" s="82">
        <v>0</v>
      </c>
      <c r="AH72" s="76"/>
      <c r="AI72" s="76"/>
      <c r="AJ72" s="76"/>
      <c r="AK72" s="71">
        <v>0.15</v>
      </c>
      <c r="AL72" s="88">
        <v>3.4362770551863299E-2</v>
      </c>
      <c r="AM72" s="89">
        <f t="shared" si="1"/>
        <v>0.229085137012422</v>
      </c>
      <c r="AN72" s="78"/>
    </row>
    <row r="73" spans="1:40" x14ac:dyDescent="0.25">
      <c r="A73" t="s">
        <v>44</v>
      </c>
      <c r="B73" t="s">
        <v>45</v>
      </c>
      <c r="C73" s="121" t="s">
        <v>174</v>
      </c>
      <c r="D73" t="s">
        <v>175</v>
      </c>
      <c r="E73" t="s">
        <v>57</v>
      </c>
      <c r="F73">
        <v>1</v>
      </c>
      <c r="G73">
        <v>69</v>
      </c>
      <c r="H73" s="86">
        <v>45963.169426053202</v>
      </c>
      <c r="I73" s="86">
        <v>45963.241615567102</v>
      </c>
      <c r="J73" s="87">
        <v>1.73254833333333</v>
      </c>
      <c r="K73" s="69" t="s">
        <v>274</v>
      </c>
      <c r="L73" s="69"/>
      <c r="M73" s="71"/>
      <c r="N73" s="71"/>
      <c r="O73" s="71"/>
      <c r="P73" s="71" t="s">
        <v>275</v>
      </c>
      <c r="Q73" s="88">
        <v>1.9967521439783201E-2</v>
      </c>
      <c r="R73" s="89" t="s">
        <v>276</v>
      </c>
      <c r="S73" s="89"/>
      <c r="T73">
        <v>8.5</v>
      </c>
      <c r="U73" s="76">
        <v>0.2</v>
      </c>
      <c r="V73">
        <v>9.6999999999999993</v>
      </c>
      <c r="W73" s="90">
        <v>0.1</v>
      </c>
      <c r="X73" s="90"/>
      <c r="Y73" s="71"/>
      <c r="Z73" s="71"/>
      <c r="AA73" s="71"/>
      <c r="AB73" s="71"/>
      <c r="AC73" s="71"/>
      <c r="AD73" s="71"/>
      <c r="AE73" s="71"/>
      <c r="AF73" s="71"/>
      <c r="AG73" s="82">
        <v>0</v>
      </c>
      <c r="AH73" s="76"/>
      <c r="AI73" s="76"/>
      <c r="AJ73" s="76"/>
      <c r="AK73" s="71">
        <v>0.15</v>
      </c>
      <c r="AL73" s="88">
        <v>3.4362770551863299E-2</v>
      </c>
      <c r="AM73" s="89">
        <f t="shared" si="1"/>
        <v>0.229085137012422</v>
      </c>
      <c r="AN73" s="78"/>
    </row>
    <row r="74" spans="1:40" x14ac:dyDescent="0.25">
      <c r="A74" t="s">
        <v>44</v>
      </c>
      <c r="B74" t="s">
        <v>45</v>
      </c>
      <c r="C74" s="121" t="s">
        <v>174</v>
      </c>
      <c r="D74" t="s">
        <v>175</v>
      </c>
      <c r="E74" t="s">
        <v>57</v>
      </c>
      <c r="F74">
        <v>1</v>
      </c>
      <c r="G74">
        <v>70</v>
      </c>
      <c r="H74" s="86">
        <v>45963.241615567102</v>
      </c>
      <c r="I74" s="86">
        <v>45963.313793055597</v>
      </c>
      <c r="J74" s="87">
        <v>1.73225972222222</v>
      </c>
      <c r="K74" s="69" t="s">
        <v>274</v>
      </c>
      <c r="L74" s="69"/>
      <c r="M74" s="71"/>
      <c r="N74" s="71"/>
      <c r="O74" s="71"/>
      <c r="P74" s="71" t="s">
        <v>275</v>
      </c>
      <c r="Q74" s="88">
        <v>1.7537378613065899E-2</v>
      </c>
      <c r="R74" s="89" t="s">
        <v>276</v>
      </c>
      <c r="S74" s="89"/>
      <c r="T74">
        <v>8.6</v>
      </c>
      <c r="U74" s="76">
        <v>0.2</v>
      </c>
      <c r="V74">
        <v>9.6</v>
      </c>
      <c r="W74" s="90">
        <v>0.1</v>
      </c>
      <c r="X74" s="90"/>
      <c r="Y74" s="71"/>
      <c r="Z74" s="71"/>
      <c r="AA74" s="71"/>
      <c r="AB74" s="71"/>
      <c r="AC74" s="71"/>
      <c r="AD74" s="71"/>
      <c r="AE74" s="71"/>
      <c r="AF74" s="71"/>
      <c r="AG74" s="82">
        <v>0</v>
      </c>
      <c r="AH74" s="76"/>
      <c r="AI74" s="76"/>
      <c r="AJ74" s="76"/>
      <c r="AK74" s="71">
        <v>0.15</v>
      </c>
      <c r="AL74" s="88">
        <v>3.4362770551863299E-2</v>
      </c>
      <c r="AM74" s="89">
        <f t="shared" si="1"/>
        <v>0.229085137012422</v>
      </c>
      <c r="AN74" s="78"/>
    </row>
    <row r="75" spans="1:40" x14ac:dyDescent="0.25">
      <c r="A75" t="s">
        <v>44</v>
      </c>
      <c r="B75" t="s">
        <v>45</v>
      </c>
      <c r="C75" s="121" t="s">
        <v>174</v>
      </c>
      <c r="D75" t="s">
        <v>175</v>
      </c>
      <c r="E75" t="s">
        <v>57</v>
      </c>
      <c r="F75">
        <v>1</v>
      </c>
      <c r="G75">
        <v>71</v>
      </c>
      <c r="H75" s="86">
        <v>45963.313793055597</v>
      </c>
      <c r="I75" s="86">
        <v>45963.385984432898</v>
      </c>
      <c r="J75" s="87">
        <v>1.73259305555556</v>
      </c>
      <c r="K75" s="69" t="s">
        <v>274</v>
      </c>
      <c r="L75" s="69"/>
      <c r="M75" s="71"/>
      <c r="N75" s="71"/>
      <c r="O75" s="71"/>
      <c r="P75" s="71" t="s">
        <v>275</v>
      </c>
      <c r="Q75" s="88">
        <v>2.3784142297566199E-2</v>
      </c>
      <c r="R75" s="89" t="s">
        <v>276</v>
      </c>
      <c r="S75" s="89"/>
      <c r="T75">
        <v>8.9</v>
      </c>
      <c r="U75" s="76">
        <v>0.2</v>
      </c>
      <c r="V75">
        <v>9.6</v>
      </c>
      <c r="W75" s="90">
        <v>0.1</v>
      </c>
      <c r="X75" s="90"/>
      <c r="Y75" s="71"/>
      <c r="Z75" s="71"/>
      <c r="AA75" s="71"/>
      <c r="AB75" s="71"/>
      <c r="AC75" s="71"/>
      <c r="AD75" s="71"/>
      <c r="AE75" s="71"/>
      <c r="AF75" s="71"/>
      <c r="AG75" s="82">
        <v>3.9</v>
      </c>
      <c r="AH75" s="76"/>
      <c r="AI75" s="76"/>
      <c r="AJ75" s="76"/>
      <c r="AK75" s="71">
        <v>0.15</v>
      </c>
      <c r="AL75" s="88">
        <v>3.4362770551863299E-2</v>
      </c>
      <c r="AM75" s="89">
        <f t="shared" si="1"/>
        <v>0.229085137012422</v>
      </c>
      <c r="AN75" s="78"/>
    </row>
    <row r="76" spans="1:40" x14ac:dyDescent="0.25">
      <c r="A76" t="s">
        <v>44</v>
      </c>
      <c r="B76" t="s">
        <v>45</v>
      </c>
      <c r="C76" s="121" t="s">
        <v>174</v>
      </c>
      <c r="D76" t="s">
        <v>175</v>
      </c>
      <c r="E76" t="s">
        <v>57</v>
      </c>
      <c r="F76">
        <v>1</v>
      </c>
      <c r="G76">
        <v>72</v>
      </c>
      <c r="H76" s="86">
        <v>45963.385984432898</v>
      </c>
      <c r="I76" s="86">
        <v>45963.4581618866</v>
      </c>
      <c r="J76" s="87">
        <v>1.7322588888888899</v>
      </c>
      <c r="K76" s="69" t="s">
        <v>274</v>
      </c>
      <c r="L76" s="69"/>
      <c r="M76" s="71"/>
      <c r="N76" s="71"/>
      <c r="O76" s="71"/>
      <c r="P76" s="71" t="s">
        <v>275</v>
      </c>
      <c r="Q76" s="88">
        <v>2.8110050978075798E-2</v>
      </c>
      <c r="R76" s="89" t="s">
        <v>276</v>
      </c>
      <c r="S76" s="89"/>
      <c r="T76">
        <v>8.9</v>
      </c>
      <c r="U76" s="76">
        <v>0.2</v>
      </c>
      <c r="V76">
        <v>9.6</v>
      </c>
      <c r="W76" s="90">
        <v>0.1</v>
      </c>
      <c r="X76" s="90"/>
      <c r="Y76" s="71"/>
      <c r="Z76" s="71"/>
      <c r="AA76" s="71"/>
      <c r="AB76" s="71"/>
      <c r="AC76" s="71"/>
      <c r="AD76" s="71"/>
      <c r="AE76" s="71"/>
      <c r="AF76" s="71"/>
      <c r="AG76" s="82">
        <v>0</v>
      </c>
      <c r="AH76" s="76"/>
      <c r="AI76" s="76"/>
      <c r="AJ76" s="76"/>
      <c r="AK76" s="71">
        <v>0.15</v>
      </c>
      <c r="AL76" s="88">
        <v>3.4362770551863299E-2</v>
      </c>
      <c r="AM76" s="89">
        <f t="shared" si="1"/>
        <v>0.229085137012422</v>
      </c>
      <c r="AN76" s="78"/>
    </row>
    <row r="77" spans="1:40" x14ac:dyDescent="0.25">
      <c r="A77" t="s">
        <v>44</v>
      </c>
      <c r="B77" t="s">
        <v>45</v>
      </c>
      <c r="C77" s="121" t="s">
        <v>174</v>
      </c>
      <c r="D77" t="s">
        <v>175</v>
      </c>
      <c r="E77" t="s">
        <v>57</v>
      </c>
      <c r="F77">
        <v>1</v>
      </c>
      <c r="G77">
        <v>73</v>
      </c>
      <c r="H77" s="86">
        <v>45963.4581618866</v>
      </c>
      <c r="I77" s="86">
        <v>45963.530351944399</v>
      </c>
      <c r="J77" s="87">
        <v>1.73256138888889</v>
      </c>
      <c r="K77" s="69" t="s">
        <v>274</v>
      </c>
      <c r="L77" s="69"/>
      <c r="M77" s="71"/>
      <c r="N77" s="71"/>
      <c r="O77" s="71"/>
      <c r="P77" s="71" t="s">
        <v>275</v>
      </c>
      <c r="Q77" s="88">
        <v>6.38382832851737E-2</v>
      </c>
      <c r="R77" s="89" t="s">
        <v>276</v>
      </c>
      <c r="S77" s="89"/>
      <c r="T77">
        <v>10.8</v>
      </c>
      <c r="U77" s="76">
        <v>0.2</v>
      </c>
      <c r="V77">
        <v>9.6</v>
      </c>
      <c r="W77" s="90">
        <v>0.1</v>
      </c>
      <c r="X77" s="90"/>
      <c r="Y77" s="71"/>
      <c r="Z77" s="71"/>
      <c r="AA77" s="71"/>
      <c r="AB77" s="71"/>
      <c r="AC77" s="71"/>
      <c r="AD77" s="71"/>
      <c r="AE77" s="71"/>
      <c r="AF77" s="71"/>
      <c r="AG77" s="82">
        <v>0</v>
      </c>
      <c r="AH77" s="76"/>
      <c r="AI77" s="76"/>
      <c r="AJ77" s="76"/>
      <c r="AK77" s="71">
        <v>0.15</v>
      </c>
      <c r="AL77" s="88">
        <v>3.4362770551863299E-2</v>
      </c>
      <c r="AM77" s="89">
        <f t="shared" si="1"/>
        <v>0.229085137012422</v>
      </c>
      <c r="AN77" s="78"/>
    </row>
    <row r="78" spans="1:40" x14ac:dyDescent="0.25">
      <c r="A78" t="s">
        <v>44</v>
      </c>
      <c r="B78" t="s">
        <v>45</v>
      </c>
      <c r="C78" s="121" t="s">
        <v>174</v>
      </c>
      <c r="D78" t="s">
        <v>175</v>
      </c>
      <c r="E78" t="s">
        <v>57</v>
      </c>
      <c r="F78">
        <v>1</v>
      </c>
      <c r="G78">
        <v>74</v>
      </c>
      <c r="H78" s="86">
        <v>45963.530351944399</v>
      </c>
      <c r="I78" s="86">
        <v>45963.602527905103</v>
      </c>
      <c r="J78" s="87">
        <v>1.73222305555556</v>
      </c>
      <c r="K78" s="69" t="s">
        <v>274</v>
      </c>
      <c r="L78" s="69"/>
      <c r="M78" s="71"/>
      <c r="N78" s="71"/>
      <c r="O78" s="71"/>
      <c r="P78" s="71" t="s">
        <v>275</v>
      </c>
      <c r="Q78" s="88">
        <v>4.9709390493027403E-2</v>
      </c>
      <c r="R78" s="89" t="s">
        <v>276</v>
      </c>
      <c r="S78" s="89"/>
      <c r="T78">
        <v>12.8</v>
      </c>
      <c r="U78" s="76">
        <v>0.2</v>
      </c>
      <c r="V78">
        <v>9.8000000000000007</v>
      </c>
      <c r="W78" s="90">
        <v>0.1</v>
      </c>
      <c r="X78" s="90"/>
      <c r="Y78" s="71"/>
      <c r="Z78" s="71"/>
      <c r="AA78" s="71"/>
      <c r="AB78" s="71"/>
      <c r="AC78" s="71"/>
      <c r="AD78" s="71"/>
      <c r="AE78" s="71"/>
      <c r="AF78" s="71"/>
      <c r="AG78" s="82">
        <v>0.2</v>
      </c>
      <c r="AH78" s="76"/>
      <c r="AI78" s="76"/>
      <c r="AJ78" s="76"/>
      <c r="AK78" s="71">
        <v>0.15</v>
      </c>
      <c r="AL78" s="88">
        <v>3.4362770551863299E-2</v>
      </c>
      <c r="AM78" s="89">
        <f t="shared" si="1"/>
        <v>0.229085137012422</v>
      </c>
      <c r="AN78" s="78"/>
    </row>
    <row r="79" spans="1:40" x14ac:dyDescent="0.25">
      <c r="A79" t="s">
        <v>44</v>
      </c>
      <c r="B79" t="s">
        <v>45</v>
      </c>
      <c r="C79" s="121" t="s">
        <v>174</v>
      </c>
      <c r="D79" t="s">
        <v>175</v>
      </c>
      <c r="E79" t="s">
        <v>57</v>
      </c>
      <c r="F79">
        <v>1</v>
      </c>
      <c r="G79">
        <v>75</v>
      </c>
      <c r="H79" s="86">
        <v>45963.602527905103</v>
      </c>
      <c r="I79" s="86">
        <v>45963.674705613397</v>
      </c>
      <c r="J79" s="87">
        <v>1.7322649999999999</v>
      </c>
      <c r="K79" s="69" t="s">
        <v>274</v>
      </c>
      <c r="L79" s="69"/>
      <c r="M79" s="71"/>
      <c r="N79" s="71"/>
      <c r="O79" s="71"/>
      <c r="P79" s="71" t="s">
        <v>275</v>
      </c>
      <c r="Q79" s="88">
        <v>4.28381501785354E-2</v>
      </c>
      <c r="R79" s="89" t="s">
        <v>276</v>
      </c>
      <c r="S79" s="89"/>
      <c r="T79">
        <v>12.2</v>
      </c>
      <c r="U79" s="76">
        <v>0.2</v>
      </c>
      <c r="V79">
        <v>9.9</v>
      </c>
      <c r="W79" s="90">
        <v>0.1</v>
      </c>
      <c r="X79" s="90"/>
      <c r="Y79" s="71"/>
      <c r="Z79" s="71"/>
      <c r="AA79" s="71"/>
      <c r="AB79" s="71"/>
      <c r="AC79" s="71"/>
      <c r="AD79" s="71"/>
      <c r="AE79" s="71"/>
      <c r="AF79" s="71"/>
      <c r="AG79" s="82">
        <v>0</v>
      </c>
      <c r="AH79" s="76"/>
      <c r="AI79" s="76"/>
      <c r="AJ79" s="76"/>
      <c r="AK79" s="71">
        <v>0.15</v>
      </c>
      <c r="AL79" s="88">
        <v>3.4362770551863299E-2</v>
      </c>
      <c r="AM79" s="89">
        <f t="shared" si="1"/>
        <v>0.229085137012422</v>
      </c>
      <c r="AN79" s="78"/>
    </row>
    <row r="80" spans="1:40" x14ac:dyDescent="0.25">
      <c r="A80" t="s">
        <v>44</v>
      </c>
      <c r="B80" t="s">
        <v>45</v>
      </c>
      <c r="C80" s="121" t="s">
        <v>174</v>
      </c>
      <c r="D80" t="s">
        <v>175</v>
      </c>
      <c r="E80" t="s">
        <v>57</v>
      </c>
      <c r="F80">
        <v>1</v>
      </c>
      <c r="G80">
        <v>76</v>
      </c>
      <c r="H80" s="86">
        <v>45963.674705613397</v>
      </c>
      <c r="I80" s="86">
        <v>45963.746900705999</v>
      </c>
      <c r="J80" s="87">
        <v>1.73268222222222</v>
      </c>
      <c r="K80" s="69" t="s">
        <v>274</v>
      </c>
      <c r="L80" s="69"/>
      <c r="M80" s="71"/>
      <c r="N80" s="71"/>
      <c r="O80" s="71"/>
      <c r="P80" s="71" t="s">
        <v>275</v>
      </c>
      <c r="Q80" s="88">
        <v>2.3742149710852901E-2</v>
      </c>
      <c r="R80" s="89" t="s">
        <v>276</v>
      </c>
      <c r="S80" s="89"/>
      <c r="T80">
        <v>9.1999999999999993</v>
      </c>
      <c r="U80" s="76">
        <v>0.2</v>
      </c>
      <c r="V80">
        <v>10.1</v>
      </c>
      <c r="W80" s="90">
        <v>0.1</v>
      </c>
      <c r="X80" s="90"/>
      <c r="Y80" s="71"/>
      <c r="Z80" s="71"/>
      <c r="AA80" s="71"/>
      <c r="AB80" s="71"/>
      <c r="AC80" s="71"/>
      <c r="AD80" s="71"/>
      <c r="AE80" s="71"/>
      <c r="AF80" s="71"/>
      <c r="AG80" s="82">
        <v>0</v>
      </c>
      <c r="AH80" s="76"/>
      <c r="AI80" s="76"/>
      <c r="AJ80" s="76"/>
      <c r="AK80" s="71">
        <v>0.15</v>
      </c>
      <c r="AL80" s="88">
        <v>3.4362770551863299E-2</v>
      </c>
      <c r="AM80" s="89">
        <f t="shared" si="1"/>
        <v>0.229085137012422</v>
      </c>
      <c r="AN80" s="78"/>
    </row>
    <row r="81" spans="1:40" x14ac:dyDescent="0.25">
      <c r="A81" t="s">
        <v>44</v>
      </c>
      <c r="B81" t="s">
        <v>45</v>
      </c>
      <c r="C81" s="121" t="s">
        <v>174</v>
      </c>
      <c r="D81" t="s">
        <v>175</v>
      </c>
      <c r="E81" t="s">
        <v>57</v>
      </c>
      <c r="F81">
        <v>1</v>
      </c>
      <c r="G81">
        <v>77</v>
      </c>
      <c r="H81" s="86">
        <v>45963.746900705999</v>
      </c>
      <c r="I81" s="86">
        <v>45963.819083865703</v>
      </c>
      <c r="J81" s="87">
        <v>1.73239583333333</v>
      </c>
      <c r="K81" s="69" t="s">
        <v>274</v>
      </c>
      <c r="L81" s="69"/>
      <c r="M81" s="71"/>
      <c r="N81" s="71"/>
      <c r="O81" s="71"/>
      <c r="P81" s="71" t="s">
        <v>275</v>
      </c>
      <c r="Q81" s="88">
        <v>8.1545018397684507E-3</v>
      </c>
      <c r="R81" s="89" t="s">
        <v>276</v>
      </c>
      <c r="S81" s="89"/>
      <c r="T81">
        <v>5</v>
      </c>
      <c r="U81" s="76">
        <v>0.2</v>
      </c>
      <c r="V81">
        <v>10.1</v>
      </c>
      <c r="W81" s="90">
        <v>0.1</v>
      </c>
      <c r="X81" s="90"/>
      <c r="Y81" s="71"/>
      <c r="Z81" s="71"/>
      <c r="AA81" s="71"/>
      <c r="AB81" s="71"/>
      <c r="AC81" s="71"/>
      <c r="AD81" s="71"/>
      <c r="AE81" s="71"/>
      <c r="AF81" s="71"/>
      <c r="AG81" s="82">
        <v>0</v>
      </c>
      <c r="AH81" s="76"/>
      <c r="AI81" s="76"/>
      <c r="AJ81" s="76"/>
      <c r="AK81" s="71">
        <v>0.15</v>
      </c>
      <c r="AL81" s="88">
        <v>3.4362770551863299E-2</v>
      </c>
      <c r="AM81" s="89">
        <f t="shared" si="1"/>
        <v>0.229085137012422</v>
      </c>
      <c r="AN81" s="78"/>
    </row>
    <row r="82" spans="1:40" x14ac:dyDescent="0.25">
      <c r="A82" t="s">
        <v>44</v>
      </c>
      <c r="B82" t="s">
        <v>45</v>
      </c>
      <c r="C82" s="121" t="s">
        <v>174</v>
      </c>
      <c r="D82" t="s">
        <v>175</v>
      </c>
      <c r="E82" t="s">
        <v>57</v>
      </c>
      <c r="F82">
        <v>1</v>
      </c>
      <c r="G82">
        <v>78</v>
      </c>
      <c r="H82" s="86">
        <v>45963.819083865703</v>
      </c>
      <c r="I82" s="86">
        <v>45963.891272881898</v>
      </c>
      <c r="J82" s="87">
        <v>1.7325363888888901</v>
      </c>
      <c r="K82" s="69" t="s">
        <v>274</v>
      </c>
      <c r="L82" s="69"/>
      <c r="M82" s="71"/>
      <c r="N82" s="71"/>
      <c r="O82" s="71"/>
      <c r="P82" s="71" t="s">
        <v>275</v>
      </c>
      <c r="Q82" s="88">
        <v>7.56385614086058E-3</v>
      </c>
      <c r="R82" s="89" t="s">
        <v>276</v>
      </c>
      <c r="S82" s="89"/>
      <c r="T82">
        <v>6.4</v>
      </c>
      <c r="U82" s="76">
        <v>0.2</v>
      </c>
      <c r="V82">
        <v>9.9</v>
      </c>
      <c r="W82" s="90">
        <v>0.1</v>
      </c>
      <c r="X82" s="90"/>
      <c r="Y82" s="71"/>
      <c r="Z82" s="71"/>
      <c r="AA82" s="71"/>
      <c r="AB82" s="71"/>
      <c r="AC82" s="71"/>
      <c r="AD82" s="71"/>
      <c r="AE82" s="71"/>
      <c r="AF82" s="71"/>
      <c r="AG82" s="82">
        <v>0</v>
      </c>
      <c r="AH82" s="76"/>
      <c r="AI82" s="76"/>
      <c r="AJ82" s="76"/>
      <c r="AK82" s="71">
        <v>0.15</v>
      </c>
      <c r="AL82" s="88">
        <v>3.4362770551863299E-2</v>
      </c>
      <c r="AM82" s="89">
        <f t="shared" si="1"/>
        <v>0.229085137012422</v>
      </c>
      <c r="AN82" s="78"/>
    </row>
    <row r="83" spans="1:40" x14ac:dyDescent="0.25">
      <c r="A83" t="s">
        <v>44</v>
      </c>
      <c r="B83" t="s">
        <v>45</v>
      </c>
      <c r="C83" s="121" t="s">
        <v>174</v>
      </c>
      <c r="D83" t="s">
        <v>175</v>
      </c>
      <c r="E83" t="s">
        <v>57</v>
      </c>
      <c r="F83">
        <v>1</v>
      </c>
      <c r="G83">
        <v>79</v>
      </c>
      <c r="H83" s="86">
        <v>45963.891272881898</v>
      </c>
      <c r="I83" s="86">
        <v>45963.963453750002</v>
      </c>
      <c r="J83" s="87">
        <v>1.7323408333333301</v>
      </c>
      <c r="K83" s="69" t="s">
        <v>274</v>
      </c>
      <c r="L83" s="69"/>
      <c r="M83" s="71"/>
      <c r="N83" s="71"/>
      <c r="O83" s="71"/>
      <c r="P83" s="71" t="s">
        <v>275</v>
      </c>
      <c r="Q83" s="88">
        <v>5.8176826242506401E-3</v>
      </c>
      <c r="R83" s="89" t="s">
        <v>276</v>
      </c>
      <c r="S83" s="89"/>
      <c r="T83">
        <v>7.2</v>
      </c>
      <c r="U83" s="76">
        <v>0.2</v>
      </c>
      <c r="V83">
        <v>9.8000000000000007</v>
      </c>
      <c r="W83" s="90">
        <v>0.1</v>
      </c>
      <c r="X83" s="90"/>
      <c r="Y83" s="71"/>
      <c r="Z83" s="71"/>
      <c r="AA83" s="71"/>
      <c r="AB83" s="71"/>
      <c r="AC83" s="71"/>
      <c r="AD83" s="71"/>
      <c r="AE83" s="71"/>
      <c r="AF83" s="71"/>
      <c r="AG83" s="82">
        <v>0</v>
      </c>
      <c r="AH83" s="76"/>
      <c r="AI83" s="76"/>
      <c r="AJ83" s="76"/>
      <c r="AK83" s="71">
        <v>0.15</v>
      </c>
      <c r="AL83" s="88">
        <v>3.4362770551863299E-2</v>
      </c>
      <c r="AM83" s="89">
        <f t="shared" si="1"/>
        <v>0.229085137012422</v>
      </c>
      <c r="AN83" s="78"/>
    </row>
    <row r="84" spans="1:40" x14ac:dyDescent="0.25">
      <c r="A84" t="s">
        <v>44</v>
      </c>
      <c r="B84" t="s">
        <v>45</v>
      </c>
      <c r="C84" s="121" t="s">
        <v>174</v>
      </c>
      <c r="D84" t="s">
        <v>175</v>
      </c>
      <c r="E84" t="s">
        <v>57</v>
      </c>
      <c r="F84">
        <v>1</v>
      </c>
      <c r="G84">
        <v>80</v>
      </c>
      <c r="H84" s="86">
        <v>45963.963453750002</v>
      </c>
      <c r="I84" s="86">
        <v>45964.035639918999</v>
      </c>
      <c r="J84" s="87">
        <v>1.73246805555556</v>
      </c>
      <c r="K84" s="69" t="s">
        <v>274</v>
      </c>
      <c r="L84" s="69"/>
      <c r="M84" s="71"/>
      <c r="N84" s="71"/>
      <c r="O84" s="71"/>
      <c r="P84" s="71" t="s">
        <v>275</v>
      </c>
      <c r="Q84" s="88">
        <v>6.2237828460508298E-3</v>
      </c>
      <c r="R84" s="89" t="s">
        <v>276</v>
      </c>
      <c r="S84" s="89"/>
      <c r="T84">
        <v>6.6</v>
      </c>
      <c r="U84" s="76">
        <v>0.2</v>
      </c>
      <c r="V84">
        <v>9.6999999999999993</v>
      </c>
      <c r="W84" s="90">
        <v>0.1</v>
      </c>
      <c r="X84" s="90"/>
      <c r="Y84" s="71"/>
      <c r="Z84" s="71"/>
      <c r="AA84" s="71"/>
      <c r="AB84" s="71"/>
      <c r="AC84" s="71"/>
      <c r="AD84" s="71"/>
      <c r="AE84" s="71"/>
      <c r="AF84" s="71"/>
      <c r="AG84" s="82">
        <v>0</v>
      </c>
      <c r="AH84" s="76"/>
      <c r="AI84" s="76"/>
      <c r="AJ84" s="76"/>
      <c r="AK84" s="71">
        <v>0.15</v>
      </c>
      <c r="AL84" s="88">
        <v>3.4362770551863299E-2</v>
      </c>
      <c r="AM84" s="89">
        <f t="shared" si="1"/>
        <v>0.229085137012422</v>
      </c>
      <c r="AN84" s="78"/>
    </row>
    <row r="85" spans="1:40" x14ac:dyDescent="0.25">
      <c r="A85" t="s">
        <v>44</v>
      </c>
      <c r="B85" t="s">
        <v>45</v>
      </c>
      <c r="C85" s="121" t="s">
        <v>174</v>
      </c>
      <c r="D85" t="s">
        <v>175</v>
      </c>
      <c r="E85" t="s">
        <v>57</v>
      </c>
      <c r="F85">
        <v>1</v>
      </c>
      <c r="G85">
        <v>81</v>
      </c>
      <c r="H85" s="86">
        <v>45964.035639918999</v>
      </c>
      <c r="I85" s="86">
        <v>45964.107822013902</v>
      </c>
      <c r="J85" s="87">
        <v>1.7323702777777801</v>
      </c>
      <c r="K85" s="69" t="s">
        <v>274</v>
      </c>
      <c r="L85" s="69"/>
      <c r="M85" s="71"/>
      <c r="N85" s="71"/>
      <c r="O85" s="71"/>
      <c r="P85" s="71" t="s">
        <v>275</v>
      </c>
      <c r="Q85" s="88">
        <v>7.1095882788703296E-3</v>
      </c>
      <c r="R85" s="89" t="s">
        <v>276</v>
      </c>
      <c r="S85" s="89"/>
      <c r="T85">
        <v>6.9</v>
      </c>
      <c r="U85" s="76">
        <v>0.2</v>
      </c>
      <c r="V85">
        <v>9.5</v>
      </c>
      <c r="W85" s="90">
        <v>0.1</v>
      </c>
      <c r="X85" s="90"/>
      <c r="Y85" s="71"/>
      <c r="Z85" s="71"/>
      <c r="AA85" s="71"/>
      <c r="AB85" s="71"/>
      <c r="AC85" s="71"/>
      <c r="AD85" s="71"/>
      <c r="AE85" s="71"/>
      <c r="AF85" s="71"/>
      <c r="AG85" s="82">
        <v>0</v>
      </c>
      <c r="AH85" s="76"/>
      <c r="AI85" s="76"/>
      <c r="AJ85" s="76"/>
      <c r="AK85" s="71">
        <v>0.15</v>
      </c>
      <c r="AL85" s="88">
        <v>3.4362770551863299E-2</v>
      </c>
      <c r="AM85" s="89">
        <f t="shared" si="1"/>
        <v>0.229085137012422</v>
      </c>
      <c r="AN85" s="78"/>
    </row>
    <row r="86" spans="1:40" x14ac:dyDescent="0.25">
      <c r="A86" t="s">
        <v>44</v>
      </c>
      <c r="B86" t="s">
        <v>45</v>
      </c>
      <c r="C86" s="121" t="s">
        <v>174</v>
      </c>
      <c r="D86" t="s">
        <v>175</v>
      </c>
      <c r="E86" t="s">
        <v>57</v>
      </c>
      <c r="F86">
        <v>1</v>
      </c>
      <c r="G86">
        <v>82</v>
      </c>
      <c r="H86" s="86">
        <v>45964.107822013902</v>
      </c>
      <c r="I86" s="86">
        <v>45964.179997557898</v>
      </c>
      <c r="J86" s="87">
        <v>1.7322130555555599</v>
      </c>
      <c r="K86" s="69" t="s">
        <v>274</v>
      </c>
      <c r="L86" s="69"/>
      <c r="M86" s="71"/>
      <c r="N86" s="71"/>
      <c r="O86" s="71"/>
      <c r="P86" s="71" t="s">
        <v>275</v>
      </c>
      <c r="Q86" s="88">
        <v>8.6399169670702304E-3</v>
      </c>
      <c r="R86" s="89" t="s">
        <v>276</v>
      </c>
      <c r="S86" s="89"/>
      <c r="T86">
        <v>6.7</v>
      </c>
      <c r="U86" s="76">
        <v>0.2</v>
      </c>
      <c r="V86">
        <v>9.5</v>
      </c>
      <c r="W86" s="90">
        <v>0.1</v>
      </c>
      <c r="X86" s="90"/>
      <c r="Y86" s="71"/>
      <c r="Z86" s="71"/>
      <c r="AA86" s="71"/>
      <c r="AB86" s="71"/>
      <c r="AC86" s="71"/>
      <c r="AD86" s="71"/>
      <c r="AE86" s="71"/>
      <c r="AF86" s="71"/>
      <c r="AG86" s="82">
        <v>0</v>
      </c>
      <c r="AH86" s="76"/>
      <c r="AI86" s="76"/>
      <c r="AJ86" s="76"/>
      <c r="AK86" s="71">
        <v>0.15</v>
      </c>
      <c r="AL86" s="88">
        <v>3.4362770551863299E-2</v>
      </c>
      <c r="AM86" s="89">
        <f t="shared" si="1"/>
        <v>0.229085137012422</v>
      </c>
      <c r="AN86" s="78"/>
    </row>
    <row r="87" spans="1:40" x14ac:dyDescent="0.25">
      <c r="A87" t="s">
        <v>44</v>
      </c>
      <c r="B87" t="s">
        <v>45</v>
      </c>
      <c r="C87" s="121" t="s">
        <v>174</v>
      </c>
      <c r="D87" t="s">
        <v>175</v>
      </c>
      <c r="E87" t="s">
        <v>57</v>
      </c>
      <c r="F87">
        <v>1</v>
      </c>
      <c r="G87">
        <v>83</v>
      </c>
      <c r="H87" s="86">
        <v>45964.179997557898</v>
      </c>
      <c r="I87" s="86">
        <v>45964.252191377302</v>
      </c>
      <c r="J87" s="87">
        <v>1.73265166666667</v>
      </c>
      <c r="K87" s="69" t="s">
        <v>274</v>
      </c>
      <c r="L87" s="69"/>
      <c r="M87" s="71"/>
      <c r="N87" s="71"/>
      <c r="O87" s="71"/>
      <c r="P87" s="71" t="s">
        <v>275</v>
      </c>
      <c r="Q87" s="88">
        <v>7.8583498978802308E-3</v>
      </c>
      <c r="R87" s="89" t="s">
        <v>276</v>
      </c>
      <c r="S87" s="89"/>
      <c r="T87">
        <v>6.1</v>
      </c>
      <c r="U87" s="76">
        <v>0.2</v>
      </c>
      <c r="V87">
        <v>9.4</v>
      </c>
      <c r="W87" s="90">
        <v>0.1</v>
      </c>
      <c r="X87" s="90"/>
      <c r="Y87" s="71"/>
      <c r="Z87" s="71"/>
      <c r="AA87" s="71"/>
      <c r="AB87" s="71"/>
      <c r="AC87" s="71"/>
      <c r="AD87" s="71"/>
      <c r="AE87" s="71"/>
      <c r="AF87" s="71"/>
      <c r="AG87" s="82">
        <v>0</v>
      </c>
      <c r="AH87" s="76"/>
      <c r="AI87" s="76"/>
      <c r="AJ87" s="76"/>
      <c r="AK87" s="71">
        <v>0.15</v>
      </c>
      <c r="AL87" s="88">
        <v>3.4362770551863299E-2</v>
      </c>
      <c r="AM87" s="89">
        <f t="shared" si="1"/>
        <v>0.229085137012422</v>
      </c>
      <c r="AN87" s="78"/>
    </row>
    <row r="88" spans="1:40" x14ac:dyDescent="0.25">
      <c r="A88" t="s">
        <v>44</v>
      </c>
      <c r="B88" t="s">
        <v>45</v>
      </c>
      <c r="C88" s="121" t="s">
        <v>174</v>
      </c>
      <c r="D88" t="s">
        <v>175</v>
      </c>
      <c r="E88" t="s">
        <v>57</v>
      </c>
      <c r="F88">
        <v>1</v>
      </c>
      <c r="G88">
        <v>84</v>
      </c>
      <c r="H88" s="86">
        <v>45964.252191377302</v>
      </c>
      <c r="I88" s="86">
        <v>45964.324366238397</v>
      </c>
      <c r="J88" s="87">
        <v>1.7321966666666699</v>
      </c>
      <c r="K88" s="69" t="s">
        <v>274</v>
      </c>
      <c r="L88" s="69"/>
      <c r="M88" s="71"/>
      <c r="N88" s="71"/>
      <c r="O88" s="71"/>
      <c r="P88" s="71" t="s">
        <v>275</v>
      </c>
      <c r="Q88" s="88">
        <v>1.0097153529651799E-2</v>
      </c>
      <c r="R88" s="89" t="s">
        <v>276</v>
      </c>
      <c r="S88" s="89"/>
      <c r="T88">
        <v>6.6</v>
      </c>
      <c r="U88" s="76">
        <v>0.2</v>
      </c>
      <c r="V88">
        <v>9.3000000000000007</v>
      </c>
      <c r="W88" s="90">
        <v>0.1</v>
      </c>
      <c r="X88" s="90"/>
      <c r="Y88" s="71"/>
      <c r="Z88" s="71"/>
      <c r="AA88" s="71"/>
      <c r="AB88" s="71"/>
      <c r="AC88" s="71"/>
      <c r="AD88" s="71"/>
      <c r="AE88" s="71"/>
      <c r="AF88" s="71"/>
      <c r="AG88" s="82">
        <v>0</v>
      </c>
      <c r="AH88" s="76"/>
      <c r="AI88" s="76"/>
      <c r="AJ88" s="76"/>
      <c r="AK88" s="71">
        <v>0.15</v>
      </c>
      <c r="AL88" s="88">
        <v>3.4362770551863299E-2</v>
      </c>
      <c r="AM88" s="89">
        <f t="shared" si="1"/>
        <v>0.229085137012422</v>
      </c>
      <c r="AN88" s="78"/>
    </row>
    <row r="89" spans="1:40" x14ac:dyDescent="0.25">
      <c r="A89" t="s">
        <v>44</v>
      </c>
      <c r="B89" t="s">
        <v>45</v>
      </c>
      <c r="C89" s="121" t="s">
        <v>174</v>
      </c>
      <c r="D89" t="s">
        <v>175</v>
      </c>
      <c r="E89" t="s">
        <v>57</v>
      </c>
      <c r="F89">
        <v>1</v>
      </c>
      <c r="G89">
        <v>85</v>
      </c>
      <c r="H89" s="86">
        <v>45964.324366238397</v>
      </c>
      <c r="I89" s="86">
        <v>45964.396548784702</v>
      </c>
      <c r="J89" s="87">
        <v>1.73238111111111</v>
      </c>
      <c r="K89" s="69" t="s">
        <v>274</v>
      </c>
      <c r="L89" s="69"/>
      <c r="M89" s="71"/>
      <c r="N89" s="71"/>
      <c r="O89" s="71"/>
      <c r="P89" s="71" t="s">
        <v>275</v>
      </c>
      <c r="Q89" s="88">
        <v>6.7058860667897797E-3</v>
      </c>
      <c r="R89" s="89" t="s">
        <v>276</v>
      </c>
      <c r="S89" s="89"/>
      <c r="T89">
        <v>6</v>
      </c>
      <c r="U89" s="76">
        <v>0.2</v>
      </c>
      <c r="V89">
        <v>9.1999999999999993</v>
      </c>
      <c r="W89" s="90">
        <v>0.1</v>
      </c>
      <c r="X89" s="90"/>
      <c r="Y89" s="71"/>
      <c r="Z89" s="71"/>
      <c r="AA89" s="71"/>
      <c r="AB89" s="71"/>
      <c r="AC89" s="71"/>
      <c r="AD89" s="71"/>
      <c r="AE89" s="71"/>
      <c r="AF89" s="71"/>
      <c r="AG89" s="82">
        <v>0</v>
      </c>
      <c r="AH89" s="76"/>
      <c r="AI89" s="76"/>
      <c r="AJ89" s="76"/>
      <c r="AK89" s="71">
        <v>0.15</v>
      </c>
      <c r="AL89" s="88">
        <v>3.4362770551863299E-2</v>
      </c>
      <c r="AM89" s="89">
        <f t="shared" si="1"/>
        <v>0.229085137012422</v>
      </c>
      <c r="AN89" s="78"/>
    </row>
    <row r="90" spans="1:40" x14ac:dyDescent="0.25">
      <c r="A90" t="s">
        <v>44</v>
      </c>
      <c r="B90" t="s">
        <v>45</v>
      </c>
      <c r="C90" s="121" t="s">
        <v>174</v>
      </c>
      <c r="D90" t="s">
        <v>175</v>
      </c>
      <c r="E90" t="s">
        <v>57</v>
      </c>
      <c r="F90">
        <v>1</v>
      </c>
      <c r="G90">
        <v>86</v>
      </c>
      <c r="H90" s="86">
        <v>45964.396548784702</v>
      </c>
      <c r="I90" s="86">
        <v>45964.468743437501</v>
      </c>
      <c r="J90" s="87">
        <v>1.7326716666666699</v>
      </c>
      <c r="K90" s="69" t="s">
        <v>274</v>
      </c>
      <c r="L90" s="69"/>
      <c r="M90" s="71"/>
      <c r="N90" s="71"/>
      <c r="O90" s="71"/>
      <c r="P90" s="71" t="s">
        <v>275</v>
      </c>
      <c r="Q90" s="88">
        <v>3.91931072881406E-2</v>
      </c>
      <c r="R90" s="89" t="s">
        <v>276</v>
      </c>
      <c r="S90" s="89"/>
      <c r="T90">
        <v>9.3000000000000007</v>
      </c>
      <c r="U90" s="76">
        <v>0.2</v>
      </c>
      <c r="V90">
        <v>9.1999999999999993</v>
      </c>
      <c r="W90" s="90">
        <v>0.1</v>
      </c>
      <c r="X90" s="90"/>
      <c r="Y90" s="71"/>
      <c r="Z90" s="71"/>
      <c r="AA90" s="71"/>
      <c r="AB90" s="71"/>
      <c r="AC90" s="71"/>
      <c r="AD90" s="71"/>
      <c r="AE90" s="71"/>
      <c r="AF90" s="71"/>
      <c r="AG90" s="82">
        <v>0</v>
      </c>
      <c r="AH90" s="76"/>
      <c r="AI90" s="76"/>
      <c r="AJ90" s="76"/>
      <c r="AK90" s="71">
        <v>0.15</v>
      </c>
      <c r="AL90" s="88">
        <v>3.4362770551863299E-2</v>
      </c>
      <c r="AM90" s="89">
        <f t="shared" si="1"/>
        <v>0.229085137012422</v>
      </c>
      <c r="AN90" s="78"/>
    </row>
    <row r="91" spans="1:40" x14ac:dyDescent="0.25">
      <c r="A91" t="s">
        <v>44</v>
      </c>
      <c r="B91" t="s">
        <v>45</v>
      </c>
      <c r="C91" s="121" t="s">
        <v>174</v>
      </c>
      <c r="D91" t="s">
        <v>175</v>
      </c>
      <c r="E91" t="s">
        <v>57</v>
      </c>
      <c r="F91">
        <v>1</v>
      </c>
      <c r="G91">
        <v>87</v>
      </c>
      <c r="H91" s="86">
        <v>45964.468743437501</v>
      </c>
      <c r="I91" s="86">
        <v>45964.540929467599</v>
      </c>
      <c r="J91" s="87">
        <v>1.73246472222222</v>
      </c>
      <c r="K91" s="69" t="s">
        <v>274</v>
      </c>
      <c r="L91" s="69"/>
      <c r="M91" s="71"/>
      <c r="N91" s="71"/>
      <c r="O91" s="71"/>
      <c r="P91" s="71" t="s">
        <v>275</v>
      </c>
      <c r="Q91" s="88">
        <v>4.9376050608834501E-2</v>
      </c>
      <c r="R91" s="89" t="s">
        <v>276</v>
      </c>
      <c r="S91" s="89"/>
      <c r="T91">
        <v>10.4</v>
      </c>
      <c r="U91" s="76">
        <v>0.2</v>
      </c>
      <c r="V91">
        <v>9.1999999999999993</v>
      </c>
      <c r="W91" s="90">
        <v>0.1</v>
      </c>
      <c r="X91" s="90"/>
      <c r="Y91" s="71"/>
      <c r="Z91" s="71"/>
      <c r="AA91" s="71"/>
      <c r="AB91" s="71"/>
      <c r="AC91" s="71"/>
      <c r="AD91" s="71"/>
      <c r="AE91" s="71"/>
      <c r="AF91" s="71"/>
      <c r="AG91" s="82">
        <v>0</v>
      </c>
      <c r="AH91" s="76"/>
      <c r="AI91" s="76"/>
      <c r="AJ91" s="76"/>
      <c r="AK91" s="71">
        <v>0.15</v>
      </c>
      <c r="AL91" s="88">
        <v>3.4362770551863299E-2</v>
      </c>
      <c r="AM91" s="89">
        <f t="shared" si="1"/>
        <v>0.229085137012422</v>
      </c>
      <c r="AN91" s="78"/>
    </row>
    <row r="92" spans="1:40" x14ac:dyDescent="0.25">
      <c r="A92" t="s">
        <v>44</v>
      </c>
      <c r="B92" t="s">
        <v>45</v>
      </c>
      <c r="C92" s="121" t="s">
        <v>174</v>
      </c>
      <c r="D92" t="s">
        <v>175</v>
      </c>
      <c r="E92" t="s">
        <v>57</v>
      </c>
      <c r="F92">
        <v>1</v>
      </c>
      <c r="G92">
        <v>88</v>
      </c>
      <c r="H92" s="86">
        <v>45964.540929467599</v>
      </c>
      <c r="I92" s="86">
        <v>45964.613097349502</v>
      </c>
      <c r="J92" s="87">
        <v>1.7320291666666701</v>
      </c>
      <c r="K92" s="69" t="s">
        <v>274</v>
      </c>
      <c r="L92" s="69"/>
      <c r="M92" s="71"/>
      <c r="N92" s="71"/>
      <c r="O92" s="71"/>
      <c r="P92" s="71" t="s">
        <v>275</v>
      </c>
      <c r="Q92" s="88">
        <v>4.2939181329276897E-2</v>
      </c>
      <c r="R92" s="89" t="s">
        <v>276</v>
      </c>
      <c r="S92" s="89"/>
      <c r="T92">
        <v>10.6</v>
      </c>
      <c r="U92" s="76">
        <v>0.2</v>
      </c>
      <c r="V92">
        <v>9.3000000000000007</v>
      </c>
      <c r="W92" s="90">
        <v>0.1</v>
      </c>
      <c r="X92" s="90"/>
      <c r="Y92" s="71"/>
      <c r="Z92" s="71"/>
      <c r="AA92" s="71"/>
      <c r="AB92" s="71"/>
      <c r="AC92" s="71"/>
      <c r="AD92" s="71"/>
      <c r="AE92" s="71"/>
      <c r="AF92" s="71"/>
      <c r="AG92" s="82">
        <v>0</v>
      </c>
      <c r="AH92" s="76"/>
      <c r="AI92" s="76"/>
      <c r="AJ92" s="76"/>
      <c r="AK92" s="71">
        <v>0.15</v>
      </c>
      <c r="AL92" s="88">
        <v>3.4362770551863299E-2</v>
      </c>
      <c r="AM92" s="89">
        <f t="shared" si="1"/>
        <v>0.229085137012422</v>
      </c>
      <c r="AN92" s="78"/>
    </row>
    <row r="93" spans="1:40" x14ac:dyDescent="0.25">
      <c r="A93" t="s">
        <v>44</v>
      </c>
      <c r="B93" t="s">
        <v>45</v>
      </c>
      <c r="C93" s="121" t="s">
        <v>174</v>
      </c>
      <c r="D93" t="s">
        <v>175</v>
      </c>
      <c r="E93" t="s">
        <v>57</v>
      </c>
      <c r="F93">
        <v>1</v>
      </c>
      <c r="G93">
        <v>89</v>
      </c>
      <c r="H93" s="86">
        <v>45964.613097349502</v>
      </c>
      <c r="I93" s="86">
        <v>45964.6852845139</v>
      </c>
      <c r="J93" s="87">
        <v>1.73249194444444</v>
      </c>
      <c r="K93" s="69" t="s">
        <v>274</v>
      </c>
      <c r="L93" s="69"/>
      <c r="M93" s="71"/>
      <c r="N93" s="71"/>
      <c r="O93" s="71"/>
      <c r="P93" s="71" t="s">
        <v>275</v>
      </c>
      <c r="Q93" s="88">
        <v>1.7099269544414701E-2</v>
      </c>
      <c r="R93" s="89" t="s">
        <v>276</v>
      </c>
      <c r="S93" s="89"/>
      <c r="T93">
        <v>9.6</v>
      </c>
      <c r="U93" s="76">
        <v>0.2</v>
      </c>
      <c r="V93">
        <v>9.5</v>
      </c>
      <c r="W93" s="90">
        <v>0.1</v>
      </c>
      <c r="X93" s="90"/>
      <c r="Y93" s="71"/>
      <c r="Z93" s="71"/>
      <c r="AA93" s="71"/>
      <c r="AB93" s="71"/>
      <c r="AC93" s="71"/>
      <c r="AD93" s="71"/>
      <c r="AE93" s="71"/>
      <c r="AF93" s="71"/>
      <c r="AG93" s="82">
        <v>1</v>
      </c>
      <c r="AH93" s="76"/>
      <c r="AI93" s="76"/>
      <c r="AJ93" s="76"/>
      <c r="AK93" s="71">
        <v>0.15</v>
      </c>
      <c r="AL93" s="88">
        <v>3.4362770551863299E-2</v>
      </c>
      <c r="AM93" s="89">
        <f t="shared" si="1"/>
        <v>0.229085137012422</v>
      </c>
      <c r="AN93" s="78"/>
    </row>
    <row r="94" spans="1:40" x14ac:dyDescent="0.25">
      <c r="A94" t="s">
        <v>44</v>
      </c>
      <c r="B94" t="s">
        <v>45</v>
      </c>
      <c r="C94" s="121" t="s">
        <v>174</v>
      </c>
      <c r="D94" t="s">
        <v>175</v>
      </c>
      <c r="E94" t="s">
        <v>57</v>
      </c>
      <c r="F94">
        <v>1</v>
      </c>
      <c r="G94">
        <v>90</v>
      </c>
      <c r="H94" s="86">
        <v>45964.6852845139</v>
      </c>
      <c r="I94" s="86">
        <v>45964.757477118103</v>
      </c>
      <c r="J94" s="87">
        <v>1.7326225</v>
      </c>
      <c r="K94" s="69" t="s">
        <v>274</v>
      </c>
      <c r="L94" s="69"/>
      <c r="M94" s="71"/>
      <c r="N94" s="71"/>
      <c r="O94" s="71"/>
      <c r="P94" s="71" t="s">
        <v>275</v>
      </c>
      <c r="Q94" s="88">
        <v>9.3343911962818892E-3</v>
      </c>
      <c r="R94" s="89" t="s">
        <v>276</v>
      </c>
      <c r="S94" s="89"/>
      <c r="T94">
        <v>9.3000000000000007</v>
      </c>
      <c r="U94" s="76">
        <v>0.2</v>
      </c>
      <c r="V94">
        <v>9.6</v>
      </c>
      <c r="W94" s="90">
        <v>0.1</v>
      </c>
      <c r="X94" s="90"/>
      <c r="Y94" s="71"/>
      <c r="Z94" s="71"/>
      <c r="AA94" s="71"/>
      <c r="AB94" s="71"/>
      <c r="AC94" s="71"/>
      <c r="AD94" s="71"/>
      <c r="AE94" s="71"/>
      <c r="AF94" s="71"/>
      <c r="AG94" s="82">
        <v>0.3</v>
      </c>
      <c r="AH94" s="76"/>
      <c r="AI94" s="76"/>
      <c r="AJ94" s="76"/>
      <c r="AK94" s="71">
        <v>0.15</v>
      </c>
      <c r="AL94" s="88">
        <v>3.4362770551863299E-2</v>
      </c>
      <c r="AM94" s="89">
        <f t="shared" si="1"/>
        <v>0.229085137012422</v>
      </c>
      <c r="AN94" s="78"/>
    </row>
    <row r="95" spans="1:40" x14ac:dyDescent="0.25">
      <c r="A95" t="s">
        <v>44</v>
      </c>
      <c r="B95" t="s">
        <v>45</v>
      </c>
      <c r="C95" s="121" t="s">
        <v>174</v>
      </c>
      <c r="D95" t="s">
        <v>175</v>
      </c>
      <c r="E95" t="s">
        <v>57</v>
      </c>
      <c r="F95">
        <v>1</v>
      </c>
      <c r="G95">
        <v>91</v>
      </c>
      <c r="H95" s="86">
        <v>45964.757477118103</v>
      </c>
      <c r="I95" s="86">
        <v>45964.829666331003</v>
      </c>
      <c r="J95" s="87">
        <v>1.73254111111111</v>
      </c>
      <c r="K95" s="69" t="s">
        <v>274</v>
      </c>
      <c r="L95" s="69"/>
      <c r="M95" s="71"/>
      <c r="N95" s="71"/>
      <c r="O95" s="71"/>
      <c r="P95" s="71" t="s">
        <v>275</v>
      </c>
      <c r="Q95" s="88">
        <v>7.4381381639551797E-3</v>
      </c>
      <c r="R95" s="89" t="s">
        <v>276</v>
      </c>
      <c r="S95" s="89"/>
      <c r="T95">
        <v>9.8000000000000007</v>
      </c>
      <c r="U95" s="76">
        <v>0.2</v>
      </c>
      <c r="V95">
        <v>9.6</v>
      </c>
      <c r="W95" s="90">
        <v>0.1</v>
      </c>
      <c r="X95" s="90"/>
      <c r="Y95" s="71"/>
      <c r="Z95" s="71"/>
      <c r="AA95" s="71"/>
      <c r="AB95" s="71"/>
      <c r="AC95" s="71"/>
      <c r="AD95" s="71"/>
      <c r="AE95" s="71"/>
      <c r="AF95" s="71"/>
      <c r="AG95" s="82">
        <v>0.1</v>
      </c>
      <c r="AH95" s="76"/>
      <c r="AI95" s="76"/>
      <c r="AJ95" s="76"/>
      <c r="AK95" s="71">
        <v>0.15</v>
      </c>
      <c r="AL95" s="88">
        <v>3.4362770551863299E-2</v>
      </c>
      <c r="AM95" s="89">
        <f t="shared" si="1"/>
        <v>0.229085137012422</v>
      </c>
      <c r="AN95" s="78"/>
    </row>
    <row r="96" spans="1:40" x14ac:dyDescent="0.25">
      <c r="A96" t="s">
        <v>44</v>
      </c>
      <c r="B96" t="s">
        <v>45</v>
      </c>
      <c r="C96" s="121" t="s">
        <v>174</v>
      </c>
      <c r="D96" t="s">
        <v>175</v>
      </c>
      <c r="E96" t="s">
        <v>57</v>
      </c>
      <c r="F96">
        <v>1</v>
      </c>
      <c r="G96">
        <v>92</v>
      </c>
      <c r="H96" s="86">
        <v>45964.829666331003</v>
      </c>
      <c r="I96" s="86">
        <v>45964.901843541702</v>
      </c>
      <c r="J96" s="87">
        <v>1.73225305555556</v>
      </c>
      <c r="K96" s="69" t="s">
        <v>274</v>
      </c>
      <c r="L96" s="69"/>
      <c r="M96" s="71"/>
      <c r="N96" s="71"/>
      <c r="O96" s="71"/>
      <c r="P96" s="71" t="s">
        <v>275</v>
      </c>
      <c r="Q96" s="88">
        <v>7.4986484174134E-3</v>
      </c>
      <c r="R96" s="89" t="s">
        <v>276</v>
      </c>
      <c r="S96" s="89"/>
      <c r="T96">
        <v>10.9</v>
      </c>
      <c r="U96" s="76">
        <v>0.2</v>
      </c>
      <c r="V96">
        <v>9.6999999999999993</v>
      </c>
      <c r="W96" s="90">
        <v>0.1</v>
      </c>
      <c r="X96" s="90"/>
      <c r="Y96" s="71"/>
      <c r="Z96" s="71"/>
      <c r="AA96" s="71"/>
      <c r="AB96" s="71"/>
      <c r="AC96" s="71"/>
      <c r="AD96" s="71"/>
      <c r="AE96" s="71"/>
      <c r="AF96" s="71"/>
      <c r="AG96" s="82">
        <v>0.1</v>
      </c>
      <c r="AH96" s="76"/>
      <c r="AI96" s="76"/>
      <c r="AJ96" s="76"/>
      <c r="AK96" s="71">
        <v>0.15</v>
      </c>
      <c r="AL96" s="88">
        <v>3.4362770551863299E-2</v>
      </c>
      <c r="AM96" s="89">
        <f t="shared" si="1"/>
        <v>0.229085137012422</v>
      </c>
      <c r="AN96" s="78"/>
    </row>
    <row r="97" spans="1:40" x14ac:dyDescent="0.25">
      <c r="A97" t="s">
        <v>44</v>
      </c>
      <c r="B97" t="s">
        <v>45</v>
      </c>
      <c r="C97" s="121" t="s">
        <v>174</v>
      </c>
      <c r="D97" t="s">
        <v>175</v>
      </c>
      <c r="E97" t="s">
        <v>57</v>
      </c>
      <c r="F97">
        <v>1</v>
      </c>
      <c r="G97">
        <v>93</v>
      </c>
      <c r="H97" s="86">
        <v>45964.901843541702</v>
      </c>
      <c r="I97" s="86">
        <v>45964.974036215302</v>
      </c>
      <c r="J97" s="87">
        <v>1.73262416666667</v>
      </c>
      <c r="K97" s="69" t="s">
        <v>274</v>
      </c>
      <c r="L97" s="69"/>
      <c r="M97" s="71"/>
      <c r="N97" s="71"/>
      <c r="O97" s="71"/>
      <c r="P97" s="71" t="s">
        <v>275</v>
      </c>
      <c r="Q97" s="88">
        <v>8.6686586097993699E-3</v>
      </c>
      <c r="R97" s="89" t="s">
        <v>276</v>
      </c>
      <c r="S97" s="89"/>
      <c r="T97">
        <v>12</v>
      </c>
      <c r="U97" s="76">
        <v>0.2</v>
      </c>
      <c r="V97">
        <v>9.8000000000000007</v>
      </c>
      <c r="W97" s="90">
        <v>0.1</v>
      </c>
      <c r="X97" s="90"/>
      <c r="Y97" s="71"/>
      <c r="Z97" s="71"/>
      <c r="AA97" s="71"/>
      <c r="AB97" s="71"/>
      <c r="AC97" s="71"/>
      <c r="AD97" s="71"/>
      <c r="AE97" s="71"/>
      <c r="AF97" s="71"/>
      <c r="AG97" s="82">
        <v>0.3</v>
      </c>
      <c r="AH97" s="76"/>
      <c r="AI97" s="76"/>
      <c r="AJ97" s="76"/>
      <c r="AK97" s="71">
        <v>0.15</v>
      </c>
      <c r="AL97" s="88">
        <v>3.4362770551863299E-2</v>
      </c>
      <c r="AM97" s="89">
        <f t="shared" si="1"/>
        <v>0.229085137012422</v>
      </c>
      <c r="AN97" s="78"/>
    </row>
    <row r="98" spans="1:40" x14ac:dyDescent="0.25">
      <c r="A98" t="s">
        <v>44</v>
      </c>
      <c r="B98" t="s">
        <v>45</v>
      </c>
      <c r="C98" s="121" t="s">
        <v>174</v>
      </c>
      <c r="D98" t="s">
        <v>175</v>
      </c>
      <c r="E98" t="s">
        <v>57</v>
      </c>
      <c r="F98">
        <v>1</v>
      </c>
      <c r="G98">
        <v>94</v>
      </c>
      <c r="H98" s="86">
        <v>45964.974036215302</v>
      </c>
      <c r="I98" s="86">
        <v>45965.046209756998</v>
      </c>
      <c r="J98" s="87">
        <v>1.732165</v>
      </c>
      <c r="K98" s="69" t="s">
        <v>274</v>
      </c>
      <c r="L98" s="69"/>
      <c r="M98" s="71"/>
      <c r="N98" s="71"/>
      <c r="O98" s="71"/>
      <c r="P98" s="71" t="s">
        <v>275</v>
      </c>
      <c r="Q98" s="88">
        <v>1.2280267308191701E-2</v>
      </c>
      <c r="R98" s="89" t="s">
        <v>276</v>
      </c>
      <c r="S98" s="89"/>
      <c r="T98">
        <v>12.3</v>
      </c>
      <c r="U98" s="76">
        <v>0.2</v>
      </c>
      <c r="V98">
        <v>9.8000000000000007</v>
      </c>
      <c r="W98" s="90">
        <v>0.1</v>
      </c>
      <c r="X98" s="90"/>
      <c r="Y98" s="71"/>
      <c r="Z98" s="71"/>
      <c r="AA98" s="71"/>
      <c r="AB98" s="71"/>
      <c r="AC98" s="71"/>
      <c r="AD98" s="71"/>
      <c r="AE98" s="71"/>
      <c r="AF98" s="71"/>
      <c r="AG98" s="82">
        <v>0.2</v>
      </c>
      <c r="AH98" s="76"/>
      <c r="AI98" s="76"/>
      <c r="AJ98" s="76"/>
      <c r="AK98" s="71">
        <v>0.15</v>
      </c>
      <c r="AL98" s="88">
        <v>3.4362770551863299E-2</v>
      </c>
      <c r="AM98" s="89">
        <f t="shared" si="1"/>
        <v>0.229085137012422</v>
      </c>
      <c r="AN98" s="78"/>
    </row>
    <row r="99" spans="1:40" x14ac:dyDescent="0.25">
      <c r="A99" t="s">
        <v>44</v>
      </c>
      <c r="B99" t="s">
        <v>45</v>
      </c>
      <c r="C99" s="121" t="s">
        <v>174</v>
      </c>
      <c r="D99" t="s">
        <v>175</v>
      </c>
      <c r="E99" t="s">
        <v>57</v>
      </c>
      <c r="F99">
        <v>1</v>
      </c>
      <c r="G99">
        <v>95</v>
      </c>
      <c r="H99" s="86">
        <v>45965.046209756998</v>
      </c>
      <c r="I99" s="86">
        <v>45965.1184128241</v>
      </c>
      <c r="J99" s="87">
        <v>1.73287361111111</v>
      </c>
      <c r="K99" s="69" t="s">
        <v>274</v>
      </c>
      <c r="L99" s="69"/>
      <c r="M99" s="71"/>
      <c r="N99" s="71"/>
      <c r="O99" s="71"/>
      <c r="P99" s="71" t="s">
        <v>275</v>
      </c>
      <c r="Q99" s="88">
        <v>1.5297436502996999E-2</v>
      </c>
      <c r="R99" s="89" t="s">
        <v>276</v>
      </c>
      <c r="S99" s="89"/>
      <c r="T99">
        <v>12.5</v>
      </c>
      <c r="U99" s="76">
        <v>0.2</v>
      </c>
      <c r="V99">
        <v>10</v>
      </c>
      <c r="W99" s="90">
        <v>0.1</v>
      </c>
      <c r="X99" s="90"/>
      <c r="Y99" s="71"/>
      <c r="Z99" s="71"/>
      <c r="AA99" s="71"/>
      <c r="AB99" s="71"/>
      <c r="AC99" s="71"/>
      <c r="AD99" s="71"/>
      <c r="AE99" s="71"/>
      <c r="AF99" s="71"/>
      <c r="AG99" s="82">
        <v>0.1</v>
      </c>
      <c r="AH99" s="76"/>
      <c r="AI99" s="76"/>
      <c r="AJ99" s="76"/>
      <c r="AK99" s="71">
        <v>0.15</v>
      </c>
      <c r="AL99" s="88">
        <v>3.4362770551863299E-2</v>
      </c>
      <c r="AM99" s="89">
        <f t="shared" si="1"/>
        <v>0.229085137012422</v>
      </c>
      <c r="AN99" s="78"/>
    </row>
    <row r="100" spans="1:40" x14ac:dyDescent="0.25">
      <c r="A100" t="s">
        <v>44</v>
      </c>
      <c r="B100" t="s">
        <v>45</v>
      </c>
      <c r="C100" s="121" t="s">
        <v>174</v>
      </c>
      <c r="D100" t="s">
        <v>175</v>
      </c>
      <c r="E100" t="s">
        <v>57</v>
      </c>
      <c r="F100">
        <v>1</v>
      </c>
      <c r="G100">
        <v>96</v>
      </c>
      <c r="H100" s="86">
        <v>45965.1184128241</v>
      </c>
      <c r="I100" s="86">
        <v>45965.190583229203</v>
      </c>
      <c r="J100" s="87">
        <v>1.73208972222222</v>
      </c>
      <c r="K100" s="69" t="s">
        <v>274</v>
      </c>
      <c r="L100" s="69"/>
      <c r="M100" s="71"/>
      <c r="N100" s="71"/>
      <c r="O100" s="71"/>
      <c r="P100" s="71" t="s">
        <v>275</v>
      </c>
      <c r="Q100" s="88">
        <v>2.7282410782555298E-2</v>
      </c>
      <c r="R100" s="89" t="s">
        <v>276</v>
      </c>
      <c r="S100" s="89"/>
      <c r="T100">
        <v>12.6</v>
      </c>
      <c r="U100" s="76">
        <v>0.2</v>
      </c>
      <c r="V100">
        <v>10.1</v>
      </c>
      <c r="W100" s="90">
        <v>0.1</v>
      </c>
      <c r="X100" s="90"/>
      <c r="Y100" s="71"/>
      <c r="Z100" s="71"/>
      <c r="AA100" s="71"/>
      <c r="AB100" s="71"/>
      <c r="AC100" s="71"/>
      <c r="AD100" s="71"/>
      <c r="AE100" s="71"/>
      <c r="AF100" s="71"/>
      <c r="AG100" s="82">
        <v>0</v>
      </c>
      <c r="AH100" s="76"/>
      <c r="AI100" s="76"/>
      <c r="AJ100" s="76"/>
      <c r="AK100" s="71">
        <v>0.15</v>
      </c>
      <c r="AL100" s="88">
        <v>3.4362770551863299E-2</v>
      </c>
      <c r="AM100" s="89">
        <f t="shared" si="1"/>
        <v>0.229085137012422</v>
      </c>
      <c r="AN100" s="78"/>
    </row>
    <row r="101" spans="1:40" x14ac:dyDescent="0.25">
      <c r="A101" t="s">
        <v>44</v>
      </c>
      <c r="B101" t="s">
        <v>45</v>
      </c>
      <c r="C101" s="121" t="s">
        <v>174</v>
      </c>
      <c r="D101" t="s">
        <v>175</v>
      </c>
      <c r="E101" t="s">
        <v>57</v>
      </c>
      <c r="F101">
        <v>1</v>
      </c>
      <c r="G101">
        <v>97</v>
      </c>
      <c r="H101" s="86">
        <v>45965.190583229203</v>
      </c>
      <c r="I101" s="86">
        <v>45965.262768483801</v>
      </c>
      <c r="J101" s="87">
        <v>1.73244611111111</v>
      </c>
      <c r="K101" s="69" t="s">
        <v>274</v>
      </c>
      <c r="L101" s="69"/>
      <c r="M101" s="71"/>
      <c r="N101" s="71"/>
      <c r="O101" s="71"/>
      <c r="P101" s="71" t="s">
        <v>275</v>
      </c>
      <c r="Q101" s="88">
        <v>1.9724806725004901E-2</v>
      </c>
      <c r="R101" s="89" t="s">
        <v>276</v>
      </c>
      <c r="S101" s="89"/>
      <c r="T101">
        <v>12.5</v>
      </c>
      <c r="U101" s="76">
        <v>0.2</v>
      </c>
      <c r="V101">
        <v>10.3</v>
      </c>
      <c r="W101" s="90">
        <v>0.1</v>
      </c>
      <c r="X101" s="90"/>
      <c r="Y101" s="71"/>
      <c r="Z101" s="71"/>
      <c r="AA101" s="71"/>
      <c r="AB101" s="71"/>
      <c r="AC101" s="71"/>
      <c r="AD101" s="71"/>
      <c r="AE101" s="71"/>
      <c r="AF101" s="71"/>
      <c r="AG101" s="82">
        <v>0</v>
      </c>
      <c r="AH101" s="76"/>
      <c r="AI101" s="76"/>
      <c r="AJ101" s="76"/>
      <c r="AK101" s="71">
        <v>0.15</v>
      </c>
      <c r="AL101" s="88">
        <v>3.4362770551863299E-2</v>
      </c>
      <c r="AM101" s="89">
        <f t="shared" si="1"/>
        <v>0.229085137012422</v>
      </c>
      <c r="AN101" s="78"/>
    </row>
    <row r="102" spans="1:40" x14ac:dyDescent="0.25">
      <c r="A102" t="s">
        <v>44</v>
      </c>
      <c r="B102" t="s">
        <v>45</v>
      </c>
      <c r="C102" s="121" t="s">
        <v>174</v>
      </c>
      <c r="D102" t="s">
        <v>175</v>
      </c>
      <c r="E102" t="s">
        <v>57</v>
      </c>
      <c r="F102">
        <v>1</v>
      </c>
      <c r="G102">
        <v>98</v>
      </c>
      <c r="H102" s="86">
        <v>45965.262768483801</v>
      </c>
      <c r="I102" s="86">
        <v>45965.334963217603</v>
      </c>
      <c r="J102" s="87">
        <v>1.7326736111111101</v>
      </c>
      <c r="K102" s="69" t="s">
        <v>274</v>
      </c>
      <c r="L102" s="69"/>
      <c r="M102" s="71"/>
      <c r="N102" s="71"/>
      <c r="O102" s="71"/>
      <c r="P102" s="71" t="s">
        <v>275</v>
      </c>
      <c r="Q102" s="88">
        <v>1.9138200705716198E-2</v>
      </c>
      <c r="R102" s="89" t="s">
        <v>276</v>
      </c>
      <c r="S102" s="89"/>
      <c r="T102">
        <v>12.5</v>
      </c>
      <c r="U102" s="76">
        <v>0.2</v>
      </c>
      <c r="V102">
        <v>10.3</v>
      </c>
      <c r="W102" s="90">
        <v>0.1</v>
      </c>
      <c r="X102" s="90"/>
      <c r="Y102" s="71"/>
      <c r="Z102" s="71"/>
      <c r="AA102" s="71"/>
      <c r="AB102" s="71"/>
      <c r="AC102" s="71"/>
      <c r="AD102" s="71"/>
      <c r="AE102" s="71"/>
      <c r="AF102" s="71"/>
      <c r="AG102" s="82">
        <v>0.4</v>
      </c>
      <c r="AH102" s="76"/>
      <c r="AI102" s="76"/>
      <c r="AJ102" s="76"/>
      <c r="AK102" s="71">
        <v>0.15</v>
      </c>
      <c r="AL102" s="88">
        <v>3.4362770551863299E-2</v>
      </c>
      <c r="AM102" s="89">
        <f t="shared" si="1"/>
        <v>0.229085137012422</v>
      </c>
      <c r="AN102" s="78"/>
    </row>
    <row r="103" spans="1:40" x14ac:dyDescent="0.25">
      <c r="A103" t="s">
        <v>44</v>
      </c>
      <c r="B103" t="s">
        <v>45</v>
      </c>
      <c r="C103" s="121" t="s">
        <v>174</v>
      </c>
      <c r="D103" t="s">
        <v>175</v>
      </c>
      <c r="E103" t="s">
        <v>57</v>
      </c>
      <c r="F103">
        <v>1</v>
      </c>
      <c r="G103">
        <v>99</v>
      </c>
      <c r="H103" s="86">
        <v>45965.334963217603</v>
      </c>
      <c r="I103" s="86">
        <v>45965.407170844897</v>
      </c>
      <c r="J103" s="87">
        <v>1.7329830555555601</v>
      </c>
      <c r="K103" s="69" t="s">
        <v>274</v>
      </c>
      <c r="L103" s="69"/>
      <c r="M103" s="71"/>
      <c r="N103" s="71"/>
      <c r="O103" s="71"/>
      <c r="P103" s="71" t="s">
        <v>275</v>
      </c>
      <c r="Q103" s="88">
        <v>2.7587355196805899E-2</v>
      </c>
      <c r="R103" s="89" t="s">
        <v>276</v>
      </c>
      <c r="S103" s="89"/>
      <c r="T103">
        <v>12.4</v>
      </c>
      <c r="U103" s="76">
        <v>0.2</v>
      </c>
      <c r="V103">
        <v>10.4</v>
      </c>
      <c r="W103" s="90">
        <v>0.1</v>
      </c>
      <c r="X103" s="90"/>
      <c r="Y103" s="71"/>
      <c r="Z103" s="71"/>
      <c r="AA103" s="71"/>
      <c r="AB103" s="71"/>
      <c r="AC103" s="71"/>
      <c r="AD103" s="71"/>
      <c r="AE103" s="71"/>
      <c r="AF103" s="71"/>
      <c r="AG103" s="82">
        <v>0</v>
      </c>
      <c r="AH103" s="76"/>
      <c r="AI103" s="76"/>
      <c r="AJ103" s="76"/>
      <c r="AK103" s="71">
        <v>0.15</v>
      </c>
      <c r="AL103" s="88">
        <v>3.4362770551863299E-2</v>
      </c>
      <c r="AM103" s="89">
        <f t="shared" si="1"/>
        <v>0.229085137012422</v>
      </c>
      <c r="AN103" s="78"/>
    </row>
    <row r="104" spans="1:40" x14ac:dyDescent="0.25">
      <c r="A104" t="s">
        <v>44</v>
      </c>
      <c r="B104" t="s">
        <v>45</v>
      </c>
      <c r="C104" s="121" t="s">
        <v>174</v>
      </c>
      <c r="D104" t="s">
        <v>175</v>
      </c>
      <c r="E104" t="s">
        <v>57</v>
      </c>
      <c r="F104">
        <v>1</v>
      </c>
      <c r="G104">
        <v>100</v>
      </c>
      <c r="H104" s="86">
        <v>45965.407170844897</v>
      </c>
      <c r="I104" s="86">
        <v>45965.479355000003</v>
      </c>
      <c r="J104" s="87">
        <v>1.73241972222222</v>
      </c>
      <c r="K104" s="69" t="s">
        <v>274</v>
      </c>
      <c r="L104" s="69"/>
      <c r="M104" s="71"/>
      <c r="N104" s="71"/>
      <c r="O104" s="71"/>
      <c r="P104" s="71" t="s">
        <v>275</v>
      </c>
      <c r="Q104" s="88">
        <v>2.46640106578155E-2</v>
      </c>
      <c r="R104" s="89" t="s">
        <v>276</v>
      </c>
      <c r="S104" s="89"/>
      <c r="T104">
        <v>12.9</v>
      </c>
      <c r="U104" s="76">
        <v>0.2</v>
      </c>
      <c r="V104">
        <v>10.5</v>
      </c>
      <c r="W104" s="90">
        <v>0.1</v>
      </c>
      <c r="X104" s="90"/>
      <c r="Y104" s="71"/>
      <c r="Z104" s="71"/>
      <c r="AA104" s="71"/>
      <c r="AB104" s="71"/>
      <c r="AC104" s="71"/>
      <c r="AD104" s="71"/>
      <c r="AE104" s="71"/>
      <c r="AF104" s="71"/>
      <c r="AG104" s="82">
        <v>0</v>
      </c>
      <c r="AH104" s="76"/>
      <c r="AI104" s="76"/>
      <c r="AJ104" s="76"/>
      <c r="AK104" s="71">
        <v>0.15</v>
      </c>
      <c r="AL104" s="88">
        <v>3.4362770551863299E-2</v>
      </c>
      <c r="AM104" s="89">
        <f t="shared" si="1"/>
        <v>0.229085137012422</v>
      </c>
      <c r="AN104" s="78"/>
    </row>
    <row r="105" spans="1:40" x14ac:dyDescent="0.25">
      <c r="A105" t="s">
        <v>44</v>
      </c>
      <c r="B105" t="s">
        <v>45</v>
      </c>
      <c r="C105" s="121" t="s">
        <v>174</v>
      </c>
      <c r="D105" t="s">
        <v>175</v>
      </c>
      <c r="E105" t="s">
        <v>57</v>
      </c>
      <c r="F105">
        <v>1</v>
      </c>
      <c r="G105">
        <v>101</v>
      </c>
      <c r="H105" s="86">
        <v>45965.479355000003</v>
      </c>
      <c r="I105" s="86">
        <v>45965.551545775503</v>
      </c>
      <c r="J105" s="87">
        <v>1.7325786111111099</v>
      </c>
      <c r="K105" s="69" t="s">
        <v>274</v>
      </c>
      <c r="L105" s="69"/>
      <c r="M105" s="71"/>
      <c r="N105" s="71"/>
      <c r="O105" s="71"/>
      <c r="P105" s="71" t="s">
        <v>275</v>
      </c>
      <c r="Q105" s="88">
        <v>2.6877336829523601E-2</v>
      </c>
      <c r="R105" s="89" t="s">
        <v>276</v>
      </c>
      <c r="S105" s="89"/>
      <c r="T105">
        <v>12.9</v>
      </c>
      <c r="U105" s="76">
        <v>0.2</v>
      </c>
      <c r="V105">
        <v>10.7</v>
      </c>
      <c r="W105" s="90">
        <v>0.1</v>
      </c>
      <c r="X105" s="90"/>
      <c r="Y105" s="71"/>
      <c r="Z105" s="71"/>
      <c r="AA105" s="71"/>
      <c r="AB105" s="71"/>
      <c r="AC105" s="71"/>
      <c r="AD105" s="71"/>
      <c r="AE105" s="71"/>
      <c r="AF105" s="71"/>
      <c r="AG105" s="82">
        <v>0.1</v>
      </c>
      <c r="AH105" s="76"/>
      <c r="AI105" s="76"/>
      <c r="AJ105" s="76"/>
      <c r="AK105" s="71">
        <v>0.15</v>
      </c>
      <c r="AL105" s="88">
        <v>3.4362770551863299E-2</v>
      </c>
      <c r="AM105" s="89">
        <f t="shared" si="1"/>
        <v>0.229085137012422</v>
      </c>
      <c r="AN105" s="78"/>
    </row>
    <row r="106" spans="1:40" x14ac:dyDescent="0.25">
      <c r="A106" t="s">
        <v>44</v>
      </c>
      <c r="B106" t="s">
        <v>45</v>
      </c>
      <c r="C106" s="121" t="s">
        <v>174</v>
      </c>
      <c r="D106" t="s">
        <v>191</v>
      </c>
      <c r="E106" t="s">
        <v>59</v>
      </c>
      <c r="F106">
        <v>1</v>
      </c>
      <c r="G106">
        <v>1</v>
      </c>
      <c r="H106" s="86">
        <v>45958.4813481366</v>
      </c>
      <c r="I106" s="86">
        <v>45958.519238275498</v>
      </c>
      <c r="J106" s="87">
        <v>0.90936333333333297</v>
      </c>
      <c r="K106" s="69" t="s">
        <v>274</v>
      </c>
      <c r="L106" s="69"/>
      <c r="M106" s="71"/>
      <c r="N106" s="71"/>
      <c r="O106" s="71"/>
      <c r="P106" s="71" t="s">
        <v>275</v>
      </c>
      <c r="Q106" s="88">
        <v>7.4176053254884102E-4</v>
      </c>
      <c r="R106" s="89" t="s">
        <v>276</v>
      </c>
      <c r="S106" s="89"/>
      <c r="T106">
        <v>8.1999999999999993</v>
      </c>
      <c r="U106" s="76">
        <v>0.2</v>
      </c>
      <c r="V106">
        <v>9.4</v>
      </c>
      <c r="W106" s="90">
        <v>0.1</v>
      </c>
      <c r="X106" s="90"/>
      <c r="Y106" s="71"/>
      <c r="Z106" s="71"/>
      <c r="AA106" s="71"/>
      <c r="AB106" s="71"/>
      <c r="AC106" s="71"/>
      <c r="AD106" s="71"/>
      <c r="AE106" s="71"/>
      <c r="AF106" s="71"/>
      <c r="AG106" s="82">
        <v>0</v>
      </c>
      <c r="AH106" s="76"/>
      <c r="AI106" s="76"/>
      <c r="AJ106" s="76"/>
      <c r="AK106" s="71">
        <v>0.15</v>
      </c>
      <c r="AL106" s="88">
        <v>3.4362770551863299E-2</v>
      </c>
      <c r="AM106" s="89">
        <f t="shared" si="1"/>
        <v>0.229085137012422</v>
      </c>
      <c r="AN106" s="78"/>
    </row>
    <row r="107" spans="1:40" x14ac:dyDescent="0.25">
      <c r="A107" t="s">
        <v>44</v>
      </c>
      <c r="B107" t="s">
        <v>45</v>
      </c>
      <c r="C107" s="121" t="s">
        <v>174</v>
      </c>
      <c r="D107" t="s">
        <v>191</v>
      </c>
      <c r="E107" t="s">
        <v>59</v>
      </c>
      <c r="F107">
        <v>1</v>
      </c>
      <c r="G107">
        <v>2</v>
      </c>
      <c r="H107" s="86">
        <v>45958.519238275498</v>
      </c>
      <c r="I107" s="86">
        <v>45958.585867141199</v>
      </c>
      <c r="J107" s="87">
        <v>1.5990927777777799</v>
      </c>
      <c r="K107" s="69" t="s">
        <v>274</v>
      </c>
      <c r="L107" s="69"/>
      <c r="M107" s="71"/>
      <c r="N107" s="71"/>
      <c r="O107" s="71"/>
      <c r="P107" s="71" t="s">
        <v>275</v>
      </c>
      <c r="Q107" s="88">
        <v>1.41154539882582E-3</v>
      </c>
      <c r="R107" s="89" t="s">
        <v>276</v>
      </c>
      <c r="S107" s="89"/>
      <c r="T107">
        <v>8.1999999999999993</v>
      </c>
      <c r="U107" s="76">
        <v>0.2</v>
      </c>
      <c r="V107">
        <v>9.4</v>
      </c>
      <c r="W107" s="90">
        <v>0.1</v>
      </c>
      <c r="X107" s="90"/>
      <c r="Y107" s="71"/>
      <c r="Z107" s="71"/>
      <c r="AA107" s="71"/>
      <c r="AB107" s="71"/>
      <c r="AC107" s="71"/>
      <c r="AD107" s="71"/>
      <c r="AE107" s="71"/>
      <c r="AF107" s="71"/>
      <c r="AG107" s="82">
        <v>0</v>
      </c>
      <c r="AH107" s="76"/>
      <c r="AI107" s="76"/>
      <c r="AJ107" s="76"/>
      <c r="AK107" s="71">
        <v>0.15</v>
      </c>
      <c r="AL107" s="88">
        <v>3.4362770551863299E-2</v>
      </c>
      <c r="AM107" s="89">
        <f t="shared" si="1"/>
        <v>0.229085137012422</v>
      </c>
      <c r="AN107" s="78"/>
    </row>
    <row r="108" spans="1:40" x14ac:dyDescent="0.25">
      <c r="A108" t="s">
        <v>44</v>
      </c>
      <c r="B108" t="s">
        <v>45</v>
      </c>
      <c r="C108" s="121" t="s">
        <v>174</v>
      </c>
      <c r="D108" t="s">
        <v>191</v>
      </c>
      <c r="E108" t="s">
        <v>59</v>
      </c>
      <c r="F108">
        <v>1</v>
      </c>
      <c r="G108">
        <v>3</v>
      </c>
      <c r="H108" s="86">
        <v>45958.585867141199</v>
      </c>
      <c r="I108" s="86">
        <v>45958.6131873958</v>
      </c>
      <c r="J108" s="87">
        <v>0.65568611111111097</v>
      </c>
      <c r="K108" s="69" t="s">
        <v>274</v>
      </c>
      <c r="L108" s="69"/>
      <c r="M108" s="71"/>
      <c r="N108" s="71"/>
      <c r="O108" s="71"/>
      <c r="P108" s="71" t="s">
        <v>275</v>
      </c>
      <c r="Q108" s="88">
        <v>3.9294365560950204E-3</v>
      </c>
      <c r="R108" s="89" t="s">
        <v>276</v>
      </c>
      <c r="S108" s="89"/>
      <c r="T108">
        <v>7.8</v>
      </c>
      <c r="U108" s="76">
        <v>0.2</v>
      </c>
      <c r="V108">
        <v>9.5</v>
      </c>
      <c r="W108" s="90">
        <v>0.1</v>
      </c>
      <c r="X108" s="90"/>
      <c r="Y108" s="71"/>
      <c r="Z108" s="71"/>
      <c r="AA108" s="71"/>
      <c r="AB108" s="71"/>
      <c r="AC108" s="71"/>
      <c r="AD108" s="71"/>
      <c r="AE108" s="71"/>
      <c r="AF108" s="71"/>
      <c r="AG108" s="82">
        <v>0.1</v>
      </c>
      <c r="AH108" s="76"/>
      <c r="AI108" s="76"/>
      <c r="AJ108" s="76"/>
      <c r="AK108" s="71">
        <v>0.15</v>
      </c>
      <c r="AL108" s="88">
        <v>3.4362770551863299E-2</v>
      </c>
      <c r="AM108" s="89">
        <f t="shared" si="1"/>
        <v>0.229085137012422</v>
      </c>
      <c r="AN108" s="78"/>
    </row>
    <row r="109" spans="1:40" x14ac:dyDescent="0.25">
      <c r="A109" t="s">
        <v>44</v>
      </c>
      <c r="B109" t="s">
        <v>45</v>
      </c>
      <c r="C109" s="121" t="s">
        <v>174</v>
      </c>
      <c r="D109" t="s">
        <v>191</v>
      </c>
      <c r="E109" t="s">
        <v>59</v>
      </c>
      <c r="F109">
        <v>1</v>
      </c>
      <c r="G109">
        <v>4</v>
      </c>
      <c r="H109" s="86">
        <v>45958.6131873958</v>
      </c>
      <c r="I109" s="86">
        <v>45958.679821088001</v>
      </c>
      <c r="J109" s="87">
        <v>1.5992086111111099</v>
      </c>
      <c r="K109" s="69" t="s">
        <v>274</v>
      </c>
      <c r="L109" s="69"/>
      <c r="M109" s="71"/>
      <c r="N109" s="71"/>
      <c r="O109" s="71"/>
      <c r="P109" s="71" t="s">
        <v>275</v>
      </c>
      <c r="Q109" s="88">
        <v>1.0118582189769999E-2</v>
      </c>
      <c r="R109" s="89" t="s">
        <v>276</v>
      </c>
      <c r="S109" s="89"/>
      <c r="T109">
        <v>8.4</v>
      </c>
      <c r="U109" s="76">
        <v>0.2</v>
      </c>
      <c r="V109">
        <v>9.6</v>
      </c>
      <c r="W109" s="90">
        <v>0.1</v>
      </c>
      <c r="X109" s="90"/>
      <c r="Y109" s="71"/>
      <c r="Z109" s="71"/>
      <c r="AA109" s="71"/>
      <c r="AB109" s="71"/>
      <c r="AC109" s="71"/>
      <c r="AD109" s="71"/>
      <c r="AE109" s="71"/>
      <c r="AF109" s="71"/>
      <c r="AG109" s="82">
        <v>0</v>
      </c>
      <c r="AH109" s="76"/>
      <c r="AI109" s="76"/>
      <c r="AJ109" s="76"/>
      <c r="AK109" s="71">
        <v>0.15</v>
      </c>
      <c r="AL109" s="88">
        <v>3.4362770551863299E-2</v>
      </c>
      <c r="AM109" s="89">
        <f t="shared" si="1"/>
        <v>0.229085137012422</v>
      </c>
      <c r="AN109" s="78"/>
    </row>
    <row r="110" spans="1:40" x14ac:dyDescent="0.25">
      <c r="A110" t="s">
        <v>44</v>
      </c>
      <c r="B110" t="s">
        <v>45</v>
      </c>
      <c r="C110" s="121" t="s">
        <v>174</v>
      </c>
      <c r="D110" t="s">
        <v>191</v>
      </c>
      <c r="E110" t="s">
        <v>59</v>
      </c>
      <c r="F110">
        <v>1</v>
      </c>
      <c r="G110">
        <v>5</v>
      </c>
      <c r="H110" s="86">
        <v>45958.679821088001</v>
      </c>
      <c r="I110" s="86">
        <v>45958.705083761597</v>
      </c>
      <c r="J110" s="87">
        <v>0.60630416666666698</v>
      </c>
      <c r="K110" s="69" t="s">
        <v>274</v>
      </c>
      <c r="L110" s="69"/>
      <c r="M110" s="71"/>
      <c r="N110" s="71"/>
      <c r="O110" s="71"/>
      <c r="P110" s="71" t="s">
        <v>275</v>
      </c>
      <c r="Q110" s="88">
        <v>8.4900420503408007E-3</v>
      </c>
      <c r="R110" s="89" t="s">
        <v>276</v>
      </c>
      <c r="S110" s="89"/>
      <c r="T110">
        <v>6.8</v>
      </c>
      <c r="U110" s="76">
        <v>0.2</v>
      </c>
      <c r="V110">
        <v>9.6</v>
      </c>
      <c r="W110" s="90">
        <v>0.1</v>
      </c>
      <c r="X110" s="90"/>
      <c r="Y110" s="71"/>
      <c r="Z110" s="71"/>
      <c r="AA110" s="71"/>
      <c r="AB110" s="71"/>
      <c r="AC110" s="71"/>
      <c r="AD110" s="71"/>
      <c r="AE110" s="71"/>
      <c r="AF110" s="71"/>
      <c r="AG110" s="82">
        <v>0</v>
      </c>
      <c r="AH110" s="76"/>
      <c r="AI110" s="76"/>
      <c r="AJ110" s="76"/>
      <c r="AK110" s="71">
        <v>0.15</v>
      </c>
      <c r="AL110" s="88">
        <v>3.4362770551863299E-2</v>
      </c>
      <c r="AM110" s="89">
        <f t="shared" si="1"/>
        <v>0.229085137012422</v>
      </c>
      <c r="AN110" s="78"/>
    </row>
    <row r="111" spans="1:40" x14ac:dyDescent="0.25">
      <c r="A111" t="s">
        <v>44</v>
      </c>
      <c r="B111" t="s">
        <v>45</v>
      </c>
      <c r="C111" s="121" t="s">
        <v>174</v>
      </c>
      <c r="D111" t="s">
        <v>191</v>
      </c>
      <c r="E111" t="s">
        <v>59</v>
      </c>
      <c r="F111">
        <v>1</v>
      </c>
      <c r="G111">
        <v>6</v>
      </c>
      <c r="H111" s="86">
        <v>45958.705083761597</v>
      </c>
      <c r="I111" s="86">
        <v>45958.777279178197</v>
      </c>
      <c r="J111" s="87">
        <v>1.7326900000000001</v>
      </c>
      <c r="K111" s="69" t="s">
        <v>274</v>
      </c>
      <c r="L111" s="69"/>
      <c r="M111" s="71"/>
      <c r="N111" s="71"/>
      <c r="O111" s="71"/>
      <c r="P111" s="71" t="s">
        <v>275</v>
      </c>
      <c r="Q111" s="88">
        <v>7.5710765136558604E-3</v>
      </c>
      <c r="R111" s="89" t="s">
        <v>276</v>
      </c>
      <c r="S111" s="89"/>
      <c r="T111">
        <v>6.1</v>
      </c>
      <c r="U111" s="76">
        <v>0.2</v>
      </c>
      <c r="V111">
        <v>9.6999999999999993</v>
      </c>
      <c r="W111" s="90">
        <v>0.1</v>
      </c>
      <c r="X111" s="90"/>
      <c r="Y111" s="71"/>
      <c r="Z111" s="71"/>
      <c r="AA111" s="71"/>
      <c r="AB111" s="71"/>
      <c r="AC111" s="71"/>
      <c r="AD111" s="71"/>
      <c r="AE111" s="71"/>
      <c r="AF111" s="71"/>
      <c r="AG111" s="82">
        <v>0</v>
      </c>
      <c r="AH111" s="76"/>
      <c r="AI111" s="76"/>
      <c r="AJ111" s="76"/>
      <c r="AK111" s="71">
        <v>0.15</v>
      </c>
      <c r="AL111" s="88">
        <v>3.4362770551863299E-2</v>
      </c>
      <c r="AM111" s="89">
        <f t="shared" si="1"/>
        <v>0.229085137012422</v>
      </c>
      <c r="AN111" s="78"/>
    </row>
    <row r="112" spans="1:40" x14ac:dyDescent="0.25">
      <c r="A112" t="s">
        <v>44</v>
      </c>
      <c r="B112" t="s">
        <v>45</v>
      </c>
      <c r="C112" s="121" t="s">
        <v>174</v>
      </c>
      <c r="D112" t="s">
        <v>191</v>
      </c>
      <c r="E112" t="s">
        <v>59</v>
      </c>
      <c r="F112">
        <v>1</v>
      </c>
      <c r="G112">
        <v>7</v>
      </c>
      <c r="H112" s="86">
        <v>45958.777279178197</v>
      </c>
      <c r="I112" s="86">
        <v>45958.849468009299</v>
      </c>
      <c r="J112" s="87">
        <v>1.73253194444444</v>
      </c>
      <c r="K112" s="69" t="s">
        <v>274</v>
      </c>
      <c r="L112" s="69"/>
      <c r="M112" s="71"/>
      <c r="N112" s="71"/>
      <c r="O112" s="71"/>
      <c r="P112" s="71" t="s">
        <v>275</v>
      </c>
      <c r="Q112" s="88">
        <v>1.5036824251561901E-2</v>
      </c>
      <c r="R112" s="89" t="s">
        <v>276</v>
      </c>
      <c r="S112" s="89"/>
      <c r="T112">
        <v>6.5</v>
      </c>
      <c r="U112" s="76">
        <v>0.2</v>
      </c>
      <c r="V112">
        <v>9.6</v>
      </c>
      <c r="W112" s="90">
        <v>0.1</v>
      </c>
      <c r="X112" s="90"/>
      <c r="Y112" s="71"/>
      <c r="Z112" s="71"/>
      <c r="AA112" s="71"/>
      <c r="AB112" s="71"/>
      <c r="AC112" s="71"/>
      <c r="AD112" s="71"/>
      <c r="AE112" s="71"/>
      <c r="AF112" s="71"/>
      <c r="AG112" s="82">
        <v>0</v>
      </c>
      <c r="AH112" s="76"/>
      <c r="AI112" s="76"/>
      <c r="AJ112" s="76"/>
      <c r="AK112" s="71">
        <v>0.15</v>
      </c>
      <c r="AL112" s="88">
        <v>3.4362770551863299E-2</v>
      </c>
      <c r="AM112" s="89">
        <f t="shared" si="1"/>
        <v>0.229085137012422</v>
      </c>
      <c r="AN112" s="78"/>
    </row>
    <row r="113" spans="1:40" x14ac:dyDescent="0.25">
      <c r="A113" t="s">
        <v>44</v>
      </c>
      <c r="B113" t="s">
        <v>45</v>
      </c>
      <c r="C113" s="121" t="s">
        <v>174</v>
      </c>
      <c r="D113" t="s">
        <v>191</v>
      </c>
      <c r="E113" t="s">
        <v>59</v>
      </c>
      <c r="F113">
        <v>1</v>
      </c>
      <c r="G113">
        <v>8</v>
      </c>
      <c r="H113" s="86">
        <v>45958.849468009299</v>
      </c>
      <c r="I113" s="86">
        <v>45958.921646064802</v>
      </c>
      <c r="J113" s="87">
        <v>1.73227333333333</v>
      </c>
      <c r="K113" s="69" t="s">
        <v>274</v>
      </c>
      <c r="L113" s="69"/>
      <c r="M113" s="71"/>
      <c r="N113" s="71"/>
      <c r="O113" s="71"/>
      <c r="P113" s="71" t="s">
        <v>275</v>
      </c>
      <c r="Q113" s="88">
        <v>1.8364730806554801E-2</v>
      </c>
      <c r="R113" s="89" t="s">
        <v>276</v>
      </c>
      <c r="S113" s="89"/>
      <c r="T113">
        <v>6.7</v>
      </c>
      <c r="U113" s="76">
        <v>0.2</v>
      </c>
      <c r="V113">
        <v>9.6</v>
      </c>
      <c r="W113" s="90">
        <v>0.1</v>
      </c>
      <c r="X113" s="90"/>
      <c r="Y113" s="71"/>
      <c r="Z113" s="71"/>
      <c r="AA113" s="71"/>
      <c r="AB113" s="71"/>
      <c r="AC113" s="71"/>
      <c r="AD113" s="71"/>
      <c r="AE113" s="71"/>
      <c r="AF113" s="71"/>
      <c r="AG113" s="82">
        <v>0</v>
      </c>
      <c r="AH113" s="76"/>
      <c r="AI113" s="76"/>
      <c r="AJ113" s="76"/>
      <c r="AK113" s="71">
        <v>0.15</v>
      </c>
      <c r="AL113" s="88">
        <v>3.4362770551863299E-2</v>
      </c>
      <c r="AM113" s="89">
        <f t="shared" si="1"/>
        <v>0.229085137012422</v>
      </c>
      <c r="AN113" s="78"/>
    </row>
    <row r="114" spans="1:40" x14ac:dyDescent="0.25">
      <c r="A114" t="s">
        <v>44</v>
      </c>
      <c r="B114" t="s">
        <v>45</v>
      </c>
      <c r="C114" s="121" t="s">
        <v>174</v>
      </c>
      <c r="D114" t="s">
        <v>191</v>
      </c>
      <c r="E114" t="s">
        <v>59</v>
      </c>
      <c r="F114">
        <v>1</v>
      </c>
      <c r="G114">
        <v>9</v>
      </c>
      <c r="H114" s="86">
        <v>45958.921646064802</v>
      </c>
      <c r="I114" s="86">
        <v>45958.993824004603</v>
      </c>
      <c r="J114" s="87">
        <v>1.73227055555556</v>
      </c>
      <c r="K114" s="69" t="s">
        <v>274</v>
      </c>
      <c r="L114" s="69"/>
      <c r="M114" s="71"/>
      <c r="N114" s="71"/>
      <c r="O114" s="71"/>
      <c r="P114" s="71" t="s">
        <v>275</v>
      </c>
      <c r="Q114" s="88">
        <v>1.5931397747400398E-2</v>
      </c>
      <c r="R114" s="89" t="s">
        <v>276</v>
      </c>
      <c r="S114" s="89"/>
      <c r="T114">
        <v>6.5</v>
      </c>
      <c r="U114" s="76">
        <v>0.2</v>
      </c>
      <c r="V114">
        <v>9.6</v>
      </c>
      <c r="W114" s="90">
        <v>0.1</v>
      </c>
      <c r="X114" s="90"/>
      <c r="Y114" s="71"/>
      <c r="Z114" s="71"/>
      <c r="AA114" s="71"/>
      <c r="AB114" s="71"/>
      <c r="AC114" s="71"/>
      <c r="AD114" s="71"/>
      <c r="AE114" s="71"/>
      <c r="AF114" s="71"/>
      <c r="AG114" s="82">
        <v>0</v>
      </c>
      <c r="AH114" s="76"/>
      <c r="AI114" s="76"/>
      <c r="AJ114" s="76"/>
      <c r="AK114" s="71">
        <v>0.15</v>
      </c>
      <c r="AL114" s="88">
        <v>3.4362770551863299E-2</v>
      </c>
      <c r="AM114" s="89">
        <f t="shared" si="1"/>
        <v>0.229085137012422</v>
      </c>
      <c r="AN114" s="78"/>
    </row>
    <row r="115" spans="1:40" x14ac:dyDescent="0.25">
      <c r="A115" t="s">
        <v>44</v>
      </c>
      <c r="B115" t="s">
        <v>45</v>
      </c>
      <c r="C115" s="121" t="s">
        <v>174</v>
      </c>
      <c r="D115" t="s">
        <v>191</v>
      </c>
      <c r="E115" t="s">
        <v>59</v>
      </c>
      <c r="F115">
        <v>1</v>
      </c>
      <c r="G115">
        <v>10</v>
      </c>
      <c r="H115" s="86">
        <v>45958.993824004603</v>
      </c>
      <c r="I115" s="86">
        <v>45959.066001342602</v>
      </c>
      <c r="J115" s="87">
        <v>1.7322561111111101</v>
      </c>
      <c r="K115" s="69" t="s">
        <v>274</v>
      </c>
      <c r="L115" s="69"/>
      <c r="M115" s="71"/>
      <c r="N115" s="71"/>
      <c r="O115" s="71"/>
      <c r="P115" s="71" t="s">
        <v>275</v>
      </c>
      <c r="Q115" s="88">
        <v>2.0335267601882302E-2</v>
      </c>
      <c r="R115" s="89" t="s">
        <v>276</v>
      </c>
      <c r="S115" s="89"/>
      <c r="T115">
        <v>6.9</v>
      </c>
      <c r="U115" s="76">
        <v>0.2</v>
      </c>
      <c r="V115">
        <v>9.5</v>
      </c>
      <c r="W115" s="90">
        <v>0.1</v>
      </c>
      <c r="X115" s="90"/>
      <c r="Y115" s="71"/>
      <c r="Z115" s="71"/>
      <c r="AA115" s="71"/>
      <c r="AB115" s="71"/>
      <c r="AC115" s="71"/>
      <c r="AD115" s="71"/>
      <c r="AE115" s="71"/>
      <c r="AF115" s="71"/>
      <c r="AG115" s="82">
        <v>0</v>
      </c>
      <c r="AH115" s="76"/>
      <c r="AI115" s="76"/>
      <c r="AJ115" s="76"/>
      <c r="AK115" s="71">
        <v>0.15</v>
      </c>
      <c r="AL115" s="88">
        <v>3.4362770551863299E-2</v>
      </c>
      <c r="AM115" s="89">
        <f t="shared" si="1"/>
        <v>0.229085137012422</v>
      </c>
      <c r="AN115" s="78"/>
    </row>
    <row r="116" spans="1:40" x14ac:dyDescent="0.25">
      <c r="A116" t="s">
        <v>44</v>
      </c>
      <c r="B116" t="s">
        <v>45</v>
      </c>
      <c r="C116" s="121" t="s">
        <v>174</v>
      </c>
      <c r="D116" t="s">
        <v>191</v>
      </c>
      <c r="E116" t="s">
        <v>59</v>
      </c>
      <c r="F116">
        <v>1</v>
      </c>
      <c r="G116">
        <v>11</v>
      </c>
      <c r="H116" s="86">
        <v>45959.066001342602</v>
      </c>
      <c r="I116" s="86">
        <v>45959.138182175899</v>
      </c>
      <c r="J116" s="87">
        <v>1.73234</v>
      </c>
      <c r="K116" s="69" t="s">
        <v>274</v>
      </c>
      <c r="L116" s="69"/>
      <c r="M116" s="71"/>
      <c r="N116" s="71"/>
      <c r="O116" s="71"/>
      <c r="P116" s="71" t="s">
        <v>275</v>
      </c>
      <c r="Q116" s="88">
        <v>1.5263240252868E-2</v>
      </c>
      <c r="R116" s="89" t="s">
        <v>276</v>
      </c>
      <c r="S116" s="89"/>
      <c r="T116">
        <v>6.3</v>
      </c>
      <c r="U116" s="76">
        <v>0.2</v>
      </c>
      <c r="V116">
        <v>9.5</v>
      </c>
      <c r="W116" s="90">
        <v>0.1</v>
      </c>
      <c r="X116" s="90"/>
      <c r="Y116" s="71"/>
      <c r="Z116" s="71"/>
      <c r="AA116" s="71"/>
      <c r="AB116" s="71"/>
      <c r="AC116" s="71"/>
      <c r="AD116" s="71"/>
      <c r="AE116" s="71"/>
      <c r="AF116" s="71"/>
      <c r="AG116" s="82">
        <v>0</v>
      </c>
      <c r="AH116" s="76"/>
      <c r="AI116" s="76"/>
      <c r="AJ116" s="76"/>
      <c r="AK116" s="71">
        <v>0.15</v>
      </c>
      <c r="AL116" s="88">
        <v>3.4362770551863299E-2</v>
      </c>
      <c r="AM116" s="89">
        <f t="shared" si="1"/>
        <v>0.229085137012422</v>
      </c>
      <c r="AN116" s="78"/>
    </row>
    <row r="117" spans="1:40" x14ac:dyDescent="0.25">
      <c r="A117" t="s">
        <v>44</v>
      </c>
      <c r="B117" t="s">
        <v>45</v>
      </c>
      <c r="C117" s="121" t="s">
        <v>174</v>
      </c>
      <c r="D117" t="s">
        <v>191</v>
      </c>
      <c r="E117" t="s">
        <v>59</v>
      </c>
      <c r="F117">
        <v>1</v>
      </c>
      <c r="G117">
        <v>12</v>
      </c>
      <c r="H117" s="86">
        <v>45959.138182175899</v>
      </c>
      <c r="I117" s="86">
        <v>45959.210380162003</v>
      </c>
      <c r="J117" s="87">
        <v>1.73275166666667</v>
      </c>
      <c r="K117" s="69" t="s">
        <v>274</v>
      </c>
      <c r="L117" s="69"/>
      <c r="M117" s="71"/>
      <c r="N117" s="71"/>
      <c r="O117" s="71"/>
      <c r="P117" s="71" t="s">
        <v>275</v>
      </c>
      <c r="Q117" s="88">
        <v>1.5306089612834599E-2</v>
      </c>
      <c r="R117" s="89" t="s">
        <v>276</v>
      </c>
      <c r="S117" s="89"/>
      <c r="T117">
        <v>6.3</v>
      </c>
      <c r="U117" s="76">
        <v>0.2</v>
      </c>
      <c r="V117">
        <v>9.5</v>
      </c>
      <c r="W117" s="90">
        <v>0.1</v>
      </c>
      <c r="X117" s="90"/>
      <c r="Y117" s="71"/>
      <c r="Z117" s="71"/>
      <c r="AA117" s="71"/>
      <c r="AB117" s="71"/>
      <c r="AC117" s="71"/>
      <c r="AD117" s="71"/>
      <c r="AE117" s="71"/>
      <c r="AF117" s="71"/>
      <c r="AG117" s="82">
        <v>0</v>
      </c>
      <c r="AH117" s="76"/>
      <c r="AI117" s="76"/>
      <c r="AJ117" s="76"/>
      <c r="AK117" s="71">
        <v>0.15</v>
      </c>
      <c r="AL117" s="88">
        <v>3.4362770551863299E-2</v>
      </c>
      <c r="AM117" s="89">
        <f t="shared" si="1"/>
        <v>0.229085137012422</v>
      </c>
      <c r="AN117" s="78"/>
    </row>
    <row r="118" spans="1:40" x14ac:dyDescent="0.25">
      <c r="A118" t="s">
        <v>44</v>
      </c>
      <c r="B118" t="s">
        <v>45</v>
      </c>
      <c r="C118" s="121" t="s">
        <v>174</v>
      </c>
      <c r="D118" t="s">
        <v>191</v>
      </c>
      <c r="E118" t="s">
        <v>59</v>
      </c>
      <c r="F118">
        <v>1</v>
      </c>
      <c r="G118">
        <v>13</v>
      </c>
      <c r="H118" s="86">
        <v>45959.210380162003</v>
      </c>
      <c r="I118" s="86">
        <v>45959.282561759297</v>
      </c>
      <c r="J118" s="87">
        <v>1.7323583333333299</v>
      </c>
      <c r="K118" s="69" t="s">
        <v>274</v>
      </c>
      <c r="L118" s="69"/>
      <c r="M118" s="71"/>
      <c r="N118" s="71"/>
      <c r="O118" s="71"/>
      <c r="P118" s="71" t="s">
        <v>275</v>
      </c>
      <c r="Q118" s="88">
        <v>1.00921334926878E-2</v>
      </c>
      <c r="R118" s="89" t="s">
        <v>276</v>
      </c>
      <c r="S118" s="89"/>
      <c r="T118">
        <v>5.8</v>
      </c>
      <c r="U118" s="76">
        <v>0.2</v>
      </c>
      <c r="V118">
        <v>9.4</v>
      </c>
      <c r="W118" s="90">
        <v>0.1</v>
      </c>
      <c r="X118" s="90"/>
      <c r="Y118" s="71"/>
      <c r="Z118" s="71"/>
      <c r="AA118" s="71"/>
      <c r="AB118" s="71"/>
      <c r="AC118" s="71"/>
      <c r="AD118" s="71"/>
      <c r="AE118" s="71"/>
      <c r="AF118" s="71"/>
      <c r="AG118" s="82">
        <v>0</v>
      </c>
      <c r="AH118" s="76"/>
      <c r="AI118" s="76"/>
      <c r="AJ118" s="76"/>
      <c r="AK118" s="71">
        <v>0.15</v>
      </c>
      <c r="AL118" s="88">
        <v>3.4362770551863299E-2</v>
      </c>
      <c r="AM118" s="89">
        <f t="shared" si="1"/>
        <v>0.229085137012422</v>
      </c>
      <c r="AN118" s="78"/>
    </row>
    <row r="119" spans="1:40" x14ac:dyDescent="0.25">
      <c r="A119" t="s">
        <v>44</v>
      </c>
      <c r="B119" t="s">
        <v>45</v>
      </c>
      <c r="C119" s="121" t="s">
        <v>174</v>
      </c>
      <c r="D119" t="s">
        <v>191</v>
      </c>
      <c r="E119" t="s">
        <v>59</v>
      </c>
      <c r="F119">
        <v>1</v>
      </c>
      <c r="G119">
        <v>14</v>
      </c>
      <c r="H119" s="86">
        <v>45959.282561759297</v>
      </c>
      <c r="I119" s="86">
        <v>45959.354746169003</v>
      </c>
      <c r="J119" s="87">
        <v>1.73242583333333</v>
      </c>
      <c r="K119" s="69" t="s">
        <v>274</v>
      </c>
      <c r="L119" s="69"/>
      <c r="M119" s="71"/>
      <c r="N119" s="71"/>
      <c r="O119" s="71"/>
      <c r="P119" s="71" t="s">
        <v>275</v>
      </c>
      <c r="Q119" s="88">
        <v>1.66020398336745E-2</v>
      </c>
      <c r="R119" s="89" t="s">
        <v>276</v>
      </c>
      <c r="S119" s="89"/>
      <c r="T119">
        <v>7.6</v>
      </c>
      <c r="U119" s="76">
        <v>0.2</v>
      </c>
      <c r="V119">
        <v>9.4</v>
      </c>
      <c r="W119" s="90">
        <v>0.1</v>
      </c>
      <c r="X119" s="90"/>
      <c r="Y119" s="71"/>
      <c r="Z119" s="71"/>
      <c r="AA119" s="71"/>
      <c r="AB119" s="71"/>
      <c r="AC119" s="71"/>
      <c r="AD119" s="71"/>
      <c r="AE119" s="71"/>
      <c r="AF119" s="71"/>
      <c r="AG119" s="82">
        <v>0.3</v>
      </c>
      <c r="AH119" s="76"/>
      <c r="AI119" s="76"/>
      <c r="AJ119" s="76"/>
      <c r="AK119" s="71">
        <v>0.15</v>
      </c>
      <c r="AL119" s="88">
        <v>3.4362770551863299E-2</v>
      </c>
      <c r="AM119" s="89">
        <f t="shared" si="1"/>
        <v>0.229085137012422</v>
      </c>
      <c r="AN119" s="78"/>
    </row>
    <row r="120" spans="1:40" x14ac:dyDescent="0.25">
      <c r="A120" t="s">
        <v>44</v>
      </c>
      <c r="B120" t="s">
        <v>45</v>
      </c>
      <c r="C120" s="121" t="s">
        <v>174</v>
      </c>
      <c r="D120" t="s">
        <v>191</v>
      </c>
      <c r="E120" t="s">
        <v>59</v>
      </c>
      <c r="F120">
        <v>1</v>
      </c>
      <c r="G120">
        <v>15</v>
      </c>
      <c r="H120" s="86">
        <v>45959.354746169003</v>
      </c>
      <c r="I120" s="86">
        <v>45959.426930624999</v>
      </c>
      <c r="J120" s="87">
        <v>1.73242694444444</v>
      </c>
      <c r="K120" s="69" t="s">
        <v>274</v>
      </c>
      <c r="L120" s="69"/>
      <c r="M120" s="71"/>
      <c r="N120" s="71"/>
      <c r="O120" s="71"/>
      <c r="P120" s="71" t="s">
        <v>275</v>
      </c>
      <c r="Q120" s="88">
        <v>2.9825103581308798E-2</v>
      </c>
      <c r="R120" s="89" t="s">
        <v>276</v>
      </c>
      <c r="S120" s="89"/>
      <c r="T120">
        <v>8.6</v>
      </c>
      <c r="U120" s="76">
        <v>0.2</v>
      </c>
      <c r="V120">
        <v>9.4</v>
      </c>
      <c r="W120" s="90">
        <v>0.1</v>
      </c>
      <c r="X120" s="90"/>
      <c r="Y120" s="71"/>
      <c r="Z120" s="71"/>
      <c r="AA120" s="71"/>
      <c r="AB120" s="71"/>
      <c r="AC120" s="71"/>
      <c r="AD120" s="71"/>
      <c r="AE120" s="71"/>
      <c r="AF120" s="71"/>
      <c r="AG120" s="82">
        <v>1.6</v>
      </c>
      <c r="AH120" s="76"/>
      <c r="AI120" s="76"/>
      <c r="AJ120" s="76"/>
      <c r="AK120" s="71">
        <v>0.15</v>
      </c>
      <c r="AL120" s="88">
        <v>3.4362770551863299E-2</v>
      </c>
      <c r="AM120" s="89">
        <f t="shared" si="1"/>
        <v>0.229085137012422</v>
      </c>
      <c r="AN120" s="78"/>
    </row>
    <row r="121" spans="1:40" x14ac:dyDescent="0.25">
      <c r="A121" t="s">
        <v>44</v>
      </c>
      <c r="B121" t="s">
        <v>45</v>
      </c>
      <c r="C121" s="121" t="s">
        <v>174</v>
      </c>
      <c r="D121" t="s">
        <v>191</v>
      </c>
      <c r="E121" t="s">
        <v>59</v>
      </c>
      <c r="F121">
        <v>1</v>
      </c>
      <c r="G121">
        <v>16</v>
      </c>
      <c r="H121" s="86">
        <v>45959.426930624999</v>
      </c>
      <c r="I121" s="86">
        <v>45959.499106273201</v>
      </c>
      <c r="J121" s="87">
        <v>1.7322155555555601</v>
      </c>
      <c r="K121" s="69" t="s">
        <v>274</v>
      </c>
      <c r="L121" s="69"/>
      <c r="M121" s="71"/>
      <c r="N121" s="71"/>
      <c r="O121" s="71"/>
      <c r="P121" s="71" t="s">
        <v>275</v>
      </c>
      <c r="Q121" s="88">
        <v>5.6583988011238401E-2</v>
      </c>
      <c r="R121" s="89" t="s">
        <v>276</v>
      </c>
      <c r="S121" s="89"/>
      <c r="T121">
        <v>9.5</v>
      </c>
      <c r="U121" s="76">
        <v>0.2</v>
      </c>
      <c r="V121">
        <v>9.4</v>
      </c>
      <c r="W121" s="90">
        <v>0.1</v>
      </c>
      <c r="X121" s="90"/>
      <c r="Y121" s="71"/>
      <c r="Z121" s="71"/>
      <c r="AA121" s="71"/>
      <c r="AB121" s="71"/>
      <c r="AC121" s="71"/>
      <c r="AD121" s="71"/>
      <c r="AE121" s="71"/>
      <c r="AF121" s="71"/>
      <c r="AG121" s="82">
        <v>0</v>
      </c>
      <c r="AH121" s="76"/>
      <c r="AI121" s="76"/>
      <c r="AJ121" s="76"/>
      <c r="AK121" s="71">
        <v>0.15</v>
      </c>
      <c r="AL121" s="88">
        <v>3.4362770551863299E-2</v>
      </c>
      <c r="AM121" s="89">
        <f t="shared" si="1"/>
        <v>0.229085137012422</v>
      </c>
      <c r="AN121" s="78"/>
    </row>
    <row r="122" spans="1:40" x14ac:dyDescent="0.25">
      <c r="A122" t="s">
        <v>44</v>
      </c>
      <c r="B122" t="s">
        <v>45</v>
      </c>
      <c r="C122" s="121" t="s">
        <v>174</v>
      </c>
      <c r="D122" t="s">
        <v>191</v>
      </c>
      <c r="E122" t="s">
        <v>59</v>
      </c>
      <c r="F122">
        <v>1</v>
      </c>
      <c r="G122">
        <v>17</v>
      </c>
      <c r="H122" s="86">
        <v>45959.499106273201</v>
      </c>
      <c r="I122" s="86">
        <v>45959.571292141198</v>
      </c>
      <c r="J122" s="87">
        <v>1.73246083333333</v>
      </c>
      <c r="K122" s="69" t="s">
        <v>274</v>
      </c>
      <c r="L122" s="69"/>
      <c r="M122" s="71"/>
      <c r="N122" s="71"/>
      <c r="O122" s="71"/>
      <c r="P122" s="71" t="s">
        <v>275</v>
      </c>
      <c r="Q122" s="88">
        <v>3.1718301725963197E-2</v>
      </c>
      <c r="R122" s="89" t="s">
        <v>276</v>
      </c>
      <c r="S122" s="89"/>
      <c r="T122">
        <v>9.8000000000000007</v>
      </c>
      <c r="U122" s="76">
        <v>0.2</v>
      </c>
      <c r="V122">
        <v>9.5</v>
      </c>
      <c r="W122" s="90">
        <v>0.1</v>
      </c>
      <c r="X122" s="90"/>
      <c r="Y122" s="71"/>
      <c r="Z122" s="71"/>
      <c r="AA122" s="71"/>
      <c r="AB122" s="71"/>
      <c r="AC122" s="71"/>
      <c r="AD122" s="71"/>
      <c r="AE122" s="71"/>
      <c r="AF122" s="71"/>
      <c r="AG122" s="82">
        <v>0</v>
      </c>
      <c r="AH122" s="76"/>
      <c r="AI122" s="76"/>
      <c r="AJ122" s="76"/>
      <c r="AK122" s="71">
        <v>0.15</v>
      </c>
      <c r="AL122" s="88">
        <v>3.4362770551863299E-2</v>
      </c>
      <c r="AM122" s="89">
        <f t="shared" si="1"/>
        <v>0.229085137012422</v>
      </c>
      <c r="AN122" s="78"/>
    </row>
    <row r="123" spans="1:40" x14ac:dyDescent="0.25">
      <c r="A123" t="s">
        <v>44</v>
      </c>
      <c r="B123" t="s">
        <v>45</v>
      </c>
      <c r="C123" s="121" t="s">
        <v>174</v>
      </c>
      <c r="D123" t="s">
        <v>191</v>
      </c>
      <c r="E123" t="s">
        <v>59</v>
      </c>
      <c r="F123">
        <v>1</v>
      </c>
      <c r="G123">
        <v>18</v>
      </c>
      <c r="H123" s="86">
        <v>45959.571292141198</v>
      </c>
      <c r="I123" s="86">
        <v>45959.643488333299</v>
      </c>
      <c r="J123" s="87">
        <v>1.7327086111111101</v>
      </c>
      <c r="K123" s="69" t="s">
        <v>274</v>
      </c>
      <c r="L123" s="69"/>
      <c r="M123" s="71"/>
      <c r="N123" s="71"/>
      <c r="O123" s="71"/>
      <c r="P123" s="71" t="s">
        <v>275</v>
      </c>
      <c r="Q123" s="88">
        <v>1.80515935824253E-2</v>
      </c>
      <c r="R123" s="89" t="s">
        <v>276</v>
      </c>
      <c r="S123" s="89"/>
      <c r="T123">
        <v>9.3000000000000007</v>
      </c>
      <c r="U123" s="76">
        <v>0.2</v>
      </c>
      <c r="V123">
        <v>9.6999999999999993</v>
      </c>
      <c r="W123" s="90">
        <v>0.1</v>
      </c>
      <c r="X123" s="90"/>
      <c r="Y123" s="71"/>
      <c r="Z123" s="71"/>
      <c r="AA123" s="71"/>
      <c r="AB123" s="71"/>
      <c r="AC123" s="71"/>
      <c r="AD123" s="71"/>
      <c r="AE123" s="71"/>
      <c r="AF123" s="71"/>
      <c r="AG123" s="82">
        <v>0.6</v>
      </c>
      <c r="AH123" s="76"/>
      <c r="AI123" s="76"/>
      <c r="AJ123" s="76"/>
      <c r="AK123" s="71">
        <v>0.15</v>
      </c>
      <c r="AL123" s="88">
        <v>3.4362770551863299E-2</v>
      </c>
      <c r="AM123" s="89">
        <f t="shared" si="1"/>
        <v>0.229085137012422</v>
      </c>
      <c r="AN123" s="78"/>
    </row>
    <row r="124" spans="1:40" x14ac:dyDescent="0.25">
      <c r="A124" t="s">
        <v>44</v>
      </c>
      <c r="B124" t="s">
        <v>45</v>
      </c>
      <c r="C124" s="121" t="s">
        <v>174</v>
      </c>
      <c r="D124" t="s">
        <v>191</v>
      </c>
      <c r="E124" t="s">
        <v>59</v>
      </c>
      <c r="F124">
        <v>1</v>
      </c>
      <c r="G124">
        <v>19</v>
      </c>
      <c r="H124" s="86">
        <v>45959.643488333299</v>
      </c>
      <c r="I124" s="86">
        <v>45959.715667592602</v>
      </c>
      <c r="J124" s="87">
        <v>1.73230222222222</v>
      </c>
      <c r="K124" s="69" t="s">
        <v>274</v>
      </c>
      <c r="L124" s="69"/>
      <c r="M124" s="71"/>
      <c r="N124" s="71"/>
      <c r="O124" s="71"/>
      <c r="P124" s="71" t="s">
        <v>275</v>
      </c>
      <c r="Q124" s="88">
        <v>1.5412720444846199E-2</v>
      </c>
      <c r="R124" s="89" t="s">
        <v>276</v>
      </c>
      <c r="S124" s="89"/>
      <c r="T124">
        <v>9.4</v>
      </c>
      <c r="U124" s="76">
        <v>0.2</v>
      </c>
      <c r="V124">
        <v>9.6999999999999993</v>
      </c>
      <c r="W124" s="90">
        <v>0.1</v>
      </c>
      <c r="X124" s="90"/>
      <c r="Y124" s="71"/>
      <c r="Z124" s="71"/>
      <c r="AA124" s="71"/>
      <c r="AB124" s="71"/>
      <c r="AC124" s="71"/>
      <c r="AD124" s="71"/>
      <c r="AE124" s="71"/>
      <c r="AF124" s="71"/>
      <c r="AG124" s="82">
        <v>0.1</v>
      </c>
      <c r="AH124" s="76"/>
      <c r="AI124" s="76"/>
      <c r="AJ124" s="76"/>
      <c r="AK124" s="71">
        <v>0.15</v>
      </c>
      <c r="AL124" s="88">
        <v>3.4362770551863299E-2</v>
      </c>
      <c r="AM124" s="89">
        <f t="shared" si="1"/>
        <v>0.229085137012422</v>
      </c>
      <c r="AN124" s="78"/>
    </row>
    <row r="125" spans="1:40" x14ac:dyDescent="0.25">
      <c r="A125" t="s">
        <v>44</v>
      </c>
      <c r="B125" t="s">
        <v>45</v>
      </c>
      <c r="C125" s="121" t="s">
        <v>174</v>
      </c>
      <c r="D125" t="s">
        <v>191</v>
      </c>
      <c r="E125" t="s">
        <v>59</v>
      </c>
      <c r="F125">
        <v>1</v>
      </c>
      <c r="G125">
        <v>20</v>
      </c>
      <c r="H125" s="86">
        <v>45959.715667592602</v>
      </c>
      <c r="I125" s="86">
        <v>45959.7878609607</v>
      </c>
      <c r="J125" s="87">
        <v>1.7326408333333301</v>
      </c>
      <c r="K125" s="69" t="s">
        <v>274</v>
      </c>
      <c r="L125" s="69"/>
      <c r="M125" s="71"/>
      <c r="N125" s="71"/>
      <c r="O125" s="71"/>
      <c r="P125" s="71" t="s">
        <v>275</v>
      </c>
      <c r="Q125" s="88">
        <v>1.2419645187920301E-2</v>
      </c>
      <c r="R125" s="89" t="s">
        <v>276</v>
      </c>
      <c r="S125" s="89"/>
      <c r="T125">
        <v>9.3000000000000007</v>
      </c>
      <c r="U125" s="76">
        <v>0.2</v>
      </c>
      <c r="V125">
        <v>9.8000000000000007</v>
      </c>
      <c r="W125" s="90">
        <v>0.1</v>
      </c>
      <c r="X125" s="90"/>
      <c r="Y125" s="71"/>
      <c r="Z125" s="71"/>
      <c r="AA125" s="71"/>
      <c r="AB125" s="71"/>
      <c r="AC125" s="71"/>
      <c r="AD125" s="71"/>
      <c r="AE125" s="71"/>
      <c r="AF125" s="71"/>
      <c r="AG125" s="82">
        <v>0.1</v>
      </c>
      <c r="AH125" s="76"/>
      <c r="AI125" s="76"/>
      <c r="AJ125" s="76"/>
      <c r="AK125" s="71">
        <v>0.15</v>
      </c>
      <c r="AL125" s="88">
        <v>3.4362770551863299E-2</v>
      </c>
      <c r="AM125" s="89">
        <f t="shared" si="1"/>
        <v>0.229085137012422</v>
      </c>
      <c r="AN125" s="78"/>
    </row>
    <row r="126" spans="1:40" x14ac:dyDescent="0.25">
      <c r="A126" t="s">
        <v>44</v>
      </c>
      <c r="B126" t="s">
        <v>45</v>
      </c>
      <c r="C126" s="121" t="s">
        <v>174</v>
      </c>
      <c r="D126" t="s">
        <v>191</v>
      </c>
      <c r="E126" t="s">
        <v>59</v>
      </c>
      <c r="F126">
        <v>1</v>
      </c>
      <c r="G126">
        <v>21</v>
      </c>
      <c r="H126" s="86">
        <v>45959.7878609607</v>
      </c>
      <c r="I126" s="86">
        <v>45959.860043171298</v>
      </c>
      <c r="J126" s="87">
        <v>1.7323730555555601</v>
      </c>
      <c r="K126" s="69" t="s">
        <v>274</v>
      </c>
      <c r="L126" s="69"/>
      <c r="M126" s="71"/>
      <c r="N126" s="71"/>
      <c r="O126" s="71"/>
      <c r="P126" s="71" t="s">
        <v>275</v>
      </c>
      <c r="Q126" s="88">
        <v>1.3493325758620601E-2</v>
      </c>
      <c r="R126" s="89" t="s">
        <v>276</v>
      </c>
      <c r="S126" s="89"/>
      <c r="T126">
        <v>8.8000000000000007</v>
      </c>
      <c r="U126" s="76">
        <v>0.2</v>
      </c>
      <c r="V126">
        <v>9.9</v>
      </c>
      <c r="W126" s="90">
        <v>0.1</v>
      </c>
      <c r="X126" s="90"/>
      <c r="Y126" s="71"/>
      <c r="Z126" s="71"/>
      <c r="AA126" s="71"/>
      <c r="AB126" s="71"/>
      <c r="AC126" s="71"/>
      <c r="AD126" s="71"/>
      <c r="AE126" s="71"/>
      <c r="AF126" s="71"/>
      <c r="AG126" s="82">
        <v>0.1</v>
      </c>
      <c r="AH126" s="76"/>
      <c r="AI126" s="76"/>
      <c r="AJ126" s="76"/>
      <c r="AK126" s="71">
        <v>0.15</v>
      </c>
      <c r="AL126" s="88">
        <v>3.4362770551863299E-2</v>
      </c>
      <c r="AM126" s="89">
        <f t="shared" si="1"/>
        <v>0.229085137012422</v>
      </c>
      <c r="AN126" s="78"/>
    </row>
    <row r="127" spans="1:40" x14ac:dyDescent="0.25">
      <c r="A127" t="s">
        <v>44</v>
      </c>
      <c r="B127" t="s">
        <v>45</v>
      </c>
      <c r="C127" s="121" t="s">
        <v>174</v>
      </c>
      <c r="D127" t="s">
        <v>191</v>
      </c>
      <c r="E127" t="s">
        <v>59</v>
      </c>
      <c r="F127">
        <v>1</v>
      </c>
      <c r="G127">
        <v>22</v>
      </c>
      <c r="H127" s="86">
        <v>45959.860043171298</v>
      </c>
      <c r="I127" s="86">
        <v>45959.932214247703</v>
      </c>
      <c r="J127" s="87">
        <v>1.7321058333333299</v>
      </c>
      <c r="K127" s="69" t="s">
        <v>274</v>
      </c>
      <c r="L127" s="69"/>
      <c r="M127" s="71"/>
      <c r="N127" s="71"/>
      <c r="O127" s="71"/>
      <c r="P127" s="71" t="s">
        <v>275</v>
      </c>
      <c r="Q127" s="88">
        <v>1.24924027986932E-2</v>
      </c>
      <c r="R127" s="89" t="s">
        <v>276</v>
      </c>
      <c r="S127" s="89"/>
      <c r="T127">
        <v>9</v>
      </c>
      <c r="U127" s="76">
        <v>0.2</v>
      </c>
      <c r="V127">
        <v>9.9</v>
      </c>
      <c r="W127" s="90">
        <v>0.1</v>
      </c>
      <c r="X127" s="90"/>
      <c r="Y127" s="71"/>
      <c r="Z127" s="71"/>
      <c r="AA127" s="71"/>
      <c r="AB127" s="71"/>
      <c r="AC127" s="71"/>
      <c r="AD127" s="71"/>
      <c r="AE127" s="71"/>
      <c r="AF127" s="71"/>
      <c r="AG127" s="82">
        <v>0.1</v>
      </c>
      <c r="AH127" s="76"/>
      <c r="AI127" s="76"/>
      <c r="AJ127" s="76"/>
      <c r="AK127" s="71">
        <v>0.15</v>
      </c>
      <c r="AL127" s="88">
        <v>3.4362770551863299E-2</v>
      </c>
      <c r="AM127" s="89">
        <f t="shared" si="1"/>
        <v>0.229085137012422</v>
      </c>
      <c r="AN127" s="78"/>
    </row>
    <row r="128" spans="1:40" x14ac:dyDescent="0.25">
      <c r="A128" t="s">
        <v>44</v>
      </c>
      <c r="B128" t="s">
        <v>45</v>
      </c>
      <c r="C128" s="121" t="s">
        <v>174</v>
      </c>
      <c r="D128" t="s">
        <v>191</v>
      </c>
      <c r="E128" t="s">
        <v>59</v>
      </c>
      <c r="F128">
        <v>1</v>
      </c>
      <c r="G128">
        <v>23</v>
      </c>
      <c r="H128" s="86">
        <v>45959.932214247703</v>
      </c>
      <c r="I128" s="86">
        <v>45960.004418588003</v>
      </c>
      <c r="J128" s="87">
        <v>1.73290416666667</v>
      </c>
      <c r="K128" s="69" t="s">
        <v>274</v>
      </c>
      <c r="L128" s="69"/>
      <c r="M128" s="71"/>
      <c r="N128" s="71"/>
      <c r="O128" s="71"/>
      <c r="P128" s="71" t="s">
        <v>275</v>
      </c>
      <c r="Q128" s="88">
        <v>1.45920749497563E-2</v>
      </c>
      <c r="R128" s="89" t="s">
        <v>276</v>
      </c>
      <c r="S128" s="89"/>
      <c r="T128">
        <v>8.9</v>
      </c>
      <c r="U128" s="76">
        <v>0.2</v>
      </c>
      <c r="V128">
        <v>9.9</v>
      </c>
      <c r="W128" s="90">
        <v>0.1</v>
      </c>
      <c r="X128" s="90"/>
      <c r="Y128" s="71"/>
      <c r="Z128" s="71"/>
      <c r="AA128" s="71"/>
      <c r="AB128" s="71"/>
      <c r="AC128" s="71"/>
      <c r="AD128" s="71"/>
      <c r="AE128" s="71"/>
      <c r="AF128" s="71"/>
      <c r="AG128" s="82">
        <v>0.4</v>
      </c>
      <c r="AH128" s="76"/>
      <c r="AI128" s="76"/>
      <c r="AJ128" s="76"/>
      <c r="AK128" s="71">
        <v>0.15</v>
      </c>
      <c r="AL128" s="88">
        <v>3.4362770551863299E-2</v>
      </c>
      <c r="AM128" s="89">
        <f t="shared" si="1"/>
        <v>0.229085137012422</v>
      </c>
      <c r="AN128" s="78"/>
    </row>
    <row r="129" spans="1:40" x14ac:dyDescent="0.25">
      <c r="A129" t="s">
        <v>44</v>
      </c>
      <c r="B129" t="s">
        <v>45</v>
      </c>
      <c r="C129" s="121" t="s">
        <v>174</v>
      </c>
      <c r="D129" t="s">
        <v>191</v>
      </c>
      <c r="E129" t="s">
        <v>59</v>
      </c>
      <c r="F129">
        <v>1</v>
      </c>
      <c r="G129">
        <v>24</v>
      </c>
      <c r="H129" s="86">
        <v>45960.004418588003</v>
      </c>
      <c r="I129" s="86">
        <v>45960.076599687498</v>
      </c>
      <c r="J129" s="87">
        <v>1.7323463888888899</v>
      </c>
      <c r="K129" s="69" t="s">
        <v>274</v>
      </c>
      <c r="L129" s="69"/>
      <c r="M129" s="71"/>
      <c r="N129" s="71"/>
      <c r="O129" s="71"/>
      <c r="P129" s="71" t="s">
        <v>275</v>
      </c>
      <c r="Q129" s="88">
        <v>1.4148152244549E-2</v>
      </c>
      <c r="R129" s="89" t="s">
        <v>276</v>
      </c>
      <c r="S129" s="89"/>
      <c r="T129">
        <v>8.6999999999999993</v>
      </c>
      <c r="U129" s="76">
        <v>0.2</v>
      </c>
      <c r="V129">
        <v>9.9</v>
      </c>
      <c r="W129" s="90">
        <v>0.1</v>
      </c>
      <c r="X129" s="90"/>
      <c r="Y129" s="71"/>
      <c r="Z129" s="71"/>
      <c r="AA129" s="71"/>
      <c r="AB129" s="71"/>
      <c r="AC129" s="71"/>
      <c r="AD129" s="71"/>
      <c r="AE129" s="71"/>
      <c r="AF129" s="71"/>
      <c r="AG129" s="82">
        <v>2.6</v>
      </c>
      <c r="AH129" s="76"/>
      <c r="AI129" s="76"/>
      <c r="AJ129" s="76"/>
      <c r="AK129" s="71">
        <v>0.15</v>
      </c>
      <c r="AL129" s="88">
        <v>3.4362770551863299E-2</v>
      </c>
      <c r="AM129" s="89">
        <f t="shared" si="1"/>
        <v>0.229085137012422</v>
      </c>
      <c r="AN129" s="78"/>
    </row>
    <row r="130" spans="1:40" x14ac:dyDescent="0.25">
      <c r="A130" t="s">
        <v>44</v>
      </c>
      <c r="B130" t="s">
        <v>45</v>
      </c>
      <c r="C130" s="121" t="s">
        <v>174</v>
      </c>
      <c r="D130" t="s">
        <v>191</v>
      </c>
      <c r="E130" t="s">
        <v>59</v>
      </c>
      <c r="F130">
        <v>1</v>
      </c>
      <c r="G130">
        <v>25</v>
      </c>
      <c r="H130" s="86">
        <v>45960.076599687498</v>
      </c>
      <c r="I130" s="86">
        <v>45960.148782152799</v>
      </c>
      <c r="J130" s="87">
        <v>1.7323791666666699</v>
      </c>
      <c r="K130" s="69" t="s">
        <v>274</v>
      </c>
      <c r="L130" s="69"/>
      <c r="M130" s="71"/>
      <c r="N130" s="71"/>
      <c r="O130" s="71"/>
      <c r="P130" s="71" t="s">
        <v>275</v>
      </c>
      <c r="Q130" s="88">
        <v>1.47881120178271E-2</v>
      </c>
      <c r="R130" s="89" t="s">
        <v>276</v>
      </c>
      <c r="S130" s="89"/>
      <c r="T130">
        <v>8.6999999999999993</v>
      </c>
      <c r="U130" s="76">
        <v>0.2</v>
      </c>
      <c r="V130">
        <v>9.9</v>
      </c>
      <c r="W130" s="90">
        <v>0.1</v>
      </c>
      <c r="X130" s="90"/>
      <c r="Y130" s="71"/>
      <c r="Z130" s="71"/>
      <c r="AA130" s="71"/>
      <c r="AB130" s="71"/>
      <c r="AC130" s="71"/>
      <c r="AD130" s="71"/>
      <c r="AE130" s="71"/>
      <c r="AF130" s="71"/>
      <c r="AG130" s="82">
        <v>1.3</v>
      </c>
      <c r="AH130" s="76"/>
      <c r="AI130" s="76"/>
      <c r="AJ130" s="76"/>
      <c r="AK130" s="71">
        <v>0.15</v>
      </c>
      <c r="AL130" s="88">
        <v>3.4362770551863299E-2</v>
      </c>
      <c r="AM130" s="89">
        <f t="shared" si="1"/>
        <v>0.229085137012422</v>
      </c>
      <c r="AN130" s="78"/>
    </row>
    <row r="131" spans="1:40" x14ac:dyDescent="0.25">
      <c r="A131" t="s">
        <v>44</v>
      </c>
      <c r="B131" t="s">
        <v>45</v>
      </c>
      <c r="C131" s="121" t="s">
        <v>174</v>
      </c>
      <c r="D131" t="s">
        <v>191</v>
      </c>
      <c r="E131" t="s">
        <v>59</v>
      </c>
      <c r="F131">
        <v>1</v>
      </c>
      <c r="G131">
        <v>26</v>
      </c>
      <c r="H131" s="86">
        <v>45960.148782152799</v>
      </c>
      <c r="I131" s="86">
        <v>45960.2209570255</v>
      </c>
      <c r="J131" s="87">
        <v>1.7321969444444401</v>
      </c>
      <c r="K131" s="69" t="s">
        <v>274</v>
      </c>
      <c r="L131" s="69"/>
      <c r="M131" s="71"/>
      <c r="N131" s="71"/>
      <c r="O131" s="71"/>
      <c r="P131" s="71" t="s">
        <v>275</v>
      </c>
      <c r="Q131" s="88">
        <v>1.87671591571981E-2</v>
      </c>
      <c r="R131" s="89" t="s">
        <v>276</v>
      </c>
      <c r="S131" s="89"/>
      <c r="T131">
        <v>8.6999999999999993</v>
      </c>
      <c r="U131" s="76">
        <v>0.2</v>
      </c>
      <c r="V131">
        <v>9.8000000000000007</v>
      </c>
      <c r="W131" s="90">
        <v>0.1</v>
      </c>
      <c r="X131" s="90"/>
      <c r="Y131" s="71"/>
      <c r="Z131" s="71"/>
      <c r="AA131" s="71"/>
      <c r="AB131" s="71"/>
      <c r="AC131" s="71"/>
      <c r="AD131" s="71"/>
      <c r="AE131" s="71"/>
      <c r="AF131" s="71"/>
      <c r="AG131" s="82">
        <v>3</v>
      </c>
      <c r="AH131" s="76"/>
      <c r="AI131" s="76"/>
      <c r="AJ131" s="76"/>
      <c r="AK131" s="71">
        <v>0.15</v>
      </c>
      <c r="AL131" s="88">
        <v>3.4362770551863299E-2</v>
      </c>
      <c r="AM131" s="89">
        <f t="shared" si="1"/>
        <v>0.229085137012422</v>
      </c>
      <c r="AN131" s="78"/>
    </row>
    <row r="132" spans="1:40" x14ac:dyDescent="0.25">
      <c r="A132" t="s">
        <v>44</v>
      </c>
      <c r="B132" t="s">
        <v>45</v>
      </c>
      <c r="C132" s="121" t="s">
        <v>174</v>
      </c>
      <c r="D132" t="s">
        <v>191</v>
      </c>
      <c r="E132" t="s">
        <v>59</v>
      </c>
      <c r="F132">
        <v>1</v>
      </c>
      <c r="G132">
        <v>27</v>
      </c>
      <c r="H132" s="86">
        <v>45960.2209570255</v>
      </c>
      <c r="I132" s="86">
        <v>45960.2931553819</v>
      </c>
      <c r="J132" s="87">
        <v>1.7327605555555601</v>
      </c>
      <c r="K132" s="69" t="s">
        <v>274</v>
      </c>
      <c r="L132" s="69"/>
      <c r="M132" s="71"/>
      <c r="N132" s="71"/>
      <c r="O132" s="71"/>
      <c r="P132" s="71" t="s">
        <v>275</v>
      </c>
      <c r="Q132" s="88">
        <v>2.1959007757907899E-2</v>
      </c>
      <c r="R132" s="89" t="s">
        <v>276</v>
      </c>
      <c r="S132" s="89"/>
      <c r="T132">
        <v>8.5</v>
      </c>
      <c r="U132" s="76">
        <v>0.2</v>
      </c>
      <c r="V132">
        <v>9.8000000000000007</v>
      </c>
      <c r="W132" s="90">
        <v>0.1</v>
      </c>
      <c r="X132" s="90"/>
      <c r="Y132" s="71"/>
      <c r="Z132" s="71"/>
      <c r="AA132" s="71"/>
      <c r="AB132" s="71"/>
      <c r="AC132" s="71"/>
      <c r="AD132" s="71"/>
      <c r="AE132" s="71"/>
      <c r="AF132" s="71"/>
      <c r="AG132" s="82">
        <v>1.5</v>
      </c>
      <c r="AH132" s="76"/>
      <c r="AI132" s="76"/>
      <c r="AJ132" s="76"/>
      <c r="AK132" s="71">
        <v>0.15</v>
      </c>
      <c r="AL132" s="88">
        <v>3.4362770551863299E-2</v>
      </c>
      <c r="AM132" s="89">
        <f t="shared" si="1"/>
        <v>0.229085137012422</v>
      </c>
      <c r="AN132" s="78"/>
    </row>
    <row r="133" spans="1:40" x14ac:dyDescent="0.25">
      <c r="A133" t="s">
        <v>44</v>
      </c>
      <c r="B133" t="s">
        <v>45</v>
      </c>
      <c r="C133" s="121" t="s">
        <v>174</v>
      </c>
      <c r="D133" t="s">
        <v>191</v>
      </c>
      <c r="E133" t="s">
        <v>59</v>
      </c>
      <c r="F133">
        <v>1</v>
      </c>
      <c r="G133">
        <v>28</v>
      </c>
      <c r="H133" s="86">
        <v>45960.2931553819</v>
      </c>
      <c r="I133" s="86">
        <v>45960.365335682902</v>
      </c>
      <c r="J133" s="87">
        <v>1.7323272222222199</v>
      </c>
      <c r="K133" s="69" t="s">
        <v>274</v>
      </c>
      <c r="L133" s="69"/>
      <c r="M133" s="71"/>
      <c r="N133" s="71"/>
      <c r="O133" s="71"/>
      <c r="P133" s="71" t="s">
        <v>275</v>
      </c>
      <c r="Q133" s="88">
        <v>3.05180129621546E-2</v>
      </c>
      <c r="R133" s="89" t="s">
        <v>276</v>
      </c>
      <c r="S133" s="89"/>
      <c r="T133">
        <v>8</v>
      </c>
      <c r="U133" s="76">
        <v>0.2</v>
      </c>
      <c r="V133">
        <v>9.8000000000000007</v>
      </c>
      <c r="W133" s="90">
        <v>0.1</v>
      </c>
      <c r="X133" s="90"/>
      <c r="Y133" s="71"/>
      <c r="Z133" s="71"/>
      <c r="AA133" s="71"/>
      <c r="AB133" s="71"/>
      <c r="AC133" s="71"/>
      <c r="AD133" s="71"/>
      <c r="AE133" s="71"/>
      <c r="AF133" s="71"/>
      <c r="AG133" s="82">
        <v>0.1</v>
      </c>
      <c r="AH133" s="76"/>
      <c r="AI133" s="76"/>
      <c r="AJ133" s="76"/>
      <c r="AK133" s="71">
        <v>0.15</v>
      </c>
      <c r="AL133" s="88">
        <v>3.4362770551863299E-2</v>
      </c>
      <c r="AM133" s="89">
        <f t="shared" ref="AM133:AM196" si="2">AL133/AK133</f>
        <v>0.229085137012422</v>
      </c>
      <c r="AN133" s="78"/>
    </row>
    <row r="134" spans="1:40" x14ac:dyDescent="0.25">
      <c r="A134" t="s">
        <v>44</v>
      </c>
      <c r="B134" t="s">
        <v>45</v>
      </c>
      <c r="C134" s="121" t="s">
        <v>174</v>
      </c>
      <c r="D134" t="s">
        <v>191</v>
      </c>
      <c r="E134" t="s">
        <v>59</v>
      </c>
      <c r="F134">
        <v>1</v>
      </c>
      <c r="G134">
        <v>29</v>
      </c>
      <c r="H134" s="86">
        <v>45960.365335682902</v>
      </c>
      <c r="I134" s="86">
        <v>45960.4375269097</v>
      </c>
      <c r="J134" s="87">
        <v>1.7325894444444501</v>
      </c>
      <c r="K134" s="69" t="s">
        <v>274</v>
      </c>
      <c r="L134" s="69"/>
      <c r="M134" s="71"/>
      <c r="N134" s="71"/>
      <c r="O134" s="71"/>
      <c r="P134" s="71" t="s">
        <v>275</v>
      </c>
      <c r="Q134" s="88">
        <v>3.6373049899668997E-2</v>
      </c>
      <c r="R134" s="89" t="s">
        <v>276</v>
      </c>
      <c r="S134" s="89"/>
      <c r="T134">
        <v>8</v>
      </c>
      <c r="U134" s="76">
        <v>0.2</v>
      </c>
      <c r="V134">
        <v>9.8000000000000007</v>
      </c>
      <c r="W134" s="90">
        <v>0.1</v>
      </c>
      <c r="X134" s="90"/>
      <c r="Y134" s="71"/>
      <c r="Z134" s="71"/>
      <c r="AA134" s="71"/>
      <c r="AB134" s="71"/>
      <c r="AC134" s="71"/>
      <c r="AD134" s="71"/>
      <c r="AE134" s="71"/>
      <c r="AF134" s="71"/>
      <c r="AG134" s="82">
        <v>0.5</v>
      </c>
      <c r="AH134" s="76"/>
      <c r="AI134" s="76"/>
      <c r="AJ134" s="76"/>
      <c r="AK134" s="71">
        <v>0.15</v>
      </c>
      <c r="AL134" s="88">
        <v>3.4362770551863299E-2</v>
      </c>
      <c r="AM134" s="89">
        <f t="shared" si="2"/>
        <v>0.229085137012422</v>
      </c>
      <c r="AN134" s="78"/>
    </row>
    <row r="135" spans="1:40" x14ac:dyDescent="0.25">
      <c r="A135" t="s">
        <v>44</v>
      </c>
      <c r="B135" t="s">
        <v>45</v>
      </c>
      <c r="C135" s="121" t="s">
        <v>174</v>
      </c>
      <c r="D135" t="s">
        <v>191</v>
      </c>
      <c r="E135" t="s">
        <v>59</v>
      </c>
      <c r="F135">
        <v>1</v>
      </c>
      <c r="G135">
        <v>30</v>
      </c>
      <c r="H135" s="86">
        <v>45960.4375269097</v>
      </c>
      <c r="I135" s="86">
        <v>45960.509706446799</v>
      </c>
      <c r="J135" s="87">
        <v>1.73230888888889</v>
      </c>
      <c r="K135" s="69" t="s">
        <v>274</v>
      </c>
      <c r="L135" s="69"/>
      <c r="M135" s="71"/>
      <c r="N135" s="71"/>
      <c r="O135" s="71"/>
      <c r="P135" s="71" t="s">
        <v>275</v>
      </c>
      <c r="Q135" s="88">
        <v>6.8791699634749001E-2</v>
      </c>
      <c r="R135" s="89" t="s">
        <v>276</v>
      </c>
      <c r="S135" s="89"/>
      <c r="T135">
        <v>8.1</v>
      </c>
      <c r="U135" s="76">
        <v>0.2</v>
      </c>
      <c r="V135">
        <v>9.8000000000000007</v>
      </c>
      <c r="W135" s="90">
        <v>0.1</v>
      </c>
      <c r="X135" s="90"/>
      <c r="Y135" s="71"/>
      <c r="Z135" s="71"/>
      <c r="AA135" s="71"/>
      <c r="AB135" s="71"/>
      <c r="AC135" s="71"/>
      <c r="AD135" s="71"/>
      <c r="AE135" s="71"/>
      <c r="AF135" s="71"/>
      <c r="AG135" s="82">
        <v>0</v>
      </c>
      <c r="AH135" s="76"/>
      <c r="AI135" s="76"/>
      <c r="AJ135" s="76"/>
      <c r="AK135" s="71">
        <v>0.15</v>
      </c>
      <c r="AL135" s="88">
        <v>3.4362770551863299E-2</v>
      </c>
      <c r="AM135" s="89">
        <f t="shared" si="2"/>
        <v>0.229085137012422</v>
      </c>
      <c r="AN135" s="78"/>
    </row>
    <row r="136" spans="1:40" x14ac:dyDescent="0.25">
      <c r="A136" t="s">
        <v>44</v>
      </c>
      <c r="B136" t="s">
        <v>45</v>
      </c>
      <c r="C136" s="121" t="s">
        <v>174</v>
      </c>
      <c r="D136" t="s">
        <v>191</v>
      </c>
      <c r="E136" t="s">
        <v>59</v>
      </c>
      <c r="F136">
        <v>1</v>
      </c>
      <c r="G136">
        <v>31</v>
      </c>
      <c r="H136" s="86">
        <v>45960.509706446799</v>
      </c>
      <c r="I136" s="86">
        <v>45960.581895069401</v>
      </c>
      <c r="J136" s="87">
        <v>1.73252694444444</v>
      </c>
      <c r="K136" s="69" t="s">
        <v>274</v>
      </c>
      <c r="L136" s="69"/>
      <c r="M136" s="71"/>
      <c r="N136" s="71"/>
      <c r="O136" s="71"/>
      <c r="P136" s="71" t="s">
        <v>275</v>
      </c>
      <c r="Q136" s="88">
        <v>0.109193807010072</v>
      </c>
      <c r="R136" s="89" t="s">
        <v>276</v>
      </c>
      <c r="S136" s="89"/>
      <c r="T136">
        <v>10.1</v>
      </c>
      <c r="U136" s="76">
        <v>0.2</v>
      </c>
      <c r="V136">
        <v>9.8000000000000007</v>
      </c>
      <c r="W136" s="90">
        <v>0.1</v>
      </c>
      <c r="X136" s="90"/>
      <c r="Y136" s="71"/>
      <c r="Z136" s="71"/>
      <c r="AA136" s="71"/>
      <c r="AB136" s="71"/>
      <c r="AC136" s="71"/>
      <c r="AD136" s="71"/>
      <c r="AE136" s="71"/>
      <c r="AF136" s="71"/>
      <c r="AG136" s="82">
        <v>0</v>
      </c>
      <c r="AH136" s="76"/>
      <c r="AI136" s="76"/>
      <c r="AJ136" s="76"/>
      <c r="AK136" s="71">
        <v>0.15</v>
      </c>
      <c r="AL136" s="88">
        <v>3.4362770551863299E-2</v>
      </c>
      <c r="AM136" s="89">
        <f t="shared" si="2"/>
        <v>0.229085137012422</v>
      </c>
      <c r="AN136" s="78"/>
    </row>
    <row r="137" spans="1:40" x14ac:dyDescent="0.25">
      <c r="A137" t="s">
        <v>44</v>
      </c>
      <c r="B137" t="s">
        <v>45</v>
      </c>
      <c r="C137" s="121" t="s">
        <v>174</v>
      </c>
      <c r="D137" t="s">
        <v>191</v>
      </c>
      <c r="E137" t="s">
        <v>59</v>
      </c>
      <c r="F137">
        <v>1</v>
      </c>
      <c r="G137">
        <v>32</v>
      </c>
      <c r="H137" s="86">
        <v>45960.581895069401</v>
      </c>
      <c r="I137" s="86">
        <v>45960.654064652801</v>
      </c>
      <c r="J137" s="87">
        <v>1.73207</v>
      </c>
      <c r="K137" s="69" t="s">
        <v>274</v>
      </c>
      <c r="L137" s="69"/>
      <c r="M137" s="71"/>
      <c r="N137" s="71"/>
      <c r="O137" s="71"/>
      <c r="P137" s="71" t="s">
        <v>275</v>
      </c>
      <c r="Q137" s="88">
        <v>6.4698255156733706E-2</v>
      </c>
      <c r="R137" s="89" t="s">
        <v>276</v>
      </c>
      <c r="S137" s="89"/>
      <c r="T137">
        <v>10.6</v>
      </c>
      <c r="U137" s="76">
        <v>0.2</v>
      </c>
      <c r="V137">
        <v>9.9</v>
      </c>
      <c r="W137" s="90">
        <v>0.1</v>
      </c>
      <c r="X137" s="90"/>
      <c r="Y137" s="71"/>
      <c r="Z137" s="71"/>
      <c r="AA137" s="71"/>
      <c r="AB137" s="71"/>
      <c r="AC137" s="71"/>
      <c r="AD137" s="71"/>
      <c r="AE137" s="71"/>
      <c r="AF137" s="71"/>
      <c r="AG137" s="82">
        <v>0</v>
      </c>
      <c r="AH137" s="76"/>
      <c r="AI137" s="76"/>
      <c r="AJ137" s="76"/>
      <c r="AK137" s="71">
        <v>0.15</v>
      </c>
      <c r="AL137" s="88">
        <v>3.4362770551863299E-2</v>
      </c>
      <c r="AM137" s="89">
        <f t="shared" si="2"/>
        <v>0.229085137012422</v>
      </c>
      <c r="AN137" s="78"/>
    </row>
    <row r="138" spans="1:40" x14ac:dyDescent="0.25">
      <c r="A138" t="s">
        <v>44</v>
      </c>
      <c r="B138" t="s">
        <v>45</v>
      </c>
      <c r="C138" s="121" t="s">
        <v>174</v>
      </c>
      <c r="D138" t="s">
        <v>191</v>
      </c>
      <c r="E138" t="s">
        <v>59</v>
      </c>
      <c r="F138">
        <v>1</v>
      </c>
      <c r="G138">
        <v>33</v>
      </c>
      <c r="H138" s="86">
        <v>45960.654064652801</v>
      </c>
      <c r="I138" s="86">
        <v>45960.726268923601</v>
      </c>
      <c r="J138" s="87">
        <v>1.7329025</v>
      </c>
      <c r="K138" s="69" t="s">
        <v>274</v>
      </c>
      <c r="L138" s="69"/>
      <c r="M138" s="71"/>
      <c r="N138" s="71"/>
      <c r="O138" s="71"/>
      <c r="P138" s="71" t="s">
        <v>275</v>
      </c>
      <c r="Q138" s="88">
        <v>3.7984361386220897E-2</v>
      </c>
      <c r="R138" s="89" t="s">
        <v>276</v>
      </c>
      <c r="S138" s="89"/>
      <c r="T138">
        <v>7</v>
      </c>
      <c r="U138" s="76">
        <v>0.2</v>
      </c>
      <c r="V138">
        <v>10</v>
      </c>
      <c r="W138" s="90">
        <v>0.1</v>
      </c>
      <c r="X138" s="90"/>
      <c r="Y138" s="71"/>
      <c r="Z138" s="71"/>
      <c r="AA138" s="71"/>
      <c r="AB138" s="71"/>
      <c r="AC138" s="71"/>
      <c r="AD138" s="71"/>
      <c r="AE138" s="71"/>
      <c r="AF138" s="71"/>
      <c r="AG138" s="82">
        <v>0</v>
      </c>
      <c r="AH138" s="76"/>
      <c r="AI138" s="76"/>
      <c r="AJ138" s="76"/>
      <c r="AK138" s="71">
        <v>0.15</v>
      </c>
      <c r="AL138" s="88">
        <v>3.4362770551863299E-2</v>
      </c>
      <c r="AM138" s="89">
        <f t="shared" si="2"/>
        <v>0.229085137012422</v>
      </c>
      <c r="AN138" s="78"/>
    </row>
    <row r="139" spans="1:40" x14ac:dyDescent="0.25">
      <c r="A139" t="s">
        <v>44</v>
      </c>
      <c r="B139" t="s">
        <v>45</v>
      </c>
      <c r="C139" s="121" t="s">
        <v>174</v>
      </c>
      <c r="D139" t="s">
        <v>191</v>
      </c>
      <c r="E139" t="s">
        <v>59</v>
      </c>
      <c r="F139">
        <v>1</v>
      </c>
      <c r="G139">
        <v>34</v>
      </c>
      <c r="H139" s="86">
        <v>45960.726268923601</v>
      </c>
      <c r="I139" s="86">
        <v>45960.798446330999</v>
      </c>
      <c r="J139" s="87">
        <v>1.7322577777777799</v>
      </c>
      <c r="K139" s="69" t="s">
        <v>274</v>
      </c>
      <c r="L139" s="69"/>
      <c r="M139" s="71"/>
      <c r="N139" s="71"/>
      <c r="O139" s="71"/>
      <c r="P139" s="71" t="s">
        <v>275</v>
      </c>
      <c r="Q139" s="88">
        <v>4.1095436952004301E-2</v>
      </c>
      <c r="R139" s="89" t="s">
        <v>276</v>
      </c>
      <c r="S139" s="89"/>
      <c r="T139">
        <v>4.4000000000000004</v>
      </c>
      <c r="U139" s="76">
        <v>0.2</v>
      </c>
      <c r="V139">
        <v>10</v>
      </c>
      <c r="W139" s="90">
        <v>0.1</v>
      </c>
      <c r="X139" s="90"/>
      <c r="Y139" s="71"/>
      <c r="Z139" s="71"/>
      <c r="AA139" s="71"/>
      <c r="AB139" s="71"/>
      <c r="AC139" s="71"/>
      <c r="AD139" s="71"/>
      <c r="AE139" s="71"/>
      <c r="AF139" s="71"/>
      <c r="AG139" s="82">
        <v>0</v>
      </c>
      <c r="AH139" s="76"/>
      <c r="AI139" s="76"/>
      <c r="AJ139" s="76"/>
      <c r="AK139" s="71">
        <v>0.15</v>
      </c>
      <c r="AL139" s="88">
        <v>3.4362770551863299E-2</v>
      </c>
      <c r="AM139" s="89">
        <f t="shared" si="2"/>
        <v>0.229085137012422</v>
      </c>
      <c r="AN139" s="78"/>
    </row>
    <row r="140" spans="1:40" x14ac:dyDescent="0.25">
      <c r="A140" t="s">
        <v>44</v>
      </c>
      <c r="B140" t="s">
        <v>45</v>
      </c>
      <c r="C140" s="121" t="s">
        <v>174</v>
      </c>
      <c r="D140" t="s">
        <v>191</v>
      </c>
      <c r="E140" t="s">
        <v>59</v>
      </c>
      <c r="F140">
        <v>1</v>
      </c>
      <c r="G140">
        <v>35</v>
      </c>
      <c r="H140" s="86">
        <v>45960.798446330999</v>
      </c>
      <c r="I140" s="86">
        <v>45960.870630324098</v>
      </c>
      <c r="J140" s="87">
        <v>1.7324158333333299</v>
      </c>
      <c r="K140" s="69" t="s">
        <v>274</v>
      </c>
      <c r="L140" s="69"/>
      <c r="M140" s="71"/>
      <c r="N140" s="71"/>
      <c r="O140" s="71"/>
      <c r="P140" s="71" t="s">
        <v>275</v>
      </c>
      <c r="Q140" s="88">
        <v>5.0172220027848102E-2</v>
      </c>
      <c r="R140" s="89" t="s">
        <v>276</v>
      </c>
      <c r="S140" s="89"/>
      <c r="T140">
        <v>4.2</v>
      </c>
      <c r="U140" s="76">
        <v>0.2</v>
      </c>
      <c r="V140">
        <v>9.8000000000000007</v>
      </c>
      <c r="W140" s="90">
        <v>0.1</v>
      </c>
      <c r="X140" s="90"/>
      <c r="Y140" s="71"/>
      <c r="Z140" s="71"/>
      <c r="AA140" s="71"/>
      <c r="AB140" s="71"/>
      <c r="AC140" s="71"/>
      <c r="AD140" s="71"/>
      <c r="AE140" s="71"/>
      <c r="AF140" s="71"/>
      <c r="AG140" s="82">
        <v>0</v>
      </c>
      <c r="AH140" s="76"/>
      <c r="AI140" s="76"/>
      <c r="AJ140" s="76"/>
      <c r="AK140" s="71">
        <v>0.15</v>
      </c>
      <c r="AL140" s="88">
        <v>3.4362770551863299E-2</v>
      </c>
      <c r="AM140" s="89">
        <f t="shared" si="2"/>
        <v>0.229085137012422</v>
      </c>
      <c r="AN140" s="78"/>
    </row>
    <row r="141" spans="1:40" x14ac:dyDescent="0.25">
      <c r="A141" t="s">
        <v>44</v>
      </c>
      <c r="B141" t="s">
        <v>45</v>
      </c>
      <c r="C141" s="121" t="s">
        <v>174</v>
      </c>
      <c r="D141" t="s">
        <v>191</v>
      </c>
      <c r="E141" t="s">
        <v>59</v>
      </c>
      <c r="F141">
        <v>1</v>
      </c>
      <c r="G141">
        <v>36</v>
      </c>
      <c r="H141" s="86">
        <v>45960.870630324098</v>
      </c>
      <c r="I141" s="86">
        <v>45960.942815659699</v>
      </c>
      <c r="J141" s="87">
        <v>1.7324480555555599</v>
      </c>
      <c r="K141" s="69" t="s">
        <v>274</v>
      </c>
      <c r="L141" s="69"/>
      <c r="M141" s="71"/>
      <c r="N141" s="71"/>
      <c r="O141" s="71"/>
      <c r="P141" s="71" t="s">
        <v>275</v>
      </c>
      <c r="Q141" s="88">
        <v>5.28075850363149E-2</v>
      </c>
      <c r="R141" s="89" t="s">
        <v>276</v>
      </c>
      <c r="S141" s="89"/>
      <c r="T141">
        <v>3.4</v>
      </c>
      <c r="U141" s="76">
        <v>0.2</v>
      </c>
      <c r="V141">
        <v>9.6</v>
      </c>
      <c r="W141" s="90">
        <v>0.1</v>
      </c>
      <c r="X141" s="90"/>
      <c r="Y141" s="71"/>
      <c r="Z141" s="71"/>
      <c r="AA141" s="71"/>
      <c r="AB141" s="71"/>
      <c r="AC141" s="71"/>
      <c r="AD141" s="71"/>
      <c r="AE141" s="71"/>
      <c r="AF141" s="71"/>
      <c r="AG141" s="82">
        <v>0</v>
      </c>
      <c r="AH141" s="76"/>
      <c r="AI141" s="76"/>
      <c r="AJ141" s="76"/>
      <c r="AK141" s="71">
        <v>0.15</v>
      </c>
      <c r="AL141" s="88">
        <v>3.4362770551863299E-2</v>
      </c>
      <c r="AM141" s="89">
        <f t="shared" si="2"/>
        <v>0.229085137012422</v>
      </c>
      <c r="AN141" s="78"/>
    </row>
    <row r="142" spans="1:40" x14ac:dyDescent="0.25">
      <c r="A142" t="s">
        <v>44</v>
      </c>
      <c r="B142" t="s">
        <v>45</v>
      </c>
      <c r="C142" s="121" t="s">
        <v>174</v>
      </c>
      <c r="D142" t="s">
        <v>191</v>
      </c>
      <c r="E142" t="s">
        <v>59</v>
      </c>
      <c r="F142">
        <v>1</v>
      </c>
      <c r="G142">
        <v>37</v>
      </c>
      <c r="H142" s="86">
        <v>45960.942815659699</v>
      </c>
      <c r="I142" s="86">
        <v>45961.015003877299</v>
      </c>
      <c r="J142" s="87">
        <v>1.73251722222222</v>
      </c>
      <c r="K142" s="69" t="s">
        <v>274</v>
      </c>
      <c r="L142" s="69"/>
      <c r="M142" s="71"/>
      <c r="N142" s="71"/>
      <c r="O142" s="71"/>
      <c r="P142" s="71" t="s">
        <v>275</v>
      </c>
      <c r="Q142" s="88">
        <v>6.7559393943427304E-2</v>
      </c>
      <c r="R142" s="89" t="s">
        <v>276</v>
      </c>
      <c r="S142" s="89"/>
      <c r="T142">
        <v>2.7</v>
      </c>
      <c r="U142" s="76">
        <v>0.2</v>
      </c>
      <c r="V142">
        <v>9.3000000000000007</v>
      </c>
      <c r="W142" s="90">
        <v>0.1</v>
      </c>
      <c r="X142" s="90"/>
      <c r="Y142" s="71"/>
      <c r="Z142" s="71"/>
      <c r="AA142" s="71"/>
      <c r="AB142" s="71"/>
      <c r="AC142" s="71"/>
      <c r="AD142" s="71"/>
      <c r="AE142" s="71"/>
      <c r="AF142" s="71"/>
      <c r="AG142" s="82">
        <v>0</v>
      </c>
      <c r="AH142" s="76"/>
      <c r="AI142" s="76"/>
      <c r="AJ142" s="76"/>
      <c r="AK142" s="71">
        <v>0.15</v>
      </c>
      <c r="AL142" s="88">
        <v>3.4362770551863299E-2</v>
      </c>
      <c r="AM142" s="89">
        <f t="shared" si="2"/>
        <v>0.229085137012422</v>
      </c>
      <c r="AN142" s="78"/>
    </row>
    <row r="143" spans="1:40" x14ac:dyDescent="0.25">
      <c r="A143" t="s">
        <v>44</v>
      </c>
      <c r="B143" t="s">
        <v>45</v>
      </c>
      <c r="C143" s="121" t="s">
        <v>174</v>
      </c>
      <c r="D143" t="s">
        <v>191</v>
      </c>
      <c r="E143" t="s">
        <v>59</v>
      </c>
      <c r="F143">
        <v>1</v>
      </c>
      <c r="G143">
        <v>38</v>
      </c>
      <c r="H143" s="86">
        <v>45961.015003877299</v>
      </c>
      <c r="I143" s="86">
        <v>45961.087180763898</v>
      </c>
      <c r="J143" s="87">
        <v>1.7322452777777799</v>
      </c>
      <c r="K143" s="69" t="s">
        <v>274</v>
      </c>
      <c r="L143" s="69"/>
      <c r="M143" s="71"/>
      <c r="N143" s="71"/>
      <c r="O143" s="71"/>
      <c r="P143" s="71" t="s">
        <v>275</v>
      </c>
      <c r="Q143" s="88">
        <v>5.5062036653782703E-2</v>
      </c>
      <c r="R143" s="89" t="s">
        <v>276</v>
      </c>
      <c r="S143" s="89"/>
      <c r="T143">
        <v>2.2999999999999998</v>
      </c>
      <c r="U143" s="76">
        <v>0.2</v>
      </c>
      <c r="V143">
        <v>9.1999999999999993</v>
      </c>
      <c r="W143" s="90">
        <v>0.1</v>
      </c>
      <c r="X143" s="90"/>
      <c r="Y143" s="71"/>
      <c r="Z143" s="71"/>
      <c r="AA143" s="71"/>
      <c r="AB143" s="71"/>
      <c r="AC143" s="71"/>
      <c r="AD143" s="71"/>
      <c r="AE143" s="71"/>
      <c r="AF143" s="71"/>
      <c r="AG143" s="82">
        <v>0</v>
      </c>
      <c r="AH143" s="76"/>
      <c r="AI143" s="76"/>
      <c r="AJ143" s="76"/>
      <c r="AK143" s="71">
        <v>0.15</v>
      </c>
      <c r="AL143" s="88">
        <v>3.4362770551863299E-2</v>
      </c>
      <c r="AM143" s="89">
        <f t="shared" si="2"/>
        <v>0.229085137012422</v>
      </c>
      <c r="AN143" s="78"/>
    </row>
    <row r="144" spans="1:40" x14ac:dyDescent="0.25">
      <c r="A144" t="s">
        <v>44</v>
      </c>
      <c r="B144" t="s">
        <v>45</v>
      </c>
      <c r="C144" s="121" t="s">
        <v>174</v>
      </c>
      <c r="D144" t="s">
        <v>191</v>
      </c>
      <c r="E144" t="s">
        <v>59</v>
      </c>
      <c r="F144">
        <v>1</v>
      </c>
      <c r="G144">
        <v>39</v>
      </c>
      <c r="H144" s="86">
        <v>45961.087180763898</v>
      </c>
      <c r="I144" s="86">
        <v>45961.159367268498</v>
      </c>
      <c r="J144" s="87">
        <v>1.73247611111111</v>
      </c>
      <c r="K144" s="69" t="s">
        <v>274</v>
      </c>
      <c r="L144" s="69"/>
      <c r="M144" s="71"/>
      <c r="N144" s="71"/>
      <c r="O144" s="71"/>
      <c r="P144" s="71" t="s">
        <v>275</v>
      </c>
      <c r="Q144" s="88">
        <v>7.1077537510417801E-2</v>
      </c>
      <c r="R144" s="89" t="s">
        <v>276</v>
      </c>
      <c r="S144" s="89"/>
      <c r="T144">
        <v>4.8</v>
      </c>
      <c r="U144" s="76">
        <v>0.2</v>
      </c>
      <c r="V144">
        <v>9</v>
      </c>
      <c r="W144" s="90">
        <v>0.1</v>
      </c>
      <c r="X144" s="90"/>
      <c r="Y144" s="71"/>
      <c r="Z144" s="71"/>
      <c r="AA144" s="71"/>
      <c r="AB144" s="71"/>
      <c r="AC144" s="71"/>
      <c r="AD144" s="71"/>
      <c r="AE144" s="71"/>
      <c r="AF144" s="71"/>
      <c r="AG144" s="82">
        <v>0</v>
      </c>
      <c r="AH144" s="76"/>
      <c r="AI144" s="76"/>
      <c r="AJ144" s="76"/>
      <c r="AK144" s="71">
        <v>0.15</v>
      </c>
      <c r="AL144" s="88">
        <v>3.4362770551863299E-2</v>
      </c>
      <c r="AM144" s="89">
        <f t="shared" si="2"/>
        <v>0.229085137012422</v>
      </c>
      <c r="AN144" s="78"/>
    </row>
    <row r="145" spans="1:40" x14ac:dyDescent="0.25">
      <c r="A145" t="s">
        <v>44</v>
      </c>
      <c r="B145" t="s">
        <v>45</v>
      </c>
      <c r="C145" s="121" t="s">
        <v>174</v>
      </c>
      <c r="D145" t="s">
        <v>191</v>
      </c>
      <c r="E145" t="s">
        <v>59</v>
      </c>
      <c r="F145">
        <v>1</v>
      </c>
      <c r="G145">
        <v>40</v>
      </c>
      <c r="H145" s="86">
        <v>45961.159367268498</v>
      </c>
      <c r="I145" s="86">
        <v>45961.231550358803</v>
      </c>
      <c r="J145" s="87">
        <v>1.73239416666667</v>
      </c>
      <c r="K145" s="69" t="s">
        <v>274</v>
      </c>
      <c r="L145" s="69"/>
      <c r="M145" s="71"/>
      <c r="N145" s="71"/>
      <c r="O145" s="71"/>
      <c r="P145" s="71" t="s">
        <v>275</v>
      </c>
      <c r="Q145" s="88">
        <v>6.9234344536612799E-2</v>
      </c>
      <c r="R145" s="89" t="s">
        <v>276</v>
      </c>
      <c r="S145" s="89"/>
      <c r="T145">
        <v>4.2</v>
      </c>
      <c r="U145" s="76">
        <v>0.2</v>
      </c>
      <c r="V145">
        <v>9</v>
      </c>
      <c r="W145" s="90">
        <v>0.1</v>
      </c>
      <c r="X145" s="90"/>
      <c r="Y145" s="71"/>
      <c r="Z145" s="71"/>
      <c r="AA145" s="71"/>
      <c r="AB145" s="71"/>
      <c r="AC145" s="71"/>
      <c r="AD145" s="71"/>
      <c r="AE145" s="71"/>
      <c r="AF145" s="71"/>
      <c r="AG145" s="82">
        <v>0</v>
      </c>
      <c r="AH145" s="76"/>
      <c r="AI145" s="76"/>
      <c r="AJ145" s="76"/>
      <c r="AK145" s="71">
        <v>0.15</v>
      </c>
      <c r="AL145" s="88">
        <v>3.4362770551863299E-2</v>
      </c>
      <c r="AM145" s="89">
        <f t="shared" si="2"/>
        <v>0.229085137012422</v>
      </c>
      <c r="AN145" s="78"/>
    </row>
    <row r="146" spans="1:40" x14ac:dyDescent="0.25">
      <c r="A146" t="s">
        <v>44</v>
      </c>
      <c r="B146" t="s">
        <v>45</v>
      </c>
      <c r="C146" s="121" t="s">
        <v>174</v>
      </c>
      <c r="D146" t="s">
        <v>191</v>
      </c>
      <c r="E146" t="s">
        <v>59</v>
      </c>
      <c r="F146">
        <v>1</v>
      </c>
      <c r="G146">
        <v>41</v>
      </c>
      <c r="H146" s="86">
        <v>45961.231550358803</v>
      </c>
      <c r="I146" s="86">
        <v>45961.303723657402</v>
      </c>
      <c r="J146" s="87">
        <v>1.73215916666667</v>
      </c>
      <c r="K146" s="69" t="s">
        <v>274</v>
      </c>
      <c r="L146" s="69"/>
      <c r="M146" s="71"/>
      <c r="N146" s="71"/>
      <c r="O146" s="71"/>
      <c r="P146" s="71" t="s">
        <v>275</v>
      </c>
      <c r="Q146" s="88">
        <v>5.6132555036938897E-2</v>
      </c>
      <c r="R146" s="89" t="s">
        <v>276</v>
      </c>
      <c r="S146" s="89"/>
      <c r="T146">
        <v>3.9</v>
      </c>
      <c r="U146" s="76">
        <v>0.2</v>
      </c>
      <c r="V146">
        <v>8.9</v>
      </c>
      <c r="W146" s="90">
        <v>0.1</v>
      </c>
      <c r="X146" s="90"/>
      <c r="Y146" s="71"/>
      <c r="Z146" s="71"/>
      <c r="AA146" s="71"/>
      <c r="AB146" s="71"/>
      <c r="AC146" s="71"/>
      <c r="AD146" s="71"/>
      <c r="AE146" s="71"/>
      <c r="AF146" s="71"/>
      <c r="AG146" s="82">
        <v>0</v>
      </c>
      <c r="AH146" s="76"/>
      <c r="AI146" s="76"/>
      <c r="AJ146" s="76"/>
      <c r="AK146" s="71">
        <v>0.15</v>
      </c>
      <c r="AL146" s="88">
        <v>3.4362770551863299E-2</v>
      </c>
      <c r="AM146" s="89">
        <f t="shared" si="2"/>
        <v>0.229085137012422</v>
      </c>
      <c r="AN146" s="78"/>
    </row>
    <row r="147" spans="1:40" x14ac:dyDescent="0.25">
      <c r="A147" t="s">
        <v>44</v>
      </c>
      <c r="B147" t="s">
        <v>45</v>
      </c>
      <c r="C147" s="121" t="s">
        <v>174</v>
      </c>
      <c r="D147" t="s">
        <v>191</v>
      </c>
      <c r="E147" t="s">
        <v>59</v>
      </c>
      <c r="F147">
        <v>1</v>
      </c>
      <c r="G147">
        <v>42</v>
      </c>
      <c r="H147" s="86">
        <v>45961.303723657402</v>
      </c>
      <c r="I147" s="86">
        <v>45961.375914803197</v>
      </c>
      <c r="J147" s="87">
        <v>1.7325874999999999</v>
      </c>
      <c r="K147" s="69" t="s">
        <v>274</v>
      </c>
      <c r="L147" s="69"/>
      <c r="M147" s="71"/>
      <c r="N147" s="71"/>
      <c r="O147" s="71"/>
      <c r="P147" s="71" t="s">
        <v>275</v>
      </c>
      <c r="Q147" s="88">
        <v>5.4592591603990798E-2</v>
      </c>
      <c r="R147" s="89" t="s">
        <v>276</v>
      </c>
      <c r="S147" s="89"/>
      <c r="T147">
        <v>3.6</v>
      </c>
      <c r="U147" s="76">
        <v>0.2</v>
      </c>
      <c r="V147">
        <v>8.8000000000000007</v>
      </c>
      <c r="W147" s="90">
        <v>0.1</v>
      </c>
      <c r="X147" s="90"/>
      <c r="Y147" s="71"/>
      <c r="Z147" s="71"/>
      <c r="AA147" s="71"/>
      <c r="AB147" s="71"/>
      <c r="AC147" s="71"/>
      <c r="AD147" s="71"/>
      <c r="AE147" s="71"/>
      <c r="AF147" s="71"/>
      <c r="AG147" s="82">
        <v>0</v>
      </c>
      <c r="AH147" s="76"/>
      <c r="AI147" s="76"/>
      <c r="AJ147" s="76"/>
      <c r="AK147" s="71">
        <v>0.15</v>
      </c>
      <c r="AL147" s="88">
        <v>3.4362770551863299E-2</v>
      </c>
      <c r="AM147" s="89">
        <f t="shared" si="2"/>
        <v>0.229085137012422</v>
      </c>
      <c r="AN147" s="78"/>
    </row>
    <row r="148" spans="1:40" x14ac:dyDescent="0.25">
      <c r="A148" t="s">
        <v>44</v>
      </c>
      <c r="B148" t="s">
        <v>45</v>
      </c>
      <c r="C148" s="121" t="s">
        <v>174</v>
      </c>
      <c r="D148" t="s">
        <v>191</v>
      </c>
      <c r="E148" t="s">
        <v>59</v>
      </c>
      <c r="F148">
        <v>1</v>
      </c>
      <c r="G148">
        <v>43</v>
      </c>
      <c r="H148" s="86">
        <v>45961.375914803197</v>
      </c>
      <c r="I148" s="86">
        <v>45961.448096678199</v>
      </c>
      <c r="J148" s="87">
        <v>1.7323649999999999</v>
      </c>
      <c r="K148" s="69" t="s">
        <v>274</v>
      </c>
      <c r="L148" s="69"/>
      <c r="M148" s="71"/>
      <c r="N148" s="71"/>
      <c r="O148" s="71"/>
      <c r="P148" s="71" t="s">
        <v>275</v>
      </c>
      <c r="Q148" s="88">
        <v>7.9178360039924303E-2</v>
      </c>
      <c r="R148" s="89" t="s">
        <v>276</v>
      </c>
      <c r="S148" s="89"/>
      <c r="T148">
        <v>6</v>
      </c>
      <c r="U148" s="76">
        <v>0.2</v>
      </c>
      <c r="V148">
        <v>8.6999999999999993</v>
      </c>
      <c r="W148" s="90">
        <v>0.1</v>
      </c>
      <c r="X148" s="90"/>
      <c r="Y148" s="71"/>
      <c r="Z148" s="71"/>
      <c r="AA148" s="71"/>
      <c r="AB148" s="71"/>
      <c r="AC148" s="71"/>
      <c r="AD148" s="71"/>
      <c r="AE148" s="71"/>
      <c r="AF148" s="71"/>
      <c r="AG148" s="82">
        <v>0</v>
      </c>
      <c r="AH148" s="76"/>
      <c r="AI148" s="76"/>
      <c r="AJ148" s="76"/>
      <c r="AK148" s="71">
        <v>0.15</v>
      </c>
      <c r="AL148" s="88">
        <v>3.4362770551863299E-2</v>
      </c>
      <c r="AM148" s="89">
        <f t="shared" si="2"/>
        <v>0.229085137012422</v>
      </c>
      <c r="AN148" s="78"/>
    </row>
    <row r="149" spans="1:40" x14ac:dyDescent="0.25">
      <c r="A149" t="s">
        <v>44</v>
      </c>
      <c r="B149" t="s">
        <v>45</v>
      </c>
      <c r="C149" s="121" t="s">
        <v>174</v>
      </c>
      <c r="D149" t="s">
        <v>191</v>
      </c>
      <c r="E149" t="s">
        <v>59</v>
      </c>
      <c r="F149">
        <v>1</v>
      </c>
      <c r="G149">
        <v>44</v>
      </c>
      <c r="H149" s="86">
        <v>45961.448096678199</v>
      </c>
      <c r="I149" s="86">
        <v>45961.520278726901</v>
      </c>
      <c r="J149" s="87">
        <v>1.7323691666666701</v>
      </c>
      <c r="K149" s="69" t="s">
        <v>274</v>
      </c>
      <c r="L149" s="69"/>
      <c r="M149" s="71"/>
      <c r="N149" s="71"/>
      <c r="O149" s="71"/>
      <c r="P149" s="71" t="s">
        <v>275</v>
      </c>
      <c r="Q149" s="88">
        <v>0.12804601750070699</v>
      </c>
      <c r="R149" s="89" t="s">
        <v>276</v>
      </c>
      <c r="S149" s="89"/>
      <c r="T149">
        <v>9.5</v>
      </c>
      <c r="U149" s="76">
        <v>0.2</v>
      </c>
      <c r="V149">
        <v>8.6999999999999993</v>
      </c>
      <c r="W149" s="90">
        <v>0.1</v>
      </c>
      <c r="X149" s="90"/>
      <c r="Y149" s="71"/>
      <c r="Z149" s="71"/>
      <c r="AA149" s="71"/>
      <c r="AB149" s="71"/>
      <c r="AC149" s="71"/>
      <c r="AD149" s="71"/>
      <c r="AE149" s="71"/>
      <c r="AF149" s="71"/>
      <c r="AG149" s="82">
        <v>0</v>
      </c>
      <c r="AH149" s="76"/>
      <c r="AI149" s="76"/>
      <c r="AJ149" s="76"/>
      <c r="AK149" s="71">
        <v>0.15</v>
      </c>
      <c r="AL149" s="88">
        <v>3.4362770551863299E-2</v>
      </c>
      <c r="AM149" s="89">
        <f t="shared" si="2"/>
        <v>0.229085137012422</v>
      </c>
      <c r="AN149" s="78"/>
    </row>
    <row r="150" spans="1:40" x14ac:dyDescent="0.25">
      <c r="A150" t="s">
        <v>44</v>
      </c>
      <c r="B150" t="s">
        <v>45</v>
      </c>
      <c r="C150" s="121" t="s">
        <v>174</v>
      </c>
      <c r="D150" t="s">
        <v>191</v>
      </c>
      <c r="E150" t="s">
        <v>59</v>
      </c>
      <c r="F150">
        <v>1</v>
      </c>
      <c r="G150">
        <v>45</v>
      </c>
      <c r="H150" s="86">
        <v>45961.520278726901</v>
      </c>
      <c r="I150" s="86">
        <v>45961.592466597198</v>
      </c>
      <c r="J150" s="87">
        <v>1.73250888888889</v>
      </c>
      <c r="K150" s="69" t="s">
        <v>274</v>
      </c>
      <c r="L150" s="69"/>
      <c r="M150" s="71"/>
      <c r="N150" s="71"/>
      <c r="O150" s="71"/>
      <c r="P150" s="71" t="s">
        <v>275</v>
      </c>
      <c r="Q150" s="88">
        <v>8.7623322170813298E-2</v>
      </c>
      <c r="R150" s="89" t="s">
        <v>276</v>
      </c>
      <c r="S150" s="89"/>
      <c r="T150">
        <v>10.7</v>
      </c>
      <c r="U150" s="76">
        <v>0.2</v>
      </c>
      <c r="V150">
        <v>8.8000000000000007</v>
      </c>
      <c r="W150" s="90">
        <v>0.1</v>
      </c>
      <c r="X150" s="90"/>
      <c r="Y150" s="71"/>
      <c r="Z150" s="71"/>
      <c r="AA150" s="71"/>
      <c r="AB150" s="71"/>
      <c r="AC150" s="71"/>
      <c r="AD150" s="71"/>
      <c r="AE150" s="71"/>
      <c r="AF150" s="71"/>
      <c r="AG150" s="82">
        <v>0</v>
      </c>
      <c r="AH150" s="76"/>
      <c r="AI150" s="76"/>
      <c r="AJ150" s="76"/>
      <c r="AK150" s="71">
        <v>0.15</v>
      </c>
      <c r="AL150" s="88">
        <v>3.4362770551863299E-2</v>
      </c>
      <c r="AM150" s="89">
        <f t="shared" si="2"/>
        <v>0.229085137012422</v>
      </c>
      <c r="AN150" s="78"/>
    </row>
    <row r="151" spans="1:40" x14ac:dyDescent="0.25">
      <c r="A151" t="s">
        <v>44</v>
      </c>
      <c r="B151" t="s">
        <v>45</v>
      </c>
      <c r="C151" s="121" t="s">
        <v>174</v>
      </c>
      <c r="D151" t="s">
        <v>191</v>
      </c>
      <c r="E151" t="s">
        <v>59</v>
      </c>
      <c r="F151">
        <v>1</v>
      </c>
      <c r="G151">
        <v>46</v>
      </c>
      <c r="H151" s="86">
        <v>45961.592466597198</v>
      </c>
      <c r="I151" s="86">
        <v>45961.664654629603</v>
      </c>
      <c r="J151" s="87">
        <v>1.73251277777778</v>
      </c>
      <c r="K151" s="69" t="s">
        <v>274</v>
      </c>
      <c r="L151" s="69"/>
      <c r="M151" s="71"/>
      <c r="N151" s="71"/>
      <c r="O151" s="71"/>
      <c r="P151" s="71" t="s">
        <v>275</v>
      </c>
      <c r="Q151" s="88">
        <v>6.4911895860279401E-2</v>
      </c>
      <c r="R151" s="89" t="s">
        <v>276</v>
      </c>
      <c r="S151" s="89"/>
      <c r="T151">
        <v>10.3</v>
      </c>
      <c r="U151" s="76">
        <v>0.2</v>
      </c>
      <c r="V151">
        <v>9</v>
      </c>
      <c r="W151" s="90">
        <v>0.1</v>
      </c>
      <c r="X151" s="90"/>
      <c r="Y151" s="71"/>
      <c r="Z151" s="71"/>
      <c r="AA151" s="71"/>
      <c r="AB151" s="71"/>
      <c r="AC151" s="71"/>
      <c r="AD151" s="71"/>
      <c r="AE151" s="71"/>
      <c r="AF151" s="71"/>
      <c r="AG151" s="82">
        <v>0</v>
      </c>
      <c r="AH151" s="76"/>
      <c r="AI151" s="76"/>
      <c r="AJ151" s="76"/>
      <c r="AK151" s="71">
        <v>0.15</v>
      </c>
      <c r="AL151" s="88">
        <v>3.4362770551863299E-2</v>
      </c>
      <c r="AM151" s="89">
        <f t="shared" si="2"/>
        <v>0.229085137012422</v>
      </c>
      <c r="AN151" s="78"/>
    </row>
    <row r="152" spans="1:40" x14ac:dyDescent="0.25">
      <c r="A152" t="s">
        <v>44</v>
      </c>
      <c r="B152" t="s">
        <v>45</v>
      </c>
      <c r="C152" s="121" t="s">
        <v>174</v>
      </c>
      <c r="D152" t="s">
        <v>191</v>
      </c>
      <c r="E152" t="s">
        <v>59</v>
      </c>
      <c r="F152">
        <v>1</v>
      </c>
      <c r="G152">
        <v>47</v>
      </c>
      <c r="H152" s="86">
        <v>45961.664654629603</v>
      </c>
      <c r="I152" s="86">
        <v>45961.736839236102</v>
      </c>
      <c r="J152" s="87">
        <v>1.7324305555555599</v>
      </c>
      <c r="K152" s="69" t="s">
        <v>274</v>
      </c>
      <c r="L152" s="69"/>
      <c r="M152" s="71"/>
      <c r="N152" s="71"/>
      <c r="O152" s="71"/>
      <c r="P152" s="71" t="s">
        <v>275</v>
      </c>
      <c r="Q152" s="88">
        <v>4.2737309622274101E-2</v>
      </c>
      <c r="R152" s="89" t="s">
        <v>276</v>
      </c>
      <c r="S152" s="89"/>
      <c r="T152">
        <v>8.6999999999999993</v>
      </c>
      <c r="U152" s="76">
        <v>0.2</v>
      </c>
      <c r="V152">
        <v>9.1999999999999993</v>
      </c>
      <c r="W152" s="90">
        <v>0.1</v>
      </c>
      <c r="X152" s="90"/>
      <c r="Y152" s="71"/>
      <c r="Z152" s="71"/>
      <c r="AA152" s="71"/>
      <c r="AB152" s="71"/>
      <c r="AC152" s="71"/>
      <c r="AD152" s="71"/>
      <c r="AE152" s="71"/>
      <c r="AF152" s="71"/>
      <c r="AG152" s="82">
        <v>0</v>
      </c>
      <c r="AH152" s="76"/>
      <c r="AI152" s="76"/>
      <c r="AJ152" s="76"/>
      <c r="AK152" s="71">
        <v>0.15</v>
      </c>
      <c r="AL152" s="88">
        <v>3.4362770551863299E-2</v>
      </c>
      <c r="AM152" s="89">
        <f t="shared" si="2"/>
        <v>0.229085137012422</v>
      </c>
      <c r="AN152" s="78"/>
    </row>
    <row r="153" spans="1:40" x14ac:dyDescent="0.25">
      <c r="A153" t="s">
        <v>44</v>
      </c>
      <c r="B153" t="s">
        <v>45</v>
      </c>
      <c r="C153" s="121" t="s">
        <v>174</v>
      </c>
      <c r="D153" t="s">
        <v>191</v>
      </c>
      <c r="E153" t="s">
        <v>59</v>
      </c>
      <c r="F153">
        <v>1</v>
      </c>
      <c r="G153">
        <v>48</v>
      </c>
      <c r="H153" s="86">
        <v>45961.736839236102</v>
      </c>
      <c r="I153" s="86">
        <v>45961.809015995401</v>
      </c>
      <c r="J153" s="87">
        <v>1.73224222222222</v>
      </c>
      <c r="K153" s="69" t="s">
        <v>274</v>
      </c>
      <c r="L153" s="69"/>
      <c r="M153" s="71"/>
      <c r="N153" s="71"/>
      <c r="O153" s="71"/>
      <c r="P153" s="71" t="s">
        <v>275</v>
      </c>
      <c r="Q153" s="88">
        <v>2.4945945410706299E-2</v>
      </c>
      <c r="R153" s="89" t="s">
        <v>276</v>
      </c>
      <c r="S153" s="89"/>
      <c r="T153">
        <v>7.5</v>
      </c>
      <c r="U153" s="76">
        <v>0.2</v>
      </c>
      <c r="V153">
        <v>9.3000000000000007</v>
      </c>
      <c r="W153" s="90">
        <v>0.1</v>
      </c>
      <c r="X153" s="90"/>
      <c r="Y153" s="71"/>
      <c r="Z153" s="71"/>
      <c r="AA153" s="71"/>
      <c r="AB153" s="71"/>
      <c r="AC153" s="71"/>
      <c r="AD153" s="71"/>
      <c r="AE153" s="71"/>
      <c r="AF153" s="71"/>
      <c r="AG153" s="82">
        <v>0</v>
      </c>
      <c r="AH153" s="76"/>
      <c r="AI153" s="76"/>
      <c r="AJ153" s="76"/>
      <c r="AK153" s="71">
        <v>0.15</v>
      </c>
      <c r="AL153" s="88">
        <v>3.4362770551863299E-2</v>
      </c>
      <c r="AM153" s="89">
        <f t="shared" si="2"/>
        <v>0.229085137012422</v>
      </c>
      <c r="AN153" s="78"/>
    </row>
    <row r="154" spans="1:40" x14ac:dyDescent="0.25">
      <c r="A154" t="s">
        <v>44</v>
      </c>
      <c r="B154" t="s">
        <v>45</v>
      </c>
      <c r="C154" s="121" t="s">
        <v>174</v>
      </c>
      <c r="D154" t="s">
        <v>191</v>
      </c>
      <c r="E154" t="s">
        <v>59</v>
      </c>
      <c r="F154">
        <v>1</v>
      </c>
      <c r="G154">
        <v>49</v>
      </c>
      <c r="H154" s="86">
        <v>45961.809015995401</v>
      </c>
      <c r="I154" s="86">
        <v>45961.881208368097</v>
      </c>
      <c r="J154" s="87">
        <v>1.7326169444444499</v>
      </c>
      <c r="K154" s="69" t="s">
        <v>274</v>
      </c>
      <c r="L154" s="69"/>
      <c r="M154" s="71"/>
      <c r="N154" s="71"/>
      <c r="O154" s="71"/>
      <c r="P154" s="71" t="s">
        <v>275</v>
      </c>
      <c r="Q154" s="88">
        <v>2.9808862110936099E-2</v>
      </c>
      <c r="R154" s="89" t="s">
        <v>276</v>
      </c>
      <c r="S154" s="89"/>
      <c r="T154">
        <v>7.7</v>
      </c>
      <c r="U154" s="76">
        <v>0.2</v>
      </c>
      <c r="V154">
        <v>9.3000000000000007</v>
      </c>
      <c r="W154" s="90">
        <v>0.1</v>
      </c>
      <c r="X154" s="90"/>
      <c r="Y154" s="71"/>
      <c r="Z154" s="71"/>
      <c r="AA154" s="71"/>
      <c r="AB154" s="71"/>
      <c r="AC154" s="71"/>
      <c r="AD154" s="71"/>
      <c r="AE154" s="71"/>
      <c r="AF154" s="71"/>
      <c r="AG154" s="82">
        <v>0</v>
      </c>
      <c r="AH154" s="76"/>
      <c r="AI154" s="76"/>
      <c r="AJ154" s="76"/>
      <c r="AK154" s="71">
        <v>0.15</v>
      </c>
      <c r="AL154" s="88">
        <v>3.4362770551863299E-2</v>
      </c>
      <c r="AM154" s="89">
        <f t="shared" si="2"/>
        <v>0.229085137012422</v>
      </c>
      <c r="AN154" s="78"/>
    </row>
    <row r="155" spans="1:40" x14ac:dyDescent="0.25">
      <c r="A155" t="s">
        <v>44</v>
      </c>
      <c r="B155" t="s">
        <v>45</v>
      </c>
      <c r="C155" s="121" t="s">
        <v>174</v>
      </c>
      <c r="D155" t="s">
        <v>191</v>
      </c>
      <c r="E155" t="s">
        <v>59</v>
      </c>
      <c r="F155">
        <v>1</v>
      </c>
      <c r="G155">
        <v>50</v>
      </c>
      <c r="H155" s="86">
        <v>45961.881208368097</v>
      </c>
      <c r="I155" s="86">
        <v>45961.953394548596</v>
      </c>
      <c r="J155" s="87">
        <v>1.7324683333333299</v>
      </c>
      <c r="K155" s="69" t="s">
        <v>274</v>
      </c>
      <c r="L155" s="69"/>
      <c r="M155" s="71"/>
      <c r="N155" s="71"/>
      <c r="O155" s="71"/>
      <c r="P155" s="71" t="s">
        <v>275</v>
      </c>
      <c r="Q155" s="88">
        <v>3.7494190114458599E-2</v>
      </c>
      <c r="R155" s="89" t="s">
        <v>276</v>
      </c>
      <c r="S155" s="89"/>
      <c r="T155">
        <v>8</v>
      </c>
      <c r="U155" s="76">
        <v>0.2</v>
      </c>
      <c r="V155">
        <v>9.1999999999999993</v>
      </c>
      <c r="W155" s="90">
        <v>0.1</v>
      </c>
      <c r="X155" s="90"/>
      <c r="Y155" s="71"/>
      <c r="Z155" s="71"/>
      <c r="AA155" s="71"/>
      <c r="AB155" s="71"/>
      <c r="AC155" s="71"/>
      <c r="AD155" s="71"/>
      <c r="AE155" s="71"/>
      <c r="AF155" s="71"/>
      <c r="AG155" s="82">
        <v>0</v>
      </c>
      <c r="AH155" s="76"/>
      <c r="AI155" s="76"/>
      <c r="AJ155" s="76"/>
      <c r="AK155" s="71">
        <v>0.15</v>
      </c>
      <c r="AL155" s="88">
        <v>3.4362770551863299E-2</v>
      </c>
      <c r="AM155" s="89">
        <f t="shared" si="2"/>
        <v>0.229085137012422</v>
      </c>
      <c r="AN155" s="78"/>
    </row>
    <row r="156" spans="1:40" x14ac:dyDescent="0.25">
      <c r="A156" t="s">
        <v>44</v>
      </c>
      <c r="B156" t="s">
        <v>45</v>
      </c>
      <c r="C156" s="121" t="s">
        <v>174</v>
      </c>
      <c r="D156" t="s">
        <v>191</v>
      </c>
      <c r="E156" t="s">
        <v>59</v>
      </c>
      <c r="F156">
        <v>1</v>
      </c>
      <c r="G156">
        <v>51</v>
      </c>
      <c r="H156" s="86">
        <v>45961.953394548596</v>
      </c>
      <c r="I156" s="86">
        <v>45962.025570902799</v>
      </c>
      <c r="J156" s="87">
        <v>1.7322325000000001</v>
      </c>
      <c r="K156" s="69" t="s">
        <v>274</v>
      </c>
      <c r="L156" s="69"/>
      <c r="M156" s="71"/>
      <c r="N156" s="71"/>
      <c r="O156" s="71"/>
      <c r="P156" s="71" t="s">
        <v>275</v>
      </c>
      <c r="Q156" s="88">
        <v>2.9355678188185099E-2</v>
      </c>
      <c r="R156" s="89" t="s">
        <v>276</v>
      </c>
      <c r="S156" s="89"/>
      <c r="T156">
        <v>8.1</v>
      </c>
      <c r="U156" s="76">
        <v>0.2</v>
      </c>
      <c r="V156">
        <v>9.1999999999999993</v>
      </c>
      <c r="W156" s="90">
        <v>0.1</v>
      </c>
      <c r="X156" s="90"/>
      <c r="Y156" s="71"/>
      <c r="Z156" s="71"/>
      <c r="AA156" s="71"/>
      <c r="AB156" s="71"/>
      <c r="AC156" s="71"/>
      <c r="AD156" s="71"/>
      <c r="AE156" s="71"/>
      <c r="AF156" s="71"/>
      <c r="AG156" s="82">
        <v>0.4</v>
      </c>
      <c r="AH156" s="76"/>
      <c r="AI156" s="76"/>
      <c r="AJ156" s="76"/>
      <c r="AK156" s="71">
        <v>0.15</v>
      </c>
      <c r="AL156" s="88">
        <v>3.4362770551863299E-2</v>
      </c>
      <c r="AM156" s="89">
        <f t="shared" si="2"/>
        <v>0.229085137012422</v>
      </c>
      <c r="AN156" s="78"/>
    </row>
    <row r="157" spans="1:40" x14ac:dyDescent="0.25">
      <c r="A157" t="s">
        <v>44</v>
      </c>
      <c r="B157" t="s">
        <v>45</v>
      </c>
      <c r="C157" s="121" t="s">
        <v>174</v>
      </c>
      <c r="D157" t="s">
        <v>191</v>
      </c>
      <c r="E157" t="s">
        <v>59</v>
      </c>
      <c r="F157">
        <v>1</v>
      </c>
      <c r="G157">
        <v>52</v>
      </c>
      <c r="H157" s="86">
        <v>45962.025570902799</v>
      </c>
      <c r="I157" s="86">
        <v>45962.097757858799</v>
      </c>
      <c r="J157" s="87">
        <v>1.7324869444444499</v>
      </c>
      <c r="K157" s="69" t="s">
        <v>274</v>
      </c>
      <c r="L157" s="69"/>
      <c r="M157" s="71"/>
      <c r="N157" s="71"/>
      <c r="O157" s="71"/>
      <c r="P157" s="71" t="s">
        <v>275</v>
      </c>
      <c r="Q157" s="88">
        <v>2.9927233723913899E-2</v>
      </c>
      <c r="R157" s="89" t="s">
        <v>276</v>
      </c>
      <c r="S157" s="89"/>
      <c r="T157">
        <v>8.1999999999999993</v>
      </c>
      <c r="U157" s="76">
        <v>0.2</v>
      </c>
      <c r="V157">
        <v>9.1999999999999993</v>
      </c>
      <c r="W157" s="90">
        <v>0.1</v>
      </c>
      <c r="X157" s="90"/>
      <c r="Y157" s="71"/>
      <c r="Z157" s="71"/>
      <c r="AA157" s="71"/>
      <c r="AB157" s="71"/>
      <c r="AC157" s="71"/>
      <c r="AD157" s="71"/>
      <c r="AE157" s="71"/>
      <c r="AF157" s="71"/>
      <c r="AG157" s="82">
        <v>0</v>
      </c>
      <c r="AH157" s="76"/>
      <c r="AI157" s="76"/>
      <c r="AJ157" s="76"/>
      <c r="AK157" s="71">
        <v>0.15</v>
      </c>
      <c r="AL157" s="88">
        <v>3.4362770551863299E-2</v>
      </c>
      <c r="AM157" s="89">
        <f t="shared" si="2"/>
        <v>0.229085137012422</v>
      </c>
      <c r="AN157" s="78"/>
    </row>
    <row r="158" spans="1:40" x14ac:dyDescent="0.25">
      <c r="A158" t="s">
        <v>44</v>
      </c>
      <c r="B158" t="s">
        <v>45</v>
      </c>
      <c r="C158" s="121" t="s">
        <v>174</v>
      </c>
      <c r="D158" t="s">
        <v>191</v>
      </c>
      <c r="E158" t="s">
        <v>59</v>
      </c>
      <c r="F158">
        <v>1</v>
      </c>
      <c r="G158">
        <v>53</v>
      </c>
      <c r="H158" s="86">
        <v>45962.097757858799</v>
      </c>
      <c r="I158" s="86">
        <v>45962.169944930603</v>
      </c>
      <c r="J158" s="87">
        <v>1.73248972222222</v>
      </c>
      <c r="K158" s="69" t="s">
        <v>274</v>
      </c>
      <c r="L158" s="69"/>
      <c r="M158" s="71"/>
      <c r="N158" s="71"/>
      <c r="O158" s="71"/>
      <c r="P158" s="71" t="s">
        <v>275</v>
      </c>
      <c r="Q158" s="88">
        <v>3.5919639861221798E-2</v>
      </c>
      <c r="R158" s="89" t="s">
        <v>276</v>
      </c>
      <c r="S158" s="89"/>
      <c r="T158">
        <v>8.1999999999999993</v>
      </c>
      <c r="U158" s="76">
        <v>0.2</v>
      </c>
      <c r="V158">
        <v>9.1999999999999993</v>
      </c>
      <c r="W158" s="90">
        <v>0.1</v>
      </c>
      <c r="X158" s="90"/>
      <c r="Y158" s="71"/>
      <c r="Z158" s="71"/>
      <c r="AA158" s="71"/>
      <c r="AB158" s="71"/>
      <c r="AC158" s="71"/>
      <c r="AD158" s="71"/>
      <c r="AE158" s="71"/>
      <c r="AF158" s="71"/>
      <c r="AG158" s="82">
        <v>0</v>
      </c>
      <c r="AH158" s="76"/>
      <c r="AI158" s="76"/>
      <c r="AJ158" s="76"/>
      <c r="AK158" s="71">
        <v>0.15</v>
      </c>
      <c r="AL158" s="88">
        <v>3.4362770551863299E-2</v>
      </c>
      <c r="AM158" s="89">
        <f t="shared" si="2"/>
        <v>0.229085137012422</v>
      </c>
      <c r="AN158" s="78"/>
    </row>
    <row r="159" spans="1:40" x14ac:dyDescent="0.25">
      <c r="A159" t="s">
        <v>44</v>
      </c>
      <c r="B159" t="s">
        <v>45</v>
      </c>
      <c r="C159" s="121" t="s">
        <v>174</v>
      </c>
      <c r="D159" t="s">
        <v>191</v>
      </c>
      <c r="E159" t="s">
        <v>59</v>
      </c>
      <c r="F159">
        <v>1</v>
      </c>
      <c r="G159">
        <v>54</v>
      </c>
      <c r="H159" s="86">
        <v>45962.169944930603</v>
      </c>
      <c r="I159" s="86">
        <v>45962.242127881997</v>
      </c>
      <c r="J159" s="87">
        <v>1.73239083333333</v>
      </c>
      <c r="K159" s="69" t="s">
        <v>274</v>
      </c>
      <c r="L159" s="69"/>
      <c r="M159" s="71"/>
      <c r="N159" s="71"/>
      <c r="O159" s="71"/>
      <c r="P159" s="71" t="s">
        <v>275</v>
      </c>
      <c r="Q159" s="88">
        <v>3.1807965732833197E-2</v>
      </c>
      <c r="R159" s="89" t="s">
        <v>276</v>
      </c>
      <c r="S159" s="89"/>
      <c r="T159">
        <v>8.1</v>
      </c>
      <c r="U159" s="76">
        <v>0.2</v>
      </c>
      <c r="V159">
        <v>9.1999999999999993</v>
      </c>
      <c r="W159" s="90">
        <v>0.1</v>
      </c>
      <c r="X159" s="90"/>
      <c r="Y159" s="71"/>
      <c r="Z159" s="71"/>
      <c r="AA159" s="71"/>
      <c r="AB159" s="71"/>
      <c r="AC159" s="71"/>
      <c r="AD159" s="71"/>
      <c r="AE159" s="71"/>
      <c r="AF159" s="71"/>
      <c r="AG159" s="82">
        <v>0</v>
      </c>
      <c r="AH159" s="76"/>
      <c r="AI159" s="76"/>
      <c r="AJ159" s="76"/>
      <c r="AK159" s="71">
        <v>0.15</v>
      </c>
      <c r="AL159" s="88">
        <v>3.4362770551863299E-2</v>
      </c>
      <c r="AM159" s="89">
        <f t="shared" si="2"/>
        <v>0.229085137012422</v>
      </c>
      <c r="AN159" s="78"/>
    </row>
    <row r="160" spans="1:40" x14ac:dyDescent="0.25">
      <c r="A160" t="s">
        <v>44</v>
      </c>
      <c r="B160" t="s">
        <v>45</v>
      </c>
      <c r="C160" s="121" t="s">
        <v>174</v>
      </c>
      <c r="D160" t="s">
        <v>191</v>
      </c>
      <c r="E160" t="s">
        <v>59</v>
      </c>
      <c r="F160">
        <v>1</v>
      </c>
      <c r="G160">
        <v>55</v>
      </c>
      <c r="H160" s="86">
        <v>45962.242127881997</v>
      </c>
      <c r="I160" s="86">
        <v>45962.314308911999</v>
      </c>
      <c r="J160" s="87">
        <v>1.7323447222222199</v>
      </c>
      <c r="K160" s="69" t="s">
        <v>274</v>
      </c>
      <c r="L160" s="69"/>
      <c r="M160" s="71"/>
      <c r="N160" s="71"/>
      <c r="O160" s="71"/>
      <c r="P160" s="71" t="s">
        <v>275</v>
      </c>
      <c r="Q160" s="88">
        <v>2.4964696342161901E-2</v>
      </c>
      <c r="R160" s="89" t="s">
        <v>276</v>
      </c>
      <c r="S160" s="89"/>
      <c r="T160">
        <v>7.5</v>
      </c>
      <c r="U160" s="76">
        <v>0.2</v>
      </c>
      <c r="V160">
        <v>9.1999999999999993</v>
      </c>
      <c r="W160" s="90">
        <v>0.1</v>
      </c>
      <c r="X160" s="90"/>
      <c r="Y160" s="71"/>
      <c r="Z160" s="71"/>
      <c r="AA160" s="71"/>
      <c r="AB160" s="71"/>
      <c r="AC160" s="71"/>
      <c r="AD160" s="71"/>
      <c r="AE160" s="71"/>
      <c r="AF160" s="71"/>
      <c r="AG160" s="82">
        <v>0</v>
      </c>
      <c r="AH160" s="76"/>
      <c r="AI160" s="76"/>
      <c r="AJ160" s="76"/>
      <c r="AK160" s="71">
        <v>0.15</v>
      </c>
      <c r="AL160" s="88">
        <v>3.4362770551863299E-2</v>
      </c>
      <c r="AM160" s="89">
        <f t="shared" si="2"/>
        <v>0.229085137012422</v>
      </c>
      <c r="AN160" s="78"/>
    </row>
    <row r="161" spans="1:40" x14ac:dyDescent="0.25">
      <c r="A161" t="s">
        <v>44</v>
      </c>
      <c r="B161" t="s">
        <v>45</v>
      </c>
      <c r="C161" s="121" t="s">
        <v>174</v>
      </c>
      <c r="D161" t="s">
        <v>191</v>
      </c>
      <c r="E161" t="s">
        <v>59</v>
      </c>
      <c r="F161">
        <v>1</v>
      </c>
      <c r="G161">
        <v>56</v>
      </c>
      <c r="H161" s="86">
        <v>45962.314308911999</v>
      </c>
      <c r="I161" s="86">
        <v>45962.386492511599</v>
      </c>
      <c r="J161" s="87">
        <v>1.7324063888888901</v>
      </c>
      <c r="K161" s="69" t="s">
        <v>274</v>
      </c>
      <c r="L161" s="69"/>
      <c r="M161" s="71"/>
      <c r="N161" s="71"/>
      <c r="O161" s="71"/>
      <c r="P161" s="71" t="s">
        <v>275</v>
      </c>
      <c r="Q161" s="88">
        <v>2.2485755744048101E-2</v>
      </c>
      <c r="R161" s="89" t="s">
        <v>276</v>
      </c>
      <c r="S161" s="89"/>
      <c r="T161">
        <v>7.6</v>
      </c>
      <c r="U161" s="76">
        <v>0.2</v>
      </c>
      <c r="V161">
        <v>9.1999999999999993</v>
      </c>
      <c r="W161" s="90">
        <v>0.1</v>
      </c>
      <c r="X161" s="90"/>
      <c r="Y161" s="71"/>
      <c r="Z161" s="71"/>
      <c r="AA161" s="71"/>
      <c r="AB161" s="71"/>
      <c r="AC161" s="71"/>
      <c r="AD161" s="71"/>
      <c r="AE161" s="71"/>
      <c r="AF161" s="71"/>
      <c r="AG161" s="82">
        <v>0</v>
      </c>
      <c r="AH161" s="76"/>
      <c r="AI161" s="76"/>
      <c r="AJ161" s="76"/>
      <c r="AK161" s="71">
        <v>0.15</v>
      </c>
      <c r="AL161" s="88">
        <v>3.4362770551863299E-2</v>
      </c>
      <c r="AM161" s="89">
        <f t="shared" si="2"/>
        <v>0.229085137012422</v>
      </c>
      <c r="AN161" s="78"/>
    </row>
    <row r="162" spans="1:40" x14ac:dyDescent="0.25">
      <c r="A162" t="s">
        <v>44</v>
      </c>
      <c r="B162" t="s">
        <v>45</v>
      </c>
      <c r="C162" s="121" t="s">
        <v>174</v>
      </c>
      <c r="D162" t="s">
        <v>191</v>
      </c>
      <c r="E162" t="s">
        <v>59</v>
      </c>
      <c r="F162">
        <v>1</v>
      </c>
      <c r="G162">
        <v>57</v>
      </c>
      <c r="H162" s="86">
        <v>45962.386492511599</v>
      </c>
      <c r="I162" s="86">
        <v>45962.458684479199</v>
      </c>
      <c r="J162" s="87">
        <v>1.73260722222222</v>
      </c>
      <c r="K162" s="69" t="s">
        <v>274</v>
      </c>
      <c r="L162" s="69"/>
      <c r="M162" s="71"/>
      <c r="N162" s="71"/>
      <c r="O162" s="71"/>
      <c r="P162" s="71" t="s">
        <v>275</v>
      </c>
      <c r="Q162" s="88">
        <v>5.5858144174967997E-2</v>
      </c>
      <c r="R162" s="89" t="s">
        <v>276</v>
      </c>
      <c r="S162" s="89"/>
      <c r="T162">
        <v>8.5</v>
      </c>
      <c r="U162" s="76">
        <v>0.2</v>
      </c>
      <c r="V162">
        <v>9.1999999999999993</v>
      </c>
      <c r="W162" s="90">
        <v>0.1</v>
      </c>
      <c r="X162" s="90"/>
      <c r="Y162" s="71"/>
      <c r="Z162" s="71"/>
      <c r="AA162" s="71"/>
      <c r="AB162" s="71"/>
      <c r="AC162" s="71"/>
      <c r="AD162" s="71"/>
      <c r="AE162" s="71"/>
      <c r="AF162" s="71"/>
      <c r="AG162" s="82">
        <v>0</v>
      </c>
      <c r="AH162" s="76"/>
      <c r="AI162" s="76"/>
      <c r="AJ162" s="76"/>
      <c r="AK162" s="71">
        <v>0.15</v>
      </c>
      <c r="AL162" s="88">
        <v>3.4362770551863299E-2</v>
      </c>
      <c r="AM162" s="89">
        <f t="shared" si="2"/>
        <v>0.229085137012422</v>
      </c>
      <c r="AN162" s="78"/>
    </row>
    <row r="163" spans="1:40" x14ac:dyDescent="0.25">
      <c r="A163" t="s">
        <v>44</v>
      </c>
      <c r="B163" t="s">
        <v>45</v>
      </c>
      <c r="C163" s="121" t="s">
        <v>174</v>
      </c>
      <c r="D163" t="s">
        <v>191</v>
      </c>
      <c r="E163" t="s">
        <v>59</v>
      </c>
      <c r="F163">
        <v>1</v>
      </c>
      <c r="G163">
        <v>58</v>
      </c>
      <c r="H163" s="86">
        <v>45962.458684479199</v>
      </c>
      <c r="I163" s="86">
        <v>45962.530872800897</v>
      </c>
      <c r="J163" s="87">
        <v>1.7325197222222199</v>
      </c>
      <c r="K163" s="69" t="s">
        <v>274</v>
      </c>
      <c r="L163" s="69"/>
      <c r="M163" s="71"/>
      <c r="N163" s="71"/>
      <c r="O163" s="71"/>
      <c r="P163" s="71" t="s">
        <v>275</v>
      </c>
      <c r="Q163" s="88">
        <v>4.8489618608785999E-2</v>
      </c>
      <c r="R163" s="89" t="s">
        <v>276</v>
      </c>
      <c r="S163" s="89"/>
      <c r="T163">
        <v>10.5</v>
      </c>
      <c r="U163" s="76">
        <v>0.2</v>
      </c>
      <c r="V163">
        <v>9.1999999999999993</v>
      </c>
      <c r="W163" s="90">
        <v>0.1</v>
      </c>
      <c r="X163" s="90"/>
      <c r="Y163" s="71"/>
      <c r="Z163" s="71"/>
      <c r="AA163" s="71"/>
      <c r="AB163" s="71"/>
      <c r="AC163" s="71"/>
      <c r="AD163" s="71"/>
      <c r="AE163" s="71"/>
      <c r="AF163" s="71"/>
      <c r="AG163" s="82">
        <v>0</v>
      </c>
      <c r="AH163" s="76"/>
      <c r="AI163" s="76"/>
      <c r="AJ163" s="76"/>
      <c r="AK163" s="71">
        <v>0.15</v>
      </c>
      <c r="AL163" s="88">
        <v>3.4362770551863299E-2</v>
      </c>
      <c r="AM163" s="89">
        <f t="shared" si="2"/>
        <v>0.229085137012422</v>
      </c>
      <c r="AN163" s="78"/>
    </row>
    <row r="164" spans="1:40" x14ac:dyDescent="0.25">
      <c r="A164" t="s">
        <v>44</v>
      </c>
      <c r="B164" t="s">
        <v>45</v>
      </c>
      <c r="C164" s="121" t="s">
        <v>174</v>
      </c>
      <c r="D164" t="s">
        <v>191</v>
      </c>
      <c r="E164" t="s">
        <v>59</v>
      </c>
      <c r="F164">
        <v>1</v>
      </c>
      <c r="G164">
        <v>59</v>
      </c>
      <c r="H164" s="86">
        <v>45962.530872800897</v>
      </c>
      <c r="I164" s="86">
        <v>45962.603061875001</v>
      </c>
      <c r="J164" s="87">
        <v>1.73253777777778</v>
      </c>
      <c r="K164" s="69" t="s">
        <v>274</v>
      </c>
      <c r="L164" s="69"/>
      <c r="M164" s="71"/>
      <c r="N164" s="71"/>
      <c r="O164" s="71"/>
      <c r="P164" s="71" t="s">
        <v>275</v>
      </c>
      <c r="Q164" s="88">
        <v>3.6049917973001701E-2</v>
      </c>
      <c r="R164" s="89" t="s">
        <v>276</v>
      </c>
      <c r="S164" s="89"/>
      <c r="T164">
        <v>10.7</v>
      </c>
      <c r="U164" s="76">
        <v>0.2</v>
      </c>
      <c r="V164">
        <v>9.3000000000000007</v>
      </c>
      <c r="W164" s="90">
        <v>0.1</v>
      </c>
      <c r="X164" s="90"/>
      <c r="Y164" s="71"/>
      <c r="Z164" s="71"/>
      <c r="AA164" s="71"/>
      <c r="AB164" s="71"/>
      <c r="AC164" s="71"/>
      <c r="AD164" s="71"/>
      <c r="AE164" s="71"/>
      <c r="AF164" s="71"/>
      <c r="AG164" s="82">
        <v>0.1</v>
      </c>
      <c r="AH164" s="76"/>
      <c r="AI164" s="76"/>
      <c r="AJ164" s="76"/>
      <c r="AK164" s="71">
        <v>0.15</v>
      </c>
      <c r="AL164" s="88">
        <v>3.4362770551863299E-2</v>
      </c>
      <c r="AM164" s="89">
        <f t="shared" si="2"/>
        <v>0.229085137012422</v>
      </c>
      <c r="AN164" s="78"/>
    </row>
    <row r="165" spans="1:40" x14ac:dyDescent="0.25">
      <c r="A165" t="s">
        <v>44</v>
      </c>
      <c r="B165" t="s">
        <v>45</v>
      </c>
      <c r="C165" s="121" t="s">
        <v>174</v>
      </c>
      <c r="D165" t="s">
        <v>191</v>
      </c>
      <c r="E165" t="s">
        <v>59</v>
      </c>
      <c r="F165">
        <v>1</v>
      </c>
      <c r="G165">
        <v>60</v>
      </c>
      <c r="H165" s="86">
        <v>45962.603061875001</v>
      </c>
      <c r="I165" s="86">
        <v>45962.675238333301</v>
      </c>
      <c r="J165" s="87">
        <v>1.732235</v>
      </c>
      <c r="K165" s="69" t="s">
        <v>274</v>
      </c>
      <c r="L165" s="69"/>
      <c r="M165" s="71"/>
      <c r="N165" s="71"/>
      <c r="O165" s="71"/>
      <c r="P165" s="71" t="s">
        <v>275</v>
      </c>
      <c r="Q165" s="88">
        <v>2.6682759029911199E-2</v>
      </c>
      <c r="R165" s="89" t="s">
        <v>276</v>
      </c>
      <c r="S165" s="89"/>
      <c r="T165">
        <v>10.9</v>
      </c>
      <c r="U165" s="76">
        <v>0.2</v>
      </c>
      <c r="V165">
        <v>9.4</v>
      </c>
      <c r="W165" s="90">
        <v>0.1</v>
      </c>
      <c r="X165" s="90"/>
      <c r="Y165" s="71"/>
      <c r="Z165" s="71"/>
      <c r="AA165" s="71"/>
      <c r="AB165" s="71"/>
      <c r="AC165" s="71"/>
      <c r="AD165" s="71"/>
      <c r="AE165" s="71"/>
      <c r="AF165" s="71"/>
      <c r="AG165" s="82">
        <v>0.1</v>
      </c>
      <c r="AH165" s="76"/>
      <c r="AI165" s="76"/>
      <c r="AJ165" s="76"/>
      <c r="AK165" s="71">
        <v>0.15</v>
      </c>
      <c r="AL165" s="88">
        <v>3.4362770551863299E-2</v>
      </c>
      <c r="AM165" s="89">
        <f t="shared" si="2"/>
        <v>0.229085137012422</v>
      </c>
      <c r="AN165" s="78"/>
    </row>
    <row r="166" spans="1:40" x14ac:dyDescent="0.25">
      <c r="A166" t="s">
        <v>44</v>
      </c>
      <c r="B166" t="s">
        <v>45</v>
      </c>
      <c r="C166" s="121" t="s">
        <v>174</v>
      </c>
      <c r="D166" t="s">
        <v>191</v>
      </c>
      <c r="E166" t="s">
        <v>59</v>
      </c>
      <c r="F166">
        <v>1</v>
      </c>
      <c r="G166">
        <v>61</v>
      </c>
      <c r="H166" s="86">
        <v>45962.675238333301</v>
      </c>
      <c r="I166" s="86">
        <v>45962.747431666699</v>
      </c>
      <c r="J166" s="87">
        <v>1.73264</v>
      </c>
      <c r="K166" s="69" t="s">
        <v>274</v>
      </c>
      <c r="L166" s="69"/>
      <c r="M166" s="71"/>
      <c r="N166" s="71"/>
      <c r="O166" s="71"/>
      <c r="P166" s="71" t="s">
        <v>275</v>
      </c>
      <c r="Q166" s="88">
        <v>1.65095812591631E-2</v>
      </c>
      <c r="R166" s="89" t="s">
        <v>276</v>
      </c>
      <c r="S166" s="89"/>
      <c r="T166">
        <v>10.5</v>
      </c>
      <c r="U166" s="76">
        <v>0.2</v>
      </c>
      <c r="V166">
        <v>9.6</v>
      </c>
      <c r="W166" s="90">
        <v>0.1</v>
      </c>
      <c r="X166" s="90"/>
      <c r="Y166" s="71"/>
      <c r="Z166" s="71"/>
      <c r="AA166" s="71"/>
      <c r="AB166" s="71"/>
      <c r="AC166" s="71"/>
      <c r="AD166" s="71"/>
      <c r="AE166" s="71"/>
      <c r="AF166" s="71"/>
      <c r="AG166" s="82">
        <v>0.6</v>
      </c>
      <c r="AH166" s="76"/>
      <c r="AI166" s="76"/>
      <c r="AJ166" s="76"/>
      <c r="AK166" s="71">
        <v>0.15</v>
      </c>
      <c r="AL166" s="88">
        <v>3.4362770551863299E-2</v>
      </c>
      <c r="AM166" s="89">
        <f t="shared" si="2"/>
        <v>0.229085137012422</v>
      </c>
      <c r="AN166" s="78"/>
    </row>
    <row r="167" spans="1:40" x14ac:dyDescent="0.25">
      <c r="A167" t="s">
        <v>44</v>
      </c>
      <c r="B167" t="s">
        <v>45</v>
      </c>
      <c r="C167" s="121" t="s">
        <v>174</v>
      </c>
      <c r="D167" t="s">
        <v>191</v>
      </c>
      <c r="E167" t="s">
        <v>59</v>
      </c>
      <c r="F167">
        <v>1</v>
      </c>
      <c r="G167">
        <v>62</v>
      </c>
      <c r="H167" s="86">
        <v>45962.747431666699</v>
      </c>
      <c r="I167" s="86">
        <v>45962.819609791703</v>
      </c>
      <c r="J167" s="87">
        <v>1.732275</v>
      </c>
      <c r="K167" s="69" t="s">
        <v>274</v>
      </c>
      <c r="L167" s="69"/>
      <c r="M167" s="71"/>
      <c r="N167" s="71"/>
      <c r="O167" s="71"/>
      <c r="P167" s="71" t="s">
        <v>275</v>
      </c>
      <c r="Q167" s="88">
        <v>1.3826326732152601E-2</v>
      </c>
      <c r="R167" s="89" t="s">
        <v>276</v>
      </c>
      <c r="S167" s="89"/>
      <c r="T167">
        <v>10.6</v>
      </c>
      <c r="U167" s="76">
        <v>0.2</v>
      </c>
      <c r="V167">
        <v>9.6999999999999993</v>
      </c>
      <c r="W167" s="90">
        <v>0.1</v>
      </c>
      <c r="X167" s="90"/>
      <c r="Y167" s="71"/>
      <c r="Z167" s="71"/>
      <c r="AA167" s="71"/>
      <c r="AB167" s="71"/>
      <c r="AC167" s="71"/>
      <c r="AD167" s="71"/>
      <c r="AE167" s="71"/>
      <c r="AF167" s="71"/>
      <c r="AG167" s="82">
        <v>0.4</v>
      </c>
      <c r="AH167" s="76"/>
      <c r="AI167" s="76"/>
      <c r="AJ167" s="76"/>
      <c r="AK167" s="71">
        <v>0.15</v>
      </c>
      <c r="AL167" s="88">
        <v>3.4362770551863299E-2</v>
      </c>
      <c r="AM167" s="89">
        <f t="shared" si="2"/>
        <v>0.229085137012422</v>
      </c>
      <c r="AN167" s="78"/>
    </row>
    <row r="168" spans="1:40" x14ac:dyDescent="0.25">
      <c r="A168" t="s">
        <v>44</v>
      </c>
      <c r="B168" t="s">
        <v>45</v>
      </c>
      <c r="C168" s="121" t="s">
        <v>174</v>
      </c>
      <c r="D168" t="s">
        <v>191</v>
      </c>
      <c r="E168" t="s">
        <v>59</v>
      </c>
      <c r="F168">
        <v>1</v>
      </c>
      <c r="G168">
        <v>63</v>
      </c>
      <c r="H168" s="86">
        <v>45962.819609791703</v>
      </c>
      <c r="I168" s="86">
        <v>45962.891798842596</v>
      </c>
      <c r="J168" s="87">
        <v>1.73253722222222</v>
      </c>
      <c r="K168" s="69" t="s">
        <v>274</v>
      </c>
      <c r="L168" s="69"/>
      <c r="M168" s="71"/>
      <c r="N168" s="71"/>
      <c r="O168" s="71"/>
      <c r="P168" s="71" t="s">
        <v>275</v>
      </c>
      <c r="Q168" s="88">
        <v>1.6507893539520799E-2</v>
      </c>
      <c r="R168" s="89" t="s">
        <v>276</v>
      </c>
      <c r="S168" s="89"/>
      <c r="T168">
        <v>10.4</v>
      </c>
      <c r="U168" s="76">
        <v>0.2</v>
      </c>
      <c r="V168">
        <v>9.6999999999999993</v>
      </c>
      <c r="W168" s="90">
        <v>0.1</v>
      </c>
      <c r="X168" s="90"/>
      <c r="Y168" s="71"/>
      <c r="Z168" s="71"/>
      <c r="AA168" s="71"/>
      <c r="AB168" s="71"/>
      <c r="AC168" s="71"/>
      <c r="AD168" s="71"/>
      <c r="AE168" s="71"/>
      <c r="AF168" s="71"/>
      <c r="AG168" s="82">
        <v>0</v>
      </c>
      <c r="AH168" s="76"/>
      <c r="AI168" s="76"/>
      <c r="AJ168" s="76"/>
      <c r="AK168" s="71">
        <v>0.15</v>
      </c>
      <c r="AL168" s="88">
        <v>3.4362770551863299E-2</v>
      </c>
      <c r="AM168" s="89">
        <f t="shared" si="2"/>
        <v>0.229085137012422</v>
      </c>
      <c r="AN168" s="78"/>
    </row>
    <row r="169" spans="1:40" x14ac:dyDescent="0.25">
      <c r="A169" t="s">
        <v>44</v>
      </c>
      <c r="B169" t="s">
        <v>45</v>
      </c>
      <c r="C169" s="121" t="s">
        <v>174</v>
      </c>
      <c r="D169" t="s">
        <v>191</v>
      </c>
      <c r="E169" t="s">
        <v>59</v>
      </c>
      <c r="F169">
        <v>1</v>
      </c>
      <c r="G169">
        <v>64</v>
      </c>
      <c r="H169" s="86">
        <v>45962.891798842596</v>
      </c>
      <c r="I169" s="86">
        <v>45962.963983101901</v>
      </c>
      <c r="J169" s="87">
        <v>1.7324222222222201</v>
      </c>
      <c r="K169" s="69" t="s">
        <v>274</v>
      </c>
      <c r="L169" s="69"/>
      <c r="M169" s="71"/>
      <c r="N169" s="71"/>
      <c r="O169" s="71"/>
      <c r="P169" s="71" t="s">
        <v>275</v>
      </c>
      <c r="Q169" s="88">
        <v>1.92630744883962E-2</v>
      </c>
      <c r="R169" s="89" t="s">
        <v>276</v>
      </c>
      <c r="S169" s="89"/>
      <c r="T169">
        <v>10.5</v>
      </c>
      <c r="U169" s="76">
        <v>0.2</v>
      </c>
      <c r="V169">
        <v>9.8000000000000007</v>
      </c>
      <c r="W169" s="90">
        <v>0.1</v>
      </c>
      <c r="X169" s="90"/>
      <c r="Y169" s="71"/>
      <c r="Z169" s="71"/>
      <c r="AA169" s="71"/>
      <c r="AB169" s="71"/>
      <c r="AC169" s="71"/>
      <c r="AD169" s="71"/>
      <c r="AE169" s="71"/>
      <c r="AF169" s="71"/>
      <c r="AG169" s="82">
        <v>0</v>
      </c>
      <c r="AH169" s="76"/>
      <c r="AI169" s="76"/>
      <c r="AJ169" s="76"/>
      <c r="AK169" s="71">
        <v>0.15</v>
      </c>
      <c r="AL169" s="88">
        <v>3.4362770551863299E-2</v>
      </c>
      <c r="AM169" s="89">
        <f t="shared" si="2"/>
        <v>0.229085137012422</v>
      </c>
      <c r="AN169" s="78"/>
    </row>
    <row r="170" spans="1:40" x14ac:dyDescent="0.25">
      <c r="A170" t="s">
        <v>44</v>
      </c>
      <c r="B170" t="s">
        <v>45</v>
      </c>
      <c r="C170" s="121" t="s">
        <v>174</v>
      </c>
      <c r="D170" t="s">
        <v>191</v>
      </c>
      <c r="E170" t="s">
        <v>59</v>
      </c>
      <c r="F170">
        <v>1</v>
      </c>
      <c r="G170">
        <v>65</v>
      </c>
      <c r="H170" s="86">
        <v>45962.963983101901</v>
      </c>
      <c r="I170" s="86">
        <v>45963.036164131998</v>
      </c>
      <c r="J170" s="87">
        <v>1.7323447222222199</v>
      </c>
      <c r="K170" s="69" t="s">
        <v>274</v>
      </c>
      <c r="L170" s="69"/>
      <c r="M170" s="71"/>
      <c r="N170" s="71"/>
      <c r="O170" s="71"/>
      <c r="P170" s="71" t="s">
        <v>275</v>
      </c>
      <c r="Q170" s="88">
        <v>1.48402831806371E-2</v>
      </c>
      <c r="R170" s="89" t="s">
        <v>276</v>
      </c>
      <c r="S170" s="89"/>
      <c r="T170">
        <v>9.1999999999999993</v>
      </c>
      <c r="U170" s="76">
        <v>0.2</v>
      </c>
      <c r="V170">
        <v>9.8000000000000007</v>
      </c>
      <c r="W170" s="90">
        <v>0.1</v>
      </c>
      <c r="X170" s="90"/>
      <c r="Y170" s="71"/>
      <c r="Z170" s="71"/>
      <c r="AA170" s="71"/>
      <c r="AB170" s="71"/>
      <c r="AC170" s="71"/>
      <c r="AD170" s="71"/>
      <c r="AE170" s="71"/>
      <c r="AF170" s="71"/>
      <c r="AG170" s="82">
        <v>0</v>
      </c>
      <c r="AH170" s="76"/>
      <c r="AI170" s="76"/>
      <c r="AJ170" s="76"/>
      <c r="AK170" s="71">
        <v>0.15</v>
      </c>
      <c r="AL170" s="88">
        <v>3.4362770551863299E-2</v>
      </c>
      <c r="AM170" s="89">
        <f t="shared" si="2"/>
        <v>0.229085137012422</v>
      </c>
      <c r="AN170" s="78"/>
    </row>
    <row r="171" spans="1:40" x14ac:dyDescent="0.25">
      <c r="A171" t="s">
        <v>44</v>
      </c>
      <c r="B171" t="s">
        <v>45</v>
      </c>
      <c r="C171" s="121" t="s">
        <v>174</v>
      </c>
      <c r="D171" t="s">
        <v>191</v>
      </c>
      <c r="E171" t="s">
        <v>59</v>
      </c>
      <c r="F171">
        <v>1</v>
      </c>
      <c r="G171">
        <v>66</v>
      </c>
      <c r="H171" s="86">
        <v>45963.036164131998</v>
      </c>
      <c r="I171" s="86">
        <v>45963.108346608802</v>
      </c>
      <c r="J171" s="87">
        <v>1.73237944444444</v>
      </c>
      <c r="K171" s="69" t="s">
        <v>274</v>
      </c>
      <c r="L171" s="69"/>
      <c r="M171" s="71"/>
      <c r="N171" s="71"/>
      <c r="O171" s="71"/>
      <c r="P171" s="71" t="s">
        <v>275</v>
      </c>
      <c r="Q171" s="88">
        <v>1.5229384049606699E-2</v>
      </c>
      <c r="R171" s="89" t="s">
        <v>276</v>
      </c>
      <c r="S171" s="89"/>
      <c r="T171">
        <v>8.6999999999999993</v>
      </c>
      <c r="U171" s="76">
        <v>0.2</v>
      </c>
      <c r="V171">
        <v>9.8000000000000007</v>
      </c>
      <c r="W171" s="90">
        <v>0.1</v>
      </c>
      <c r="X171" s="90"/>
      <c r="Y171" s="71"/>
      <c r="Z171" s="71"/>
      <c r="AA171" s="71"/>
      <c r="AB171" s="71"/>
      <c r="AC171" s="71"/>
      <c r="AD171" s="71"/>
      <c r="AE171" s="71"/>
      <c r="AF171" s="71"/>
      <c r="AG171" s="82">
        <v>0.1</v>
      </c>
      <c r="AH171" s="76"/>
      <c r="AI171" s="76"/>
      <c r="AJ171" s="76"/>
      <c r="AK171" s="71">
        <v>0.15</v>
      </c>
      <c r="AL171" s="88">
        <v>3.4362770551863299E-2</v>
      </c>
      <c r="AM171" s="89">
        <f t="shared" si="2"/>
        <v>0.229085137012422</v>
      </c>
      <c r="AN171" s="78"/>
    </row>
    <row r="172" spans="1:40" x14ac:dyDescent="0.25">
      <c r="A172" t="s">
        <v>44</v>
      </c>
      <c r="B172" t="s">
        <v>45</v>
      </c>
      <c r="C172" s="121" t="s">
        <v>174</v>
      </c>
      <c r="D172" t="s">
        <v>191</v>
      </c>
      <c r="E172" t="s">
        <v>59</v>
      </c>
      <c r="F172">
        <v>1</v>
      </c>
      <c r="G172">
        <v>67</v>
      </c>
      <c r="H172" s="86">
        <v>45963.108346608802</v>
      </c>
      <c r="I172" s="86">
        <v>45963.180534155101</v>
      </c>
      <c r="J172" s="87">
        <v>1.7325011111111099</v>
      </c>
      <c r="K172" s="69" t="s">
        <v>274</v>
      </c>
      <c r="L172" s="69"/>
      <c r="M172" s="71"/>
      <c r="N172" s="71"/>
      <c r="O172" s="71"/>
      <c r="P172" s="71" t="s">
        <v>275</v>
      </c>
      <c r="Q172" s="88">
        <v>1.08966341926785E-2</v>
      </c>
      <c r="R172" s="89" t="s">
        <v>276</v>
      </c>
      <c r="S172" s="89"/>
      <c r="T172">
        <v>8.1</v>
      </c>
      <c r="U172" s="76">
        <v>0.2</v>
      </c>
      <c r="V172">
        <v>9.6999999999999993</v>
      </c>
      <c r="W172" s="90">
        <v>0.1</v>
      </c>
      <c r="X172" s="90"/>
      <c r="Y172" s="71"/>
      <c r="Z172" s="71"/>
      <c r="AA172" s="71"/>
      <c r="AB172" s="71"/>
      <c r="AC172" s="71"/>
      <c r="AD172" s="71"/>
      <c r="AE172" s="71"/>
      <c r="AF172" s="71"/>
      <c r="AG172" s="82">
        <v>0</v>
      </c>
      <c r="AH172" s="76"/>
      <c r="AI172" s="76"/>
      <c r="AJ172" s="76"/>
      <c r="AK172" s="71">
        <v>0.15</v>
      </c>
      <c r="AL172" s="88">
        <v>3.4362770551863299E-2</v>
      </c>
      <c r="AM172" s="89">
        <f t="shared" si="2"/>
        <v>0.229085137012422</v>
      </c>
      <c r="AN172" s="78"/>
    </row>
    <row r="173" spans="1:40" x14ac:dyDescent="0.25">
      <c r="A173" t="s">
        <v>44</v>
      </c>
      <c r="B173" t="s">
        <v>45</v>
      </c>
      <c r="C173" s="121" t="s">
        <v>174</v>
      </c>
      <c r="D173" t="s">
        <v>191</v>
      </c>
      <c r="E173" t="s">
        <v>59</v>
      </c>
      <c r="F173">
        <v>1</v>
      </c>
      <c r="G173">
        <v>68</v>
      </c>
      <c r="H173" s="86">
        <v>45963.180534155101</v>
      </c>
      <c r="I173" s="86">
        <v>45963.252716481496</v>
      </c>
      <c r="J173" s="87">
        <v>1.7323758333333299</v>
      </c>
      <c r="K173" s="69" t="s">
        <v>274</v>
      </c>
      <c r="L173" s="69"/>
      <c r="M173" s="71"/>
      <c r="N173" s="71"/>
      <c r="O173" s="71"/>
      <c r="P173" s="71" t="s">
        <v>275</v>
      </c>
      <c r="Q173" s="88">
        <v>1.27264672592574E-2</v>
      </c>
      <c r="R173" s="89" t="s">
        <v>276</v>
      </c>
      <c r="S173" s="89"/>
      <c r="T173">
        <v>8.5</v>
      </c>
      <c r="U173" s="76">
        <v>0.2</v>
      </c>
      <c r="V173">
        <v>9.6999999999999993</v>
      </c>
      <c r="W173" s="90">
        <v>0.1</v>
      </c>
      <c r="X173" s="90"/>
      <c r="Y173" s="71"/>
      <c r="Z173" s="71"/>
      <c r="AA173" s="71"/>
      <c r="AB173" s="71"/>
      <c r="AC173" s="71"/>
      <c r="AD173" s="71"/>
      <c r="AE173" s="71"/>
      <c r="AF173" s="71"/>
      <c r="AG173" s="82">
        <v>0</v>
      </c>
      <c r="AH173" s="76"/>
      <c r="AI173" s="76"/>
      <c r="AJ173" s="76"/>
      <c r="AK173" s="71">
        <v>0.15</v>
      </c>
      <c r="AL173" s="88">
        <v>3.4362770551863299E-2</v>
      </c>
      <c r="AM173" s="89">
        <f t="shared" si="2"/>
        <v>0.229085137012422</v>
      </c>
      <c r="AN173" s="78"/>
    </row>
    <row r="174" spans="1:40" x14ac:dyDescent="0.25">
      <c r="A174" t="s">
        <v>44</v>
      </c>
      <c r="B174" t="s">
        <v>45</v>
      </c>
      <c r="C174" s="121" t="s">
        <v>174</v>
      </c>
      <c r="D174" t="s">
        <v>191</v>
      </c>
      <c r="E174" t="s">
        <v>59</v>
      </c>
      <c r="F174">
        <v>1</v>
      </c>
      <c r="G174">
        <v>69</v>
      </c>
      <c r="H174" s="86">
        <v>45963.252716481496</v>
      </c>
      <c r="I174" s="86">
        <v>45963.3248884028</v>
      </c>
      <c r="J174" s="87">
        <v>1.7321261111111099</v>
      </c>
      <c r="K174" s="69" t="s">
        <v>274</v>
      </c>
      <c r="L174" s="69"/>
      <c r="M174" s="71"/>
      <c r="N174" s="71"/>
      <c r="O174" s="71"/>
      <c r="P174" s="71" t="s">
        <v>275</v>
      </c>
      <c r="Q174" s="88">
        <v>9.8271391497004902E-3</v>
      </c>
      <c r="R174" s="89" t="s">
        <v>276</v>
      </c>
      <c r="S174" s="89"/>
      <c r="T174">
        <v>8.6</v>
      </c>
      <c r="U174" s="76">
        <v>0.2</v>
      </c>
      <c r="V174">
        <v>9.6</v>
      </c>
      <c r="W174" s="90">
        <v>0.1</v>
      </c>
      <c r="X174" s="90"/>
      <c r="Y174" s="71"/>
      <c r="Z174" s="71"/>
      <c r="AA174" s="71"/>
      <c r="AB174" s="71"/>
      <c r="AC174" s="71"/>
      <c r="AD174" s="71"/>
      <c r="AE174" s="71"/>
      <c r="AF174" s="71"/>
      <c r="AG174" s="82">
        <v>0</v>
      </c>
      <c r="AH174" s="76"/>
      <c r="AI174" s="76"/>
      <c r="AJ174" s="76"/>
      <c r="AK174" s="71">
        <v>0.15</v>
      </c>
      <c r="AL174" s="88">
        <v>3.4362770551863299E-2</v>
      </c>
      <c r="AM174" s="89">
        <f t="shared" si="2"/>
        <v>0.229085137012422</v>
      </c>
      <c r="AN174" s="78"/>
    </row>
    <row r="175" spans="1:40" x14ac:dyDescent="0.25">
      <c r="A175" t="s">
        <v>44</v>
      </c>
      <c r="B175" t="s">
        <v>45</v>
      </c>
      <c r="C175" s="121" t="s">
        <v>174</v>
      </c>
      <c r="D175" t="s">
        <v>191</v>
      </c>
      <c r="E175" t="s">
        <v>59</v>
      </c>
      <c r="F175">
        <v>1</v>
      </c>
      <c r="G175">
        <v>70</v>
      </c>
      <c r="H175" s="86">
        <v>45963.3248884028</v>
      </c>
      <c r="I175" s="86">
        <v>45963.397091921302</v>
      </c>
      <c r="J175" s="87">
        <v>1.73288444444444</v>
      </c>
      <c r="K175" s="69" t="s">
        <v>274</v>
      </c>
      <c r="L175" s="69"/>
      <c r="M175" s="71"/>
      <c r="N175" s="71"/>
      <c r="O175" s="71"/>
      <c r="P175" s="71" t="s">
        <v>275</v>
      </c>
      <c r="Q175" s="88">
        <v>1.21978427098395E-2</v>
      </c>
      <c r="R175" s="89" t="s">
        <v>276</v>
      </c>
      <c r="S175" s="89"/>
      <c r="T175">
        <v>8.9</v>
      </c>
      <c r="U175" s="76">
        <v>0.2</v>
      </c>
      <c r="V175">
        <v>9.6</v>
      </c>
      <c r="W175" s="90">
        <v>0.1</v>
      </c>
      <c r="X175" s="90"/>
      <c r="Y175" s="71"/>
      <c r="Z175" s="71"/>
      <c r="AA175" s="71"/>
      <c r="AB175" s="71"/>
      <c r="AC175" s="71"/>
      <c r="AD175" s="71"/>
      <c r="AE175" s="71"/>
      <c r="AF175" s="71"/>
      <c r="AG175" s="82">
        <v>3.9</v>
      </c>
      <c r="AH175" s="76"/>
      <c r="AI175" s="76"/>
      <c r="AJ175" s="76"/>
      <c r="AK175" s="71">
        <v>0.15</v>
      </c>
      <c r="AL175" s="88">
        <v>3.4362770551863299E-2</v>
      </c>
      <c r="AM175" s="89">
        <f t="shared" si="2"/>
        <v>0.229085137012422</v>
      </c>
      <c r="AN175" s="78"/>
    </row>
    <row r="176" spans="1:40" x14ac:dyDescent="0.25">
      <c r="A176" t="s">
        <v>44</v>
      </c>
      <c r="B176" t="s">
        <v>45</v>
      </c>
      <c r="C176" s="121" t="s">
        <v>174</v>
      </c>
      <c r="D176" t="s">
        <v>191</v>
      </c>
      <c r="E176" t="s">
        <v>59</v>
      </c>
      <c r="F176">
        <v>1</v>
      </c>
      <c r="G176">
        <v>71</v>
      </c>
      <c r="H176" s="86">
        <v>45963.397091921302</v>
      </c>
      <c r="I176" s="86">
        <v>45963.4692709722</v>
      </c>
      <c r="J176" s="87">
        <v>1.7322972222222199</v>
      </c>
      <c r="K176" s="69" t="s">
        <v>274</v>
      </c>
      <c r="L176" s="69"/>
      <c r="M176" s="71"/>
      <c r="N176" s="71"/>
      <c r="O176" s="71"/>
      <c r="P176" s="71" t="s">
        <v>275</v>
      </c>
      <c r="Q176" s="88">
        <v>1.8647258392602499E-2</v>
      </c>
      <c r="R176" s="89" t="s">
        <v>276</v>
      </c>
      <c r="S176" s="89"/>
      <c r="T176">
        <v>10</v>
      </c>
      <c r="U176" s="76">
        <v>0.2</v>
      </c>
      <c r="V176">
        <v>9.6</v>
      </c>
      <c r="W176" s="90">
        <v>0.1</v>
      </c>
      <c r="X176" s="90"/>
      <c r="Y176" s="71"/>
      <c r="Z176" s="71"/>
      <c r="AA176" s="71"/>
      <c r="AB176" s="71"/>
      <c r="AC176" s="71"/>
      <c r="AD176" s="71"/>
      <c r="AE176" s="71"/>
      <c r="AF176" s="71"/>
      <c r="AG176" s="82">
        <v>0</v>
      </c>
      <c r="AH176" s="76"/>
      <c r="AI176" s="76"/>
      <c r="AJ176" s="76"/>
      <c r="AK176" s="71">
        <v>0.15</v>
      </c>
      <c r="AL176" s="88">
        <v>3.4362770551863299E-2</v>
      </c>
      <c r="AM176" s="89">
        <f t="shared" si="2"/>
        <v>0.229085137012422</v>
      </c>
      <c r="AN176" s="78"/>
    </row>
    <row r="177" spans="1:40" x14ac:dyDescent="0.25">
      <c r="A177" t="s">
        <v>44</v>
      </c>
      <c r="B177" t="s">
        <v>45</v>
      </c>
      <c r="C177" s="121" t="s">
        <v>174</v>
      </c>
      <c r="D177" t="s">
        <v>191</v>
      </c>
      <c r="E177" t="s">
        <v>59</v>
      </c>
      <c r="F177">
        <v>1</v>
      </c>
      <c r="G177">
        <v>72</v>
      </c>
      <c r="H177" s="86">
        <v>45963.4692709722</v>
      </c>
      <c r="I177" s="86">
        <v>45963.5414518287</v>
      </c>
      <c r="J177" s="87">
        <v>1.73234055555556</v>
      </c>
      <c r="K177" s="69" t="s">
        <v>274</v>
      </c>
      <c r="L177" s="69"/>
      <c r="M177" s="71"/>
      <c r="N177" s="71"/>
      <c r="O177" s="71"/>
      <c r="P177" s="71" t="s">
        <v>275</v>
      </c>
      <c r="Q177" s="88">
        <v>4.1731329145631497E-2</v>
      </c>
      <c r="R177" s="89" t="s">
        <v>276</v>
      </c>
      <c r="S177" s="89"/>
      <c r="T177">
        <v>10.8</v>
      </c>
      <c r="U177" s="76">
        <v>0.2</v>
      </c>
      <c r="V177">
        <v>9.6</v>
      </c>
      <c r="W177" s="90">
        <v>0.1</v>
      </c>
      <c r="X177" s="90"/>
      <c r="Y177" s="71"/>
      <c r="Z177" s="71"/>
      <c r="AA177" s="71"/>
      <c r="AB177" s="71"/>
      <c r="AC177" s="71"/>
      <c r="AD177" s="71"/>
      <c r="AE177" s="71"/>
      <c r="AF177" s="71"/>
      <c r="AG177" s="82">
        <v>0</v>
      </c>
      <c r="AH177" s="76"/>
      <c r="AI177" s="76"/>
      <c r="AJ177" s="76"/>
      <c r="AK177" s="71">
        <v>0.15</v>
      </c>
      <c r="AL177" s="88">
        <v>3.4362770551863299E-2</v>
      </c>
      <c r="AM177" s="89">
        <f t="shared" si="2"/>
        <v>0.229085137012422</v>
      </c>
      <c r="AN177" s="78"/>
    </row>
    <row r="178" spans="1:40" x14ac:dyDescent="0.25">
      <c r="A178" t="s">
        <v>44</v>
      </c>
      <c r="B178" t="s">
        <v>45</v>
      </c>
      <c r="C178" s="121" t="s">
        <v>174</v>
      </c>
      <c r="D178" t="s">
        <v>191</v>
      </c>
      <c r="E178" t="s">
        <v>59</v>
      </c>
      <c r="F178">
        <v>1</v>
      </c>
      <c r="G178">
        <v>73</v>
      </c>
      <c r="H178" s="86">
        <v>45963.5414518287</v>
      </c>
      <c r="I178" s="86">
        <v>45963.6136277431</v>
      </c>
      <c r="J178" s="87">
        <v>1.73222194444444</v>
      </c>
      <c r="K178" s="69" t="s">
        <v>274</v>
      </c>
      <c r="L178" s="69"/>
      <c r="M178" s="71"/>
      <c r="N178" s="71"/>
      <c r="O178" s="71"/>
      <c r="P178" s="71" t="s">
        <v>275</v>
      </c>
      <c r="Q178" s="88">
        <v>5.1800464614262097E-2</v>
      </c>
      <c r="R178" s="89" t="s">
        <v>276</v>
      </c>
      <c r="S178" s="89"/>
      <c r="T178">
        <v>12.8</v>
      </c>
      <c r="U178" s="76">
        <v>0.2</v>
      </c>
      <c r="V178">
        <v>9.8000000000000007</v>
      </c>
      <c r="W178" s="90">
        <v>0.1</v>
      </c>
      <c r="X178" s="90"/>
      <c r="Y178" s="71"/>
      <c r="Z178" s="71"/>
      <c r="AA178" s="71"/>
      <c r="AB178" s="71"/>
      <c r="AC178" s="71"/>
      <c r="AD178" s="71"/>
      <c r="AE178" s="71"/>
      <c r="AF178" s="71"/>
      <c r="AG178" s="82">
        <v>0.2</v>
      </c>
      <c r="AH178" s="76"/>
      <c r="AI178" s="76"/>
      <c r="AJ178" s="76"/>
      <c r="AK178" s="71">
        <v>0.15</v>
      </c>
      <c r="AL178" s="88">
        <v>3.4362770551863299E-2</v>
      </c>
      <c r="AM178" s="89">
        <f t="shared" si="2"/>
        <v>0.229085137012422</v>
      </c>
      <c r="AN178" s="78"/>
    </row>
    <row r="179" spans="1:40" x14ac:dyDescent="0.25">
      <c r="A179" t="s">
        <v>44</v>
      </c>
      <c r="B179" t="s">
        <v>45</v>
      </c>
      <c r="C179" s="121" t="s">
        <v>174</v>
      </c>
      <c r="D179" t="s">
        <v>191</v>
      </c>
      <c r="E179" t="s">
        <v>59</v>
      </c>
      <c r="F179">
        <v>1</v>
      </c>
      <c r="G179">
        <v>74</v>
      </c>
      <c r="H179" s="86">
        <v>45963.6136277431</v>
      </c>
      <c r="I179" s="86">
        <v>45963.685828842601</v>
      </c>
      <c r="J179" s="87">
        <v>1.73282638888889</v>
      </c>
      <c r="K179" s="69" t="s">
        <v>274</v>
      </c>
      <c r="L179" s="69"/>
      <c r="M179" s="71"/>
      <c r="N179" s="71"/>
      <c r="O179" s="71"/>
      <c r="P179" s="71" t="s">
        <v>275</v>
      </c>
      <c r="Q179" s="88">
        <v>2.5430846390928501E-2</v>
      </c>
      <c r="R179" s="89" t="s">
        <v>276</v>
      </c>
      <c r="S179" s="89"/>
      <c r="T179">
        <v>10.8</v>
      </c>
      <c r="U179" s="76">
        <v>0.2</v>
      </c>
      <c r="V179">
        <v>10.1</v>
      </c>
      <c r="W179" s="90">
        <v>0.1</v>
      </c>
      <c r="X179" s="90"/>
      <c r="Y179" s="71"/>
      <c r="Z179" s="71"/>
      <c r="AA179" s="71"/>
      <c r="AB179" s="71"/>
      <c r="AC179" s="71"/>
      <c r="AD179" s="71"/>
      <c r="AE179" s="71"/>
      <c r="AF179" s="71"/>
      <c r="AG179" s="82">
        <v>0</v>
      </c>
      <c r="AH179" s="76"/>
      <c r="AI179" s="76"/>
      <c r="AJ179" s="76"/>
      <c r="AK179" s="71">
        <v>0.15</v>
      </c>
      <c r="AL179" s="88">
        <v>3.4362770551863299E-2</v>
      </c>
      <c r="AM179" s="89">
        <f t="shared" si="2"/>
        <v>0.229085137012422</v>
      </c>
      <c r="AN179" s="78"/>
    </row>
    <row r="180" spans="1:40" x14ac:dyDescent="0.25">
      <c r="A180" t="s">
        <v>44</v>
      </c>
      <c r="B180" t="s">
        <v>45</v>
      </c>
      <c r="C180" s="121" t="s">
        <v>174</v>
      </c>
      <c r="D180" t="s">
        <v>191</v>
      </c>
      <c r="E180" t="s">
        <v>59</v>
      </c>
      <c r="F180">
        <v>1</v>
      </c>
      <c r="G180">
        <v>75</v>
      </c>
      <c r="H180" s="86">
        <v>45963.685828842601</v>
      </c>
      <c r="I180" s="86">
        <v>45963.758002442097</v>
      </c>
      <c r="J180" s="87">
        <v>1.7321663888888901</v>
      </c>
      <c r="K180" s="69" t="s">
        <v>274</v>
      </c>
      <c r="L180" s="69"/>
      <c r="M180" s="71"/>
      <c r="N180" s="71"/>
      <c r="O180" s="71"/>
      <c r="P180" s="71" t="s">
        <v>275</v>
      </c>
      <c r="Q180" s="88">
        <v>9.9152210384722793E-3</v>
      </c>
      <c r="R180" s="89" t="s">
        <v>276</v>
      </c>
      <c r="S180" s="89"/>
      <c r="T180">
        <v>9.1999999999999993</v>
      </c>
      <c r="U180" s="76">
        <v>0.2</v>
      </c>
      <c r="V180">
        <v>10.1</v>
      </c>
      <c r="W180" s="90">
        <v>0.1</v>
      </c>
      <c r="X180" s="90"/>
      <c r="Y180" s="71"/>
      <c r="Z180" s="71"/>
      <c r="AA180" s="71"/>
      <c r="AB180" s="71"/>
      <c r="AC180" s="71"/>
      <c r="AD180" s="71"/>
      <c r="AE180" s="71"/>
      <c r="AF180" s="71"/>
      <c r="AG180" s="82">
        <v>0</v>
      </c>
      <c r="AH180" s="76"/>
      <c r="AI180" s="76"/>
      <c r="AJ180" s="76"/>
      <c r="AK180" s="71">
        <v>0.15</v>
      </c>
      <c r="AL180" s="88">
        <v>3.4362770551863299E-2</v>
      </c>
      <c r="AM180" s="89">
        <f t="shared" si="2"/>
        <v>0.229085137012422</v>
      </c>
      <c r="AN180" s="78"/>
    </row>
    <row r="181" spans="1:40" x14ac:dyDescent="0.25">
      <c r="A181" t="s">
        <v>44</v>
      </c>
      <c r="B181" t="s">
        <v>45</v>
      </c>
      <c r="C181" s="121" t="s">
        <v>174</v>
      </c>
      <c r="D181" t="s">
        <v>191</v>
      </c>
      <c r="E181" t="s">
        <v>59</v>
      </c>
      <c r="F181">
        <v>1</v>
      </c>
      <c r="G181">
        <v>76</v>
      </c>
      <c r="H181" s="86">
        <v>45963.758002442097</v>
      </c>
      <c r="I181" s="86">
        <v>45963.830187465297</v>
      </c>
      <c r="J181" s="87">
        <v>1.73244055555556</v>
      </c>
      <c r="K181" s="69" t="s">
        <v>274</v>
      </c>
      <c r="L181" s="69"/>
      <c r="M181" s="71"/>
      <c r="N181" s="71"/>
      <c r="O181" s="71"/>
      <c r="P181" s="71" t="s">
        <v>275</v>
      </c>
      <c r="Q181" s="88">
        <v>4.78954076244346E-3</v>
      </c>
      <c r="R181" s="89" t="s">
        <v>276</v>
      </c>
      <c r="S181" s="89"/>
      <c r="T181">
        <v>5</v>
      </c>
      <c r="U181" s="76">
        <v>0.2</v>
      </c>
      <c r="V181">
        <v>10.1</v>
      </c>
      <c r="W181" s="90">
        <v>0.1</v>
      </c>
      <c r="X181" s="90"/>
      <c r="Y181" s="71"/>
      <c r="Z181" s="71"/>
      <c r="AA181" s="71"/>
      <c r="AB181" s="71"/>
      <c r="AC181" s="71"/>
      <c r="AD181" s="71"/>
      <c r="AE181" s="71"/>
      <c r="AF181" s="71"/>
      <c r="AG181" s="82">
        <v>0</v>
      </c>
      <c r="AH181" s="76"/>
      <c r="AI181" s="76"/>
      <c r="AJ181" s="76"/>
      <c r="AK181" s="71">
        <v>0.15</v>
      </c>
      <c r="AL181" s="88">
        <v>3.4362770551863299E-2</v>
      </c>
      <c r="AM181" s="89">
        <f t="shared" si="2"/>
        <v>0.229085137012422</v>
      </c>
      <c r="AN181" s="78"/>
    </row>
    <row r="182" spans="1:40" x14ac:dyDescent="0.25">
      <c r="A182" t="s">
        <v>44</v>
      </c>
      <c r="B182" t="s">
        <v>45</v>
      </c>
      <c r="C182" s="121" t="s">
        <v>174</v>
      </c>
      <c r="D182" t="s">
        <v>191</v>
      </c>
      <c r="E182" t="s">
        <v>59</v>
      </c>
      <c r="F182">
        <v>1</v>
      </c>
      <c r="G182">
        <v>77</v>
      </c>
      <c r="H182" s="86">
        <v>45963.830187465297</v>
      </c>
      <c r="I182" s="86">
        <v>45963.902374502301</v>
      </c>
      <c r="J182" s="87">
        <v>1.7324888888888901</v>
      </c>
      <c r="K182" s="69" t="s">
        <v>274</v>
      </c>
      <c r="L182" s="69"/>
      <c r="M182" s="71"/>
      <c r="N182" s="71"/>
      <c r="O182" s="71"/>
      <c r="P182" s="71" t="s">
        <v>275</v>
      </c>
      <c r="Q182" s="88">
        <v>3.53054000614272E-3</v>
      </c>
      <c r="R182" s="89" t="s">
        <v>276</v>
      </c>
      <c r="S182" s="89"/>
      <c r="T182">
        <v>6.4</v>
      </c>
      <c r="U182" s="76">
        <v>0.2</v>
      </c>
      <c r="V182">
        <v>9.9</v>
      </c>
      <c r="W182" s="90">
        <v>0.1</v>
      </c>
      <c r="X182" s="90"/>
      <c r="Y182" s="71"/>
      <c r="Z182" s="71"/>
      <c r="AA182" s="71"/>
      <c r="AB182" s="71"/>
      <c r="AC182" s="71"/>
      <c r="AD182" s="71"/>
      <c r="AE182" s="71"/>
      <c r="AF182" s="71"/>
      <c r="AG182" s="82">
        <v>0</v>
      </c>
      <c r="AH182" s="76"/>
      <c r="AI182" s="76"/>
      <c r="AJ182" s="76"/>
      <c r="AK182" s="71">
        <v>0.15</v>
      </c>
      <c r="AL182" s="88">
        <v>3.4362770551863299E-2</v>
      </c>
      <c r="AM182" s="89">
        <f t="shared" si="2"/>
        <v>0.229085137012422</v>
      </c>
      <c r="AN182" s="78"/>
    </row>
    <row r="183" spans="1:40" x14ac:dyDescent="0.25">
      <c r="A183" t="s">
        <v>44</v>
      </c>
      <c r="B183" t="s">
        <v>45</v>
      </c>
      <c r="C183" s="121" t="s">
        <v>174</v>
      </c>
      <c r="D183" t="s">
        <v>191</v>
      </c>
      <c r="E183" t="s">
        <v>59</v>
      </c>
      <c r="F183">
        <v>1</v>
      </c>
      <c r="G183">
        <v>78</v>
      </c>
      <c r="H183" s="86">
        <v>45963.902374502301</v>
      </c>
      <c r="I183" s="86">
        <v>45963.974552453699</v>
      </c>
      <c r="J183" s="87">
        <v>1.7322708333333301</v>
      </c>
      <c r="K183" s="69" t="s">
        <v>274</v>
      </c>
      <c r="L183" s="69"/>
      <c r="M183" s="71"/>
      <c r="N183" s="71"/>
      <c r="O183" s="71"/>
      <c r="P183" s="71" t="s">
        <v>275</v>
      </c>
      <c r="Q183" s="88">
        <v>3.6465448219504299E-3</v>
      </c>
      <c r="R183" s="89" t="s">
        <v>276</v>
      </c>
      <c r="S183" s="89"/>
      <c r="T183">
        <v>6.7</v>
      </c>
      <c r="U183" s="76">
        <v>0.2</v>
      </c>
      <c r="V183">
        <v>9.6999999999999993</v>
      </c>
      <c r="W183" s="90">
        <v>0.1</v>
      </c>
      <c r="X183" s="90"/>
      <c r="Y183" s="71"/>
      <c r="Z183" s="71"/>
      <c r="AA183" s="71"/>
      <c r="AB183" s="71"/>
      <c r="AC183" s="71"/>
      <c r="AD183" s="71"/>
      <c r="AE183" s="71"/>
      <c r="AF183" s="71"/>
      <c r="AG183" s="82">
        <v>0</v>
      </c>
      <c r="AH183" s="76"/>
      <c r="AI183" s="76"/>
      <c r="AJ183" s="76"/>
      <c r="AK183" s="71">
        <v>0.15</v>
      </c>
      <c r="AL183" s="88">
        <v>3.4362770551863299E-2</v>
      </c>
      <c r="AM183" s="89">
        <f t="shared" si="2"/>
        <v>0.229085137012422</v>
      </c>
      <c r="AN183" s="78"/>
    </row>
    <row r="184" spans="1:40" x14ac:dyDescent="0.25">
      <c r="A184" t="s">
        <v>44</v>
      </c>
      <c r="B184" t="s">
        <v>45</v>
      </c>
      <c r="C184" s="121" t="s">
        <v>174</v>
      </c>
      <c r="D184" t="s">
        <v>191</v>
      </c>
      <c r="E184" t="s">
        <v>59</v>
      </c>
      <c r="F184">
        <v>1</v>
      </c>
      <c r="G184">
        <v>79</v>
      </c>
      <c r="H184" s="86">
        <v>45963.974552453699</v>
      </c>
      <c r="I184" s="86">
        <v>45964.046750115704</v>
      </c>
      <c r="J184" s="87">
        <v>1.73274388888889</v>
      </c>
      <c r="K184" s="69" t="s">
        <v>274</v>
      </c>
      <c r="L184" s="69"/>
      <c r="M184" s="71"/>
      <c r="N184" s="71"/>
      <c r="O184" s="71"/>
      <c r="P184" s="71" t="s">
        <v>275</v>
      </c>
      <c r="Q184" s="88">
        <v>3.4490324864637299E-3</v>
      </c>
      <c r="R184" s="89" t="s">
        <v>276</v>
      </c>
      <c r="S184" s="89"/>
      <c r="T184">
        <v>6.6</v>
      </c>
      <c r="U184" s="76">
        <v>0.2</v>
      </c>
      <c r="V184">
        <v>9.6999999999999993</v>
      </c>
      <c r="W184" s="90">
        <v>0.1</v>
      </c>
      <c r="X184" s="90"/>
      <c r="Y184" s="71"/>
      <c r="Z184" s="71"/>
      <c r="AA184" s="71"/>
      <c r="AB184" s="71"/>
      <c r="AC184" s="71"/>
      <c r="AD184" s="71"/>
      <c r="AE184" s="71"/>
      <c r="AF184" s="71"/>
      <c r="AG184" s="82">
        <v>0</v>
      </c>
      <c r="AH184" s="76"/>
      <c r="AI184" s="76"/>
      <c r="AJ184" s="76"/>
      <c r="AK184" s="71">
        <v>0.15</v>
      </c>
      <c r="AL184" s="88">
        <v>3.4362770551863299E-2</v>
      </c>
      <c r="AM184" s="89">
        <f t="shared" si="2"/>
        <v>0.229085137012422</v>
      </c>
      <c r="AN184" s="78"/>
    </row>
    <row r="185" spans="1:40" x14ac:dyDescent="0.25">
      <c r="A185" t="s">
        <v>44</v>
      </c>
      <c r="B185" t="s">
        <v>45</v>
      </c>
      <c r="C185" s="121" t="s">
        <v>174</v>
      </c>
      <c r="D185" t="s">
        <v>191</v>
      </c>
      <c r="E185" t="s">
        <v>59</v>
      </c>
      <c r="F185">
        <v>1</v>
      </c>
      <c r="G185">
        <v>80</v>
      </c>
      <c r="H185" s="86">
        <v>45964.046750115704</v>
      </c>
      <c r="I185" s="86">
        <v>45964.118915995401</v>
      </c>
      <c r="J185" s="87">
        <v>1.7319811111111101</v>
      </c>
      <c r="K185" s="69" t="s">
        <v>274</v>
      </c>
      <c r="L185" s="69"/>
      <c r="M185" s="71"/>
      <c r="N185" s="71"/>
      <c r="O185" s="71"/>
      <c r="P185" s="71" t="s">
        <v>275</v>
      </c>
      <c r="Q185" s="88">
        <v>4.1099410677274302E-3</v>
      </c>
      <c r="R185" s="89" t="s">
        <v>276</v>
      </c>
      <c r="S185" s="89"/>
      <c r="T185">
        <v>6.9</v>
      </c>
      <c r="U185" s="76">
        <v>0.2</v>
      </c>
      <c r="V185">
        <v>9.5</v>
      </c>
      <c r="W185" s="90">
        <v>0.1</v>
      </c>
      <c r="X185" s="90"/>
      <c r="Y185" s="71"/>
      <c r="Z185" s="71"/>
      <c r="AA185" s="71"/>
      <c r="AB185" s="71"/>
      <c r="AC185" s="71"/>
      <c r="AD185" s="71"/>
      <c r="AE185" s="71"/>
      <c r="AF185" s="71"/>
      <c r="AG185" s="82">
        <v>0</v>
      </c>
      <c r="AH185" s="76"/>
      <c r="AI185" s="76"/>
      <c r="AJ185" s="76"/>
      <c r="AK185" s="71">
        <v>0.15</v>
      </c>
      <c r="AL185" s="88">
        <v>3.4362770551863299E-2</v>
      </c>
      <c r="AM185" s="89">
        <f t="shared" si="2"/>
        <v>0.229085137012422</v>
      </c>
      <c r="AN185" s="78"/>
    </row>
    <row r="186" spans="1:40" x14ac:dyDescent="0.25">
      <c r="A186" t="s">
        <v>44</v>
      </c>
      <c r="B186" t="s">
        <v>45</v>
      </c>
      <c r="C186" s="121" t="s">
        <v>174</v>
      </c>
      <c r="D186" t="s">
        <v>191</v>
      </c>
      <c r="E186" t="s">
        <v>59</v>
      </c>
      <c r="F186">
        <v>1</v>
      </c>
      <c r="G186">
        <v>81</v>
      </c>
      <c r="H186" s="86">
        <v>45964.118915995401</v>
      </c>
      <c r="I186" s="86">
        <v>45964.191115868103</v>
      </c>
      <c r="J186" s="87">
        <v>1.73279694444445</v>
      </c>
      <c r="K186" s="69" t="s">
        <v>274</v>
      </c>
      <c r="L186" s="69"/>
      <c r="M186" s="71"/>
      <c r="N186" s="71"/>
      <c r="O186" s="71"/>
      <c r="P186" s="71" t="s">
        <v>275</v>
      </c>
      <c r="Q186" s="88">
        <v>4.9320522894110196E-3</v>
      </c>
      <c r="R186" s="89" t="s">
        <v>276</v>
      </c>
      <c r="S186" s="89"/>
      <c r="T186">
        <v>6.7</v>
      </c>
      <c r="U186" s="76">
        <v>0.2</v>
      </c>
      <c r="V186">
        <v>9.5</v>
      </c>
      <c r="W186" s="90">
        <v>0.1</v>
      </c>
      <c r="X186" s="90"/>
      <c r="Y186" s="71"/>
      <c r="Z186" s="71"/>
      <c r="AA186" s="71"/>
      <c r="AB186" s="71"/>
      <c r="AC186" s="71"/>
      <c r="AD186" s="71"/>
      <c r="AE186" s="71"/>
      <c r="AF186" s="71"/>
      <c r="AG186" s="82">
        <v>0</v>
      </c>
      <c r="AH186" s="76"/>
      <c r="AI186" s="76"/>
      <c r="AJ186" s="76"/>
      <c r="AK186" s="71">
        <v>0.15</v>
      </c>
      <c r="AL186" s="88">
        <v>3.4362770551863299E-2</v>
      </c>
      <c r="AM186" s="89">
        <f t="shared" si="2"/>
        <v>0.229085137012422</v>
      </c>
      <c r="AN186" s="78"/>
    </row>
    <row r="187" spans="1:40" x14ac:dyDescent="0.25">
      <c r="A187" t="s">
        <v>44</v>
      </c>
      <c r="B187" t="s">
        <v>45</v>
      </c>
      <c r="C187" s="121" t="s">
        <v>174</v>
      </c>
      <c r="D187" t="s">
        <v>191</v>
      </c>
      <c r="E187" t="s">
        <v>59</v>
      </c>
      <c r="F187">
        <v>1</v>
      </c>
      <c r="G187">
        <v>82</v>
      </c>
      <c r="H187" s="86">
        <v>45964.191115868103</v>
      </c>
      <c r="I187" s="86">
        <v>45964.263291215299</v>
      </c>
      <c r="J187" s="87">
        <v>1.73220833333333</v>
      </c>
      <c r="K187" s="69" t="s">
        <v>274</v>
      </c>
      <c r="L187" s="69"/>
      <c r="M187" s="71"/>
      <c r="N187" s="71"/>
      <c r="O187" s="71"/>
      <c r="P187" s="71" t="s">
        <v>275</v>
      </c>
      <c r="Q187" s="88">
        <v>4.1370338455396496E-3</v>
      </c>
      <c r="R187" s="89" t="s">
        <v>276</v>
      </c>
      <c r="S187" s="89"/>
      <c r="T187">
        <v>6.5</v>
      </c>
      <c r="U187" s="76">
        <v>0.2</v>
      </c>
      <c r="V187">
        <v>9.4</v>
      </c>
      <c r="W187" s="90">
        <v>0.1</v>
      </c>
      <c r="X187" s="90"/>
      <c r="Y187" s="71"/>
      <c r="Z187" s="71"/>
      <c r="AA187" s="71"/>
      <c r="AB187" s="71"/>
      <c r="AC187" s="71"/>
      <c r="AD187" s="71"/>
      <c r="AE187" s="71"/>
      <c r="AF187" s="71"/>
      <c r="AG187" s="82">
        <v>0</v>
      </c>
      <c r="AH187" s="76"/>
      <c r="AI187" s="76"/>
      <c r="AJ187" s="76"/>
      <c r="AK187" s="71">
        <v>0.15</v>
      </c>
      <c r="AL187" s="88">
        <v>3.4362770551863299E-2</v>
      </c>
      <c r="AM187" s="89">
        <f t="shared" si="2"/>
        <v>0.229085137012422</v>
      </c>
      <c r="AN187" s="78"/>
    </row>
    <row r="188" spans="1:40" x14ac:dyDescent="0.25">
      <c r="A188" t="s">
        <v>44</v>
      </c>
      <c r="B188" t="s">
        <v>45</v>
      </c>
      <c r="C188" s="121" t="s">
        <v>174</v>
      </c>
      <c r="D188" t="s">
        <v>191</v>
      </c>
      <c r="E188" t="s">
        <v>59</v>
      </c>
      <c r="F188">
        <v>1</v>
      </c>
      <c r="G188">
        <v>83</v>
      </c>
      <c r="H188" s="86">
        <v>45964.263291215299</v>
      </c>
      <c r="I188" s="86">
        <v>45964.335471678198</v>
      </c>
      <c r="J188" s="87">
        <v>1.7323311111111099</v>
      </c>
      <c r="K188" s="69" t="s">
        <v>274</v>
      </c>
      <c r="L188" s="69"/>
      <c r="M188" s="71"/>
      <c r="N188" s="71"/>
      <c r="O188" s="71"/>
      <c r="P188" s="71" t="s">
        <v>275</v>
      </c>
      <c r="Q188" s="88">
        <v>5.60310870366529E-3</v>
      </c>
      <c r="R188" s="89" t="s">
        <v>276</v>
      </c>
      <c r="S188" s="89"/>
      <c r="T188">
        <v>6.6</v>
      </c>
      <c r="U188" s="76">
        <v>0.2</v>
      </c>
      <c r="V188">
        <v>9.3000000000000007</v>
      </c>
      <c r="W188" s="90">
        <v>0.1</v>
      </c>
      <c r="X188" s="90"/>
      <c r="Y188" s="71"/>
      <c r="Z188" s="71"/>
      <c r="AA188" s="71"/>
      <c r="AB188" s="71"/>
      <c r="AC188" s="71"/>
      <c r="AD188" s="71"/>
      <c r="AE188" s="71"/>
      <c r="AF188" s="71"/>
      <c r="AG188" s="82">
        <v>0</v>
      </c>
      <c r="AH188" s="76"/>
      <c r="AI188" s="76"/>
      <c r="AJ188" s="76"/>
      <c r="AK188" s="71">
        <v>0.15</v>
      </c>
      <c r="AL188" s="88">
        <v>3.4362770551863299E-2</v>
      </c>
      <c r="AM188" s="89">
        <f t="shared" si="2"/>
        <v>0.229085137012422</v>
      </c>
      <c r="AN188" s="78"/>
    </row>
    <row r="189" spans="1:40" x14ac:dyDescent="0.25">
      <c r="A189" t="s">
        <v>44</v>
      </c>
      <c r="B189" t="s">
        <v>45</v>
      </c>
      <c r="C189" s="121" t="s">
        <v>174</v>
      </c>
      <c r="D189" t="s">
        <v>191</v>
      </c>
      <c r="E189" t="s">
        <v>59</v>
      </c>
      <c r="F189">
        <v>1</v>
      </c>
      <c r="G189">
        <v>84</v>
      </c>
      <c r="H189" s="86">
        <v>45964.335471678198</v>
      </c>
      <c r="I189" s="86">
        <v>45964.407654756898</v>
      </c>
      <c r="J189" s="87">
        <v>1.7323938888888899</v>
      </c>
      <c r="K189" s="69" t="s">
        <v>274</v>
      </c>
      <c r="L189" s="69"/>
      <c r="M189" s="71"/>
      <c r="N189" s="71"/>
      <c r="O189" s="71"/>
      <c r="P189" s="71" t="s">
        <v>275</v>
      </c>
      <c r="Q189" s="88">
        <v>4.52570591762549E-3</v>
      </c>
      <c r="R189" s="89" t="s">
        <v>276</v>
      </c>
      <c r="S189" s="89"/>
      <c r="T189">
        <v>6</v>
      </c>
      <c r="U189" s="76">
        <v>0.2</v>
      </c>
      <c r="V189">
        <v>9.1999999999999993</v>
      </c>
      <c r="W189" s="90">
        <v>0.1</v>
      </c>
      <c r="X189" s="90"/>
      <c r="Y189" s="71"/>
      <c r="Z189" s="71"/>
      <c r="AA189" s="71"/>
      <c r="AB189" s="71"/>
      <c r="AC189" s="71"/>
      <c r="AD189" s="71"/>
      <c r="AE189" s="71"/>
      <c r="AF189" s="71"/>
      <c r="AG189" s="82">
        <v>0</v>
      </c>
      <c r="AH189" s="76"/>
      <c r="AI189" s="76"/>
      <c r="AJ189" s="76"/>
      <c r="AK189" s="71">
        <v>0.15</v>
      </c>
      <c r="AL189" s="88">
        <v>3.4362770551863299E-2</v>
      </c>
      <c r="AM189" s="89">
        <f t="shared" si="2"/>
        <v>0.229085137012422</v>
      </c>
      <c r="AN189" s="78"/>
    </row>
    <row r="190" spans="1:40" x14ac:dyDescent="0.25">
      <c r="A190" t="s">
        <v>44</v>
      </c>
      <c r="B190" t="s">
        <v>45</v>
      </c>
      <c r="C190" s="121" t="s">
        <v>174</v>
      </c>
      <c r="D190" t="s">
        <v>191</v>
      </c>
      <c r="E190" t="s">
        <v>59</v>
      </c>
      <c r="F190">
        <v>1</v>
      </c>
      <c r="G190">
        <v>85</v>
      </c>
      <c r="H190" s="86">
        <v>45964.407654756898</v>
      </c>
      <c r="I190" s="86">
        <v>45964.479841203698</v>
      </c>
      <c r="J190" s="87">
        <v>1.7324747222222201</v>
      </c>
      <c r="K190" s="69" t="s">
        <v>274</v>
      </c>
      <c r="L190" s="69"/>
      <c r="M190" s="71"/>
      <c r="N190" s="71"/>
      <c r="O190" s="71"/>
      <c r="P190" s="71" t="s">
        <v>275</v>
      </c>
      <c r="Q190" s="88">
        <v>3.8898991085227902E-2</v>
      </c>
      <c r="R190" s="89" t="s">
        <v>276</v>
      </c>
      <c r="S190" s="89"/>
      <c r="T190">
        <v>9.3000000000000007</v>
      </c>
      <c r="U190" s="76">
        <v>0.2</v>
      </c>
      <c r="V190">
        <v>9.1999999999999993</v>
      </c>
      <c r="W190" s="90">
        <v>0.1</v>
      </c>
      <c r="X190" s="90"/>
      <c r="Y190" s="71"/>
      <c r="Z190" s="71"/>
      <c r="AA190" s="71"/>
      <c r="AB190" s="71"/>
      <c r="AC190" s="71"/>
      <c r="AD190" s="71"/>
      <c r="AE190" s="71"/>
      <c r="AF190" s="71"/>
      <c r="AG190" s="82">
        <v>0</v>
      </c>
      <c r="AH190" s="76"/>
      <c r="AI190" s="76"/>
      <c r="AJ190" s="76"/>
      <c r="AK190" s="71">
        <v>0.15</v>
      </c>
      <c r="AL190" s="88">
        <v>3.4362770551863299E-2</v>
      </c>
      <c r="AM190" s="89">
        <f t="shared" si="2"/>
        <v>0.229085137012422</v>
      </c>
      <c r="AN190" s="78"/>
    </row>
    <row r="191" spans="1:40" x14ac:dyDescent="0.25">
      <c r="A191" t="s">
        <v>44</v>
      </c>
      <c r="B191" t="s">
        <v>45</v>
      </c>
      <c r="C191" s="121" t="s">
        <v>174</v>
      </c>
      <c r="D191" t="s">
        <v>191</v>
      </c>
      <c r="E191" t="s">
        <v>59</v>
      </c>
      <c r="F191">
        <v>1</v>
      </c>
      <c r="G191">
        <v>86</v>
      </c>
      <c r="H191" s="86">
        <v>45964.479841203698</v>
      </c>
      <c r="I191" s="86">
        <v>45964.552028726903</v>
      </c>
      <c r="J191" s="87">
        <v>1.7325005555555599</v>
      </c>
      <c r="K191" s="69" t="s">
        <v>274</v>
      </c>
      <c r="L191" s="69"/>
      <c r="M191" s="71"/>
      <c r="N191" s="71"/>
      <c r="O191" s="71"/>
      <c r="P191" s="71" t="s">
        <v>275</v>
      </c>
      <c r="Q191" s="88">
        <v>3.6397218879968198E-2</v>
      </c>
      <c r="R191" s="89" t="s">
        <v>276</v>
      </c>
      <c r="S191" s="89"/>
      <c r="T191">
        <v>10.5</v>
      </c>
      <c r="U191" s="76">
        <v>0.2</v>
      </c>
      <c r="V191">
        <v>9.1999999999999993</v>
      </c>
      <c r="W191" s="90">
        <v>0.1</v>
      </c>
      <c r="X191" s="90"/>
      <c r="Y191" s="71"/>
      <c r="Z191" s="71"/>
      <c r="AA191" s="71"/>
      <c r="AB191" s="71"/>
      <c r="AC191" s="71"/>
      <c r="AD191" s="71"/>
      <c r="AE191" s="71"/>
      <c r="AF191" s="71"/>
      <c r="AG191" s="82">
        <v>0</v>
      </c>
      <c r="AH191" s="76"/>
      <c r="AI191" s="76"/>
      <c r="AJ191" s="76"/>
      <c r="AK191" s="71">
        <v>0.15</v>
      </c>
      <c r="AL191" s="88">
        <v>3.4362770551863299E-2</v>
      </c>
      <c r="AM191" s="89">
        <f t="shared" si="2"/>
        <v>0.229085137012422</v>
      </c>
      <c r="AN191" s="78"/>
    </row>
    <row r="192" spans="1:40" x14ac:dyDescent="0.25">
      <c r="A192" t="s">
        <v>44</v>
      </c>
      <c r="B192" t="s">
        <v>45</v>
      </c>
      <c r="C192" s="121" t="s">
        <v>174</v>
      </c>
      <c r="D192" t="s">
        <v>191</v>
      </c>
      <c r="E192" t="s">
        <v>59</v>
      </c>
      <c r="F192">
        <v>1</v>
      </c>
      <c r="G192">
        <v>87</v>
      </c>
      <c r="H192" s="86">
        <v>45964.552028726903</v>
      </c>
      <c r="I192" s="86">
        <v>45964.624216157397</v>
      </c>
      <c r="J192" s="87">
        <v>1.7324983333333299</v>
      </c>
      <c r="K192" s="69" t="s">
        <v>274</v>
      </c>
      <c r="L192" s="69"/>
      <c r="M192" s="71"/>
      <c r="N192" s="71"/>
      <c r="O192" s="71"/>
      <c r="P192" s="71" t="s">
        <v>275</v>
      </c>
      <c r="Q192" s="88">
        <v>2.14863143455606E-2</v>
      </c>
      <c r="R192" s="89" t="s">
        <v>276</v>
      </c>
      <c r="S192" s="89"/>
      <c r="T192">
        <v>10.6</v>
      </c>
      <c r="U192" s="76">
        <v>0.2</v>
      </c>
      <c r="V192">
        <v>9.3000000000000007</v>
      </c>
      <c r="W192" s="90">
        <v>0.1</v>
      </c>
      <c r="X192" s="90"/>
      <c r="Y192" s="71"/>
      <c r="Z192" s="71"/>
      <c r="AA192" s="71"/>
      <c r="AB192" s="71"/>
      <c r="AC192" s="71"/>
      <c r="AD192" s="71"/>
      <c r="AE192" s="71"/>
      <c r="AF192" s="71"/>
      <c r="AG192" s="82">
        <v>0</v>
      </c>
      <c r="AH192" s="76"/>
      <c r="AI192" s="76"/>
      <c r="AJ192" s="76"/>
      <c r="AK192" s="71">
        <v>0.15</v>
      </c>
      <c r="AL192" s="88">
        <v>3.4362770551863299E-2</v>
      </c>
      <c r="AM192" s="89">
        <f t="shared" si="2"/>
        <v>0.229085137012422</v>
      </c>
      <c r="AN192" s="78"/>
    </row>
    <row r="193" spans="1:40" x14ac:dyDescent="0.25">
      <c r="A193" t="s">
        <v>44</v>
      </c>
      <c r="B193" t="s">
        <v>45</v>
      </c>
      <c r="C193" s="121" t="s">
        <v>174</v>
      </c>
      <c r="D193" t="s">
        <v>191</v>
      </c>
      <c r="E193" t="s">
        <v>59</v>
      </c>
      <c r="F193">
        <v>1</v>
      </c>
      <c r="G193">
        <v>88</v>
      </c>
      <c r="H193" s="86">
        <v>45964.624216157397</v>
      </c>
      <c r="I193" s="86">
        <v>45964.696398287</v>
      </c>
      <c r="J193" s="87">
        <v>1.73237111111111</v>
      </c>
      <c r="K193" s="69" t="s">
        <v>274</v>
      </c>
      <c r="L193" s="69"/>
      <c r="M193" s="71"/>
      <c r="N193" s="71"/>
      <c r="O193" s="71"/>
      <c r="P193" s="71" t="s">
        <v>275</v>
      </c>
      <c r="Q193" s="88">
        <v>7.4707659460833999E-3</v>
      </c>
      <c r="R193" s="89" t="s">
        <v>276</v>
      </c>
      <c r="S193" s="89"/>
      <c r="T193">
        <v>9.6</v>
      </c>
      <c r="U193" s="76">
        <v>0.2</v>
      </c>
      <c r="V193">
        <v>9.5</v>
      </c>
      <c r="W193" s="90">
        <v>0.1</v>
      </c>
      <c r="X193" s="90"/>
      <c r="Y193" s="71"/>
      <c r="Z193" s="71"/>
      <c r="AA193" s="71"/>
      <c r="AB193" s="71"/>
      <c r="AC193" s="71"/>
      <c r="AD193" s="71"/>
      <c r="AE193" s="71"/>
      <c r="AF193" s="71"/>
      <c r="AG193" s="82">
        <v>1</v>
      </c>
      <c r="AH193" s="76"/>
      <c r="AI193" s="76"/>
      <c r="AJ193" s="76"/>
      <c r="AK193" s="71">
        <v>0.15</v>
      </c>
      <c r="AL193" s="88">
        <v>3.4362770551863299E-2</v>
      </c>
      <c r="AM193" s="89">
        <f t="shared" si="2"/>
        <v>0.229085137012422</v>
      </c>
      <c r="AN193" s="78"/>
    </row>
    <row r="194" spans="1:40" x14ac:dyDescent="0.25">
      <c r="A194" t="s">
        <v>44</v>
      </c>
      <c r="B194" t="s">
        <v>45</v>
      </c>
      <c r="C194" s="121" t="s">
        <v>174</v>
      </c>
      <c r="D194" t="s">
        <v>191</v>
      </c>
      <c r="E194" t="s">
        <v>59</v>
      </c>
      <c r="F194">
        <v>1</v>
      </c>
      <c r="G194">
        <v>89</v>
      </c>
      <c r="H194" s="86">
        <v>45964.696398287</v>
      </c>
      <c r="I194" s="86">
        <v>45964.768578553201</v>
      </c>
      <c r="J194" s="87">
        <v>1.73232638888889</v>
      </c>
      <c r="K194" s="69" t="s">
        <v>274</v>
      </c>
      <c r="L194" s="69"/>
      <c r="M194" s="71"/>
      <c r="N194" s="71"/>
      <c r="O194" s="71"/>
      <c r="P194" s="71" t="s">
        <v>275</v>
      </c>
      <c r="Q194" s="88">
        <v>4.5049930079178501E-3</v>
      </c>
      <c r="R194" s="89" t="s">
        <v>276</v>
      </c>
      <c r="S194" s="89"/>
      <c r="T194">
        <v>9.3000000000000007</v>
      </c>
      <c r="U194" s="76">
        <v>0.2</v>
      </c>
      <c r="V194">
        <v>9.6</v>
      </c>
      <c r="W194" s="90">
        <v>0.1</v>
      </c>
      <c r="X194" s="90"/>
      <c r="Y194" s="71"/>
      <c r="Z194" s="71"/>
      <c r="AA194" s="71"/>
      <c r="AB194" s="71"/>
      <c r="AC194" s="71"/>
      <c r="AD194" s="71"/>
      <c r="AE194" s="71"/>
      <c r="AF194" s="71"/>
      <c r="AG194" s="82">
        <v>0.2</v>
      </c>
      <c r="AH194" s="76"/>
      <c r="AI194" s="76"/>
      <c r="AJ194" s="76"/>
      <c r="AK194" s="71">
        <v>0.15</v>
      </c>
      <c r="AL194" s="88">
        <v>3.4362770551863299E-2</v>
      </c>
      <c r="AM194" s="89">
        <f t="shared" si="2"/>
        <v>0.229085137012422</v>
      </c>
      <c r="AN194" s="78"/>
    </row>
    <row r="195" spans="1:40" x14ac:dyDescent="0.25">
      <c r="A195" t="s">
        <v>44</v>
      </c>
      <c r="B195" t="s">
        <v>45</v>
      </c>
      <c r="C195" s="121" t="s">
        <v>174</v>
      </c>
      <c r="D195" t="s">
        <v>191</v>
      </c>
      <c r="E195" t="s">
        <v>59</v>
      </c>
      <c r="F195">
        <v>1</v>
      </c>
      <c r="G195">
        <v>90</v>
      </c>
      <c r="H195" s="86">
        <v>45964.768578553201</v>
      </c>
      <c r="I195" s="86">
        <v>45964.840771342599</v>
      </c>
      <c r="J195" s="87">
        <v>1.73262694444444</v>
      </c>
      <c r="K195" s="69" t="s">
        <v>274</v>
      </c>
      <c r="L195" s="69"/>
      <c r="M195" s="71"/>
      <c r="N195" s="71"/>
      <c r="O195" s="71"/>
      <c r="P195" s="71" t="s">
        <v>275</v>
      </c>
      <c r="Q195" s="88">
        <v>4.11285227750347E-3</v>
      </c>
      <c r="R195" s="89" t="s">
        <v>276</v>
      </c>
      <c r="S195" s="89"/>
      <c r="T195">
        <v>9.8000000000000007</v>
      </c>
      <c r="U195" s="76">
        <v>0.2</v>
      </c>
      <c r="V195">
        <v>9.6</v>
      </c>
      <c r="W195" s="90">
        <v>0.1</v>
      </c>
      <c r="X195" s="90"/>
      <c r="Y195" s="71"/>
      <c r="Z195" s="71"/>
      <c r="AA195" s="71"/>
      <c r="AB195" s="71"/>
      <c r="AC195" s="71"/>
      <c r="AD195" s="71"/>
      <c r="AE195" s="71"/>
      <c r="AF195" s="71"/>
      <c r="AG195" s="82">
        <v>0.1</v>
      </c>
      <c r="AH195" s="76"/>
      <c r="AI195" s="76"/>
      <c r="AJ195" s="76"/>
      <c r="AK195" s="71">
        <v>0.15</v>
      </c>
      <c r="AL195" s="88">
        <v>3.4362770551863299E-2</v>
      </c>
      <c r="AM195" s="89">
        <f t="shared" si="2"/>
        <v>0.229085137012422</v>
      </c>
      <c r="AN195" s="78"/>
    </row>
    <row r="196" spans="1:40" x14ac:dyDescent="0.25">
      <c r="A196" t="s">
        <v>44</v>
      </c>
      <c r="B196" t="s">
        <v>45</v>
      </c>
      <c r="C196" s="121" t="s">
        <v>174</v>
      </c>
      <c r="D196" t="s">
        <v>191</v>
      </c>
      <c r="E196" t="s">
        <v>59</v>
      </c>
      <c r="F196">
        <v>1</v>
      </c>
      <c r="G196">
        <v>91</v>
      </c>
      <c r="H196" s="86">
        <v>45964.840771342599</v>
      </c>
      <c r="I196" s="86">
        <v>45964.912954432897</v>
      </c>
      <c r="J196" s="87">
        <v>1.73239416666667</v>
      </c>
      <c r="K196" s="69" t="s">
        <v>274</v>
      </c>
      <c r="L196" s="69"/>
      <c r="M196" s="71"/>
      <c r="N196" s="71"/>
      <c r="O196" s="71"/>
      <c r="P196" s="71" t="s">
        <v>275</v>
      </c>
      <c r="Q196" s="88">
        <v>4.2471714005022799E-3</v>
      </c>
      <c r="R196" s="89" t="s">
        <v>276</v>
      </c>
      <c r="S196" s="89"/>
      <c r="T196">
        <v>10.9</v>
      </c>
      <c r="U196" s="76">
        <v>0.2</v>
      </c>
      <c r="V196">
        <v>9.6999999999999993</v>
      </c>
      <c r="W196" s="90">
        <v>0.1</v>
      </c>
      <c r="X196" s="90"/>
      <c r="Y196" s="71"/>
      <c r="Z196" s="71"/>
      <c r="AA196" s="71"/>
      <c r="AB196" s="71"/>
      <c r="AC196" s="71"/>
      <c r="AD196" s="71"/>
      <c r="AE196" s="71"/>
      <c r="AF196" s="71"/>
      <c r="AG196" s="82">
        <v>0.1</v>
      </c>
      <c r="AH196" s="76"/>
      <c r="AI196" s="76"/>
      <c r="AJ196" s="76"/>
      <c r="AK196" s="71">
        <v>0.15</v>
      </c>
      <c r="AL196" s="88">
        <v>3.4362770551863299E-2</v>
      </c>
      <c r="AM196" s="89">
        <f t="shared" si="2"/>
        <v>0.229085137012422</v>
      </c>
      <c r="AN196" s="78"/>
    </row>
    <row r="197" spans="1:40" x14ac:dyDescent="0.25">
      <c r="A197" t="s">
        <v>44</v>
      </c>
      <c r="B197" t="s">
        <v>45</v>
      </c>
      <c r="C197" s="121" t="s">
        <v>174</v>
      </c>
      <c r="D197" t="s">
        <v>191</v>
      </c>
      <c r="E197" t="s">
        <v>59</v>
      </c>
      <c r="F197">
        <v>1</v>
      </c>
      <c r="G197">
        <v>92</v>
      </c>
      <c r="H197" s="86">
        <v>45964.912954432897</v>
      </c>
      <c r="I197" s="86">
        <v>45964.985139560202</v>
      </c>
      <c r="J197" s="87">
        <v>1.7324430555555601</v>
      </c>
      <c r="K197" s="69" t="s">
        <v>274</v>
      </c>
      <c r="L197" s="69"/>
      <c r="M197" s="71"/>
      <c r="N197" s="71"/>
      <c r="O197" s="71"/>
      <c r="P197" s="71" t="s">
        <v>275</v>
      </c>
      <c r="Q197" s="88">
        <v>4.7542502679727202E-3</v>
      </c>
      <c r="R197" s="89" t="s">
        <v>276</v>
      </c>
      <c r="S197" s="89"/>
      <c r="T197">
        <v>12</v>
      </c>
      <c r="U197" s="76">
        <v>0.2</v>
      </c>
      <c r="V197">
        <v>9.8000000000000007</v>
      </c>
      <c r="W197" s="90">
        <v>0.1</v>
      </c>
      <c r="X197" s="90"/>
      <c r="Y197" s="71"/>
      <c r="Z197" s="71"/>
      <c r="AA197" s="71"/>
      <c r="AB197" s="71"/>
      <c r="AC197" s="71"/>
      <c r="AD197" s="71"/>
      <c r="AE197" s="71"/>
      <c r="AF197" s="71"/>
      <c r="AG197" s="82">
        <v>0.3</v>
      </c>
      <c r="AH197" s="76"/>
      <c r="AI197" s="76"/>
      <c r="AJ197" s="76"/>
      <c r="AK197" s="71">
        <v>0.15</v>
      </c>
      <c r="AL197" s="88">
        <v>3.4362770551863299E-2</v>
      </c>
      <c r="AM197" s="89">
        <f t="shared" ref="AM197:AM260" si="3">AL197/AK197</f>
        <v>0.229085137012422</v>
      </c>
      <c r="AN197" s="78"/>
    </row>
    <row r="198" spans="1:40" x14ac:dyDescent="0.25">
      <c r="A198" t="s">
        <v>44</v>
      </c>
      <c r="B198" t="s">
        <v>45</v>
      </c>
      <c r="C198" s="121" t="s">
        <v>174</v>
      </c>
      <c r="D198" t="s">
        <v>191</v>
      </c>
      <c r="E198" t="s">
        <v>59</v>
      </c>
      <c r="F198">
        <v>1</v>
      </c>
      <c r="G198">
        <v>93</v>
      </c>
      <c r="H198" s="86">
        <v>45964.985139560202</v>
      </c>
      <c r="I198" s="86">
        <v>45965.057325092603</v>
      </c>
      <c r="J198" s="87">
        <v>1.7324527777777801</v>
      </c>
      <c r="K198" s="69" t="s">
        <v>274</v>
      </c>
      <c r="L198" s="69"/>
      <c r="M198" s="71"/>
      <c r="N198" s="71"/>
      <c r="O198" s="71"/>
      <c r="P198" s="71" t="s">
        <v>275</v>
      </c>
      <c r="Q198" s="88">
        <v>7.2093578685576603E-3</v>
      </c>
      <c r="R198" s="89" t="s">
        <v>276</v>
      </c>
      <c r="S198" s="89"/>
      <c r="T198">
        <v>12.5</v>
      </c>
      <c r="U198" s="76">
        <v>0.2</v>
      </c>
      <c r="V198">
        <v>9.9</v>
      </c>
      <c r="W198" s="90">
        <v>0.1</v>
      </c>
      <c r="X198" s="90"/>
      <c r="Y198" s="71"/>
      <c r="Z198" s="71"/>
      <c r="AA198" s="71"/>
      <c r="AB198" s="71"/>
      <c r="AC198" s="71"/>
      <c r="AD198" s="71"/>
      <c r="AE198" s="71"/>
      <c r="AF198" s="71"/>
      <c r="AG198" s="82">
        <v>0.2</v>
      </c>
      <c r="AH198" s="76"/>
      <c r="AI198" s="76"/>
      <c r="AJ198" s="76"/>
      <c r="AK198" s="71">
        <v>0.15</v>
      </c>
      <c r="AL198" s="88">
        <v>3.4362770551863299E-2</v>
      </c>
      <c r="AM198" s="89">
        <f t="shared" si="3"/>
        <v>0.229085137012422</v>
      </c>
      <c r="AN198" s="78"/>
    </row>
    <row r="199" spans="1:40" x14ac:dyDescent="0.25">
      <c r="A199" t="s">
        <v>44</v>
      </c>
      <c r="B199" t="s">
        <v>45</v>
      </c>
      <c r="C199" s="121" t="s">
        <v>174</v>
      </c>
      <c r="D199" t="s">
        <v>191</v>
      </c>
      <c r="E199" t="s">
        <v>59</v>
      </c>
      <c r="F199">
        <v>1</v>
      </c>
      <c r="G199">
        <v>94</v>
      </c>
      <c r="H199" s="86">
        <v>45965.057325092603</v>
      </c>
      <c r="I199" s="86">
        <v>45965.129508669001</v>
      </c>
      <c r="J199" s="87">
        <v>1.7324058333333301</v>
      </c>
      <c r="K199" s="69" t="s">
        <v>274</v>
      </c>
      <c r="L199" s="69"/>
      <c r="M199" s="71"/>
      <c r="N199" s="71"/>
      <c r="O199" s="71"/>
      <c r="P199" s="71" t="s">
        <v>275</v>
      </c>
      <c r="Q199" s="88">
        <v>9.3117724173344598E-3</v>
      </c>
      <c r="R199" s="89" t="s">
        <v>276</v>
      </c>
      <c r="S199" s="89"/>
      <c r="T199">
        <v>12.5</v>
      </c>
      <c r="U199" s="76">
        <v>0.2</v>
      </c>
      <c r="V199">
        <v>10</v>
      </c>
      <c r="W199" s="90">
        <v>0.1</v>
      </c>
      <c r="X199" s="90"/>
      <c r="Y199" s="71"/>
      <c r="Z199" s="71"/>
      <c r="AA199" s="71"/>
      <c r="AB199" s="71"/>
      <c r="AC199" s="71"/>
      <c r="AD199" s="71"/>
      <c r="AE199" s="71"/>
      <c r="AF199" s="71"/>
      <c r="AG199" s="82">
        <v>0.1</v>
      </c>
      <c r="AH199" s="76"/>
      <c r="AI199" s="76"/>
      <c r="AJ199" s="76"/>
      <c r="AK199" s="71">
        <v>0.15</v>
      </c>
      <c r="AL199" s="88">
        <v>3.4362770551863299E-2</v>
      </c>
      <c r="AM199" s="89">
        <f t="shared" si="3"/>
        <v>0.229085137012422</v>
      </c>
      <c r="AN199" s="78"/>
    </row>
    <row r="200" spans="1:40" x14ac:dyDescent="0.25">
      <c r="A200" t="s">
        <v>44</v>
      </c>
      <c r="B200" t="s">
        <v>45</v>
      </c>
      <c r="C200" s="121" t="s">
        <v>174</v>
      </c>
      <c r="D200" t="s">
        <v>191</v>
      </c>
      <c r="E200" t="s">
        <v>59</v>
      </c>
      <c r="F200">
        <v>1</v>
      </c>
      <c r="G200">
        <v>95</v>
      </c>
      <c r="H200" s="86">
        <v>45965.129508669001</v>
      </c>
      <c r="I200" s="86">
        <v>45965.201694745403</v>
      </c>
      <c r="J200" s="87">
        <v>1.73246583333333</v>
      </c>
      <c r="K200" s="69" t="s">
        <v>274</v>
      </c>
      <c r="L200" s="69"/>
      <c r="M200" s="71"/>
      <c r="N200" s="71"/>
      <c r="O200" s="71"/>
      <c r="P200" s="71" t="s">
        <v>275</v>
      </c>
      <c r="Q200" s="88">
        <v>1.7134163144778201E-2</v>
      </c>
      <c r="R200" s="89" t="s">
        <v>276</v>
      </c>
      <c r="S200" s="89"/>
      <c r="T200">
        <v>12.6</v>
      </c>
      <c r="U200" s="76">
        <v>0.2</v>
      </c>
      <c r="V200">
        <v>10.1</v>
      </c>
      <c r="W200" s="90">
        <v>0.1</v>
      </c>
      <c r="X200" s="90"/>
      <c r="Y200" s="71"/>
      <c r="Z200" s="71"/>
      <c r="AA200" s="71"/>
      <c r="AB200" s="71"/>
      <c r="AC200" s="71"/>
      <c r="AD200" s="71"/>
      <c r="AE200" s="71"/>
      <c r="AF200" s="71"/>
      <c r="AG200" s="82">
        <v>0</v>
      </c>
      <c r="AH200" s="76"/>
      <c r="AI200" s="76"/>
      <c r="AJ200" s="76"/>
      <c r="AK200" s="71">
        <v>0.15</v>
      </c>
      <c r="AL200" s="88">
        <v>3.4362770551863299E-2</v>
      </c>
      <c r="AM200" s="89">
        <f t="shared" si="3"/>
        <v>0.229085137012422</v>
      </c>
      <c r="AN200" s="78"/>
    </row>
    <row r="201" spans="1:40" x14ac:dyDescent="0.25">
      <c r="A201" t="s">
        <v>44</v>
      </c>
      <c r="B201" t="s">
        <v>45</v>
      </c>
      <c r="C201" s="121" t="s">
        <v>174</v>
      </c>
      <c r="D201" t="s">
        <v>191</v>
      </c>
      <c r="E201" t="s">
        <v>59</v>
      </c>
      <c r="F201">
        <v>1</v>
      </c>
      <c r="G201">
        <v>96</v>
      </c>
      <c r="H201" s="86">
        <v>45965.201694745403</v>
      </c>
      <c r="I201" s="86">
        <v>45965.2738840741</v>
      </c>
      <c r="J201" s="87">
        <v>1.73254388888889</v>
      </c>
      <c r="K201" s="69" t="s">
        <v>274</v>
      </c>
      <c r="L201" s="69"/>
      <c r="M201" s="71"/>
      <c r="N201" s="71"/>
      <c r="O201" s="71"/>
      <c r="P201" s="71" t="s">
        <v>275</v>
      </c>
      <c r="Q201" s="88">
        <v>1.14481346804753E-2</v>
      </c>
      <c r="R201" s="89" t="s">
        <v>276</v>
      </c>
      <c r="S201" s="89"/>
      <c r="T201">
        <v>12.5</v>
      </c>
      <c r="U201" s="76">
        <v>0.2</v>
      </c>
      <c r="V201">
        <v>10.3</v>
      </c>
      <c r="W201" s="90">
        <v>0.1</v>
      </c>
      <c r="X201" s="90"/>
      <c r="Y201" s="71"/>
      <c r="Z201" s="71"/>
      <c r="AA201" s="71"/>
      <c r="AB201" s="71"/>
      <c r="AC201" s="71"/>
      <c r="AD201" s="71"/>
      <c r="AE201" s="71"/>
      <c r="AF201" s="71"/>
      <c r="AG201" s="82">
        <v>0</v>
      </c>
      <c r="AH201" s="76"/>
      <c r="AI201" s="76"/>
      <c r="AJ201" s="76"/>
      <c r="AK201" s="71">
        <v>0.15</v>
      </c>
      <c r="AL201" s="88">
        <v>3.4362770551863299E-2</v>
      </c>
      <c r="AM201" s="89">
        <f t="shared" si="3"/>
        <v>0.229085137012422</v>
      </c>
      <c r="AN201" s="78"/>
    </row>
    <row r="202" spans="1:40" x14ac:dyDescent="0.25">
      <c r="A202" t="s">
        <v>44</v>
      </c>
      <c r="B202" t="s">
        <v>45</v>
      </c>
      <c r="C202" s="121" t="s">
        <v>174</v>
      </c>
      <c r="D202" t="s">
        <v>191</v>
      </c>
      <c r="E202" t="s">
        <v>59</v>
      </c>
      <c r="F202">
        <v>1</v>
      </c>
      <c r="G202">
        <v>97</v>
      </c>
      <c r="H202" s="86">
        <v>45965.2738840741</v>
      </c>
      <c r="I202" s="86">
        <v>45965.346056701397</v>
      </c>
      <c r="J202" s="87">
        <v>1.7321430555555599</v>
      </c>
      <c r="K202" s="69" t="s">
        <v>274</v>
      </c>
      <c r="L202" s="69"/>
      <c r="M202" s="71"/>
      <c r="N202" s="71"/>
      <c r="O202" s="71"/>
      <c r="P202" s="71" t="s">
        <v>275</v>
      </c>
      <c r="Q202" s="88">
        <v>1.04376709826043E-2</v>
      </c>
      <c r="R202" s="89" t="s">
        <v>276</v>
      </c>
      <c r="S202" s="89"/>
      <c r="T202">
        <v>12.4</v>
      </c>
      <c r="U202" s="76">
        <v>0.2</v>
      </c>
      <c r="V202">
        <v>10.4</v>
      </c>
      <c r="W202" s="90">
        <v>0.1</v>
      </c>
      <c r="X202" s="90"/>
      <c r="Y202" s="71"/>
      <c r="Z202" s="71"/>
      <c r="AA202" s="71"/>
      <c r="AB202" s="71"/>
      <c r="AC202" s="71"/>
      <c r="AD202" s="71"/>
      <c r="AE202" s="71"/>
      <c r="AF202" s="71"/>
      <c r="AG202" s="82">
        <v>0</v>
      </c>
      <c r="AH202" s="76"/>
      <c r="AI202" s="76"/>
      <c r="AJ202" s="76"/>
      <c r="AK202" s="71">
        <v>0.15</v>
      </c>
      <c r="AL202" s="88">
        <v>3.4362770551863299E-2</v>
      </c>
      <c r="AM202" s="89">
        <f t="shared" si="3"/>
        <v>0.229085137012422</v>
      </c>
      <c r="AN202" s="78"/>
    </row>
    <row r="203" spans="1:40" x14ac:dyDescent="0.25">
      <c r="A203" t="s">
        <v>44</v>
      </c>
      <c r="B203" t="s">
        <v>45</v>
      </c>
      <c r="C203" s="121" t="s">
        <v>174</v>
      </c>
      <c r="D203" t="s">
        <v>191</v>
      </c>
      <c r="E203" t="s">
        <v>59</v>
      </c>
      <c r="F203">
        <v>1</v>
      </c>
      <c r="G203">
        <v>98</v>
      </c>
      <c r="H203" s="86">
        <v>45965.346056701397</v>
      </c>
      <c r="I203" s="86">
        <v>45965.418264722197</v>
      </c>
      <c r="J203" s="87">
        <v>1.7329924999999999</v>
      </c>
      <c r="K203" s="69" t="s">
        <v>274</v>
      </c>
      <c r="L203" s="69"/>
      <c r="M203" s="71"/>
      <c r="N203" s="71"/>
      <c r="O203" s="71"/>
      <c r="P203" s="71" t="s">
        <v>275</v>
      </c>
      <c r="Q203" s="88">
        <v>1.4593930266319201E-2</v>
      </c>
      <c r="R203" s="89" t="s">
        <v>276</v>
      </c>
      <c r="S203" s="89"/>
      <c r="T203">
        <v>12.4</v>
      </c>
      <c r="U203" s="76">
        <v>0.2</v>
      </c>
      <c r="V203">
        <v>10.4</v>
      </c>
      <c r="W203" s="90">
        <v>0.1</v>
      </c>
      <c r="X203" s="90"/>
      <c r="Y203" s="71"/>
      <c r="Z203" s="71"/>
      <c r="AA203" s="71"/>
      <c r="AB203" s="71"/>
      <c r="AC203" s="71"/>
      <c r="AD203" s="71"/>
      <c r="AE203" s="71"/>
      <c r="AF203" s="71"/>
      <c r="AG203" s="82">
        <v>0</v>
      </c>
      <c r="AH203" s="76"/>
      <c r="AI203" s="76"/>
      <c r="AJ203" s="76"/>
      <c r="AK203" s="71">
        <v>0.15</v>
      </c>
      <c r="AL203" s="88">
        <v>3.4362770551863299E-2</v>
      </c>
      <c r="AM203" s="89">
        <f t="shared" si="3"/>
        <v>0.229085137012422</v>
      </c>
      <c r="AN203" s="78"/>
    </row>
    <row r="204" spans="1:40" x14ac:dyDescent="0.25">
      <c r="A204" t="s">
        <v>44</v>
      </c>
      <c r="B204" t="s">
        <v>45</v>
      </c>
      <c r="C204" s="121" t="s">
        <v>174</v>
      </c>
      <c r="D204" t="s">
        <v>191</v>
      </c>
      <c r="E204" t="s">
        <v>59</v>
      </c>
      <c r="F204">
        <v>1</v>
      </c>
      <c r="G204">
        <v>99</v>
      </c>
      <c r="H204" s="86">
        <v>45965.418264722197</v>
      </c>
      <c r="I204" s="86">
        <v>45965.490465810202</v>
      </c>
      <c r="J204" s="87">
        <v>1.7328261111111101</v>
      </c>
      <c r="K204" s="69" t="s">
        <v>274</v>
      </c>
      <c r="L204" s="69"/>
      <c r="M204" s="71"/>
      <c r="N204" s="71"/>
      <c r="O204" s="71"/>
      <c r="P204" s="71" t="s">
        <v>275</v>
      </c>
      <c r="Q204" s="88">
        <v>1.44082102833326E-2</v>
      </c>
      <c r="R204" s="89" t="s">
        <v>276</v>
      </c>
      <c r="S204" s="89"/>
      <c r="T204">
        <v>12.9</v>
      </c>
      <c r="U204" s="76">
        <v>0.2</v>
      </c>
      <c r="V204">
        <v>10.5</v>
      </c>
      <c r="W204" s="90">
        <v>0.1</v>
      </c>
      <c r="X204" s="90"/>
      <c r="Y204" s="71"/>
      <c r="Z204" s="71"/>
      <c r="AA204" s="71"/>
      <c r="AB204" s="71"/>
      <c r="AC204" s="71"/>
      <c r="AD204" s="71"/>
      <c r="AE204" s="71"/>
      <c r="AF204" s="71"/>
      <c r="AG204" s="82">
        <v>0</v>
      </c>
      <c r="AH204" s="76"/>
      <c r="AI204" s="76"/>
      <c r="AJ204" s="76"/>
      <c r="AK204" s="71">
        <v>0.15</v>
      </c>
      <c r="AL204" s="88">
        <v>3.4362770551863299E-2</v>
      </c>
      <c r="AM204" s="89">
        <f t="shared" si="3"/>
        <v>0.229085137012422</v>
      </c>
      <c r="AN204" s="78"/>
    </row>
    <row r="205" spans="1:40" x14ac:dyDescent="0.25">
      <c r="A205" t="s">
        <v>44</v>
      </c>
      <c r="B205" t="s">
        <v>45</v>
      </c>
      <c r="C205" s="121" t="s">
        <v>174</v>
      </c>
      <c r="D205" t="s">
        <v>191</v>
      </c>
      <c r="E205" t="s">
        <v>59</v>
      </c>
      <c r="F205">
        <v>1</v>
      </c>
      <c r="G205">
        <v>100</v>
      </c>
      <c r="H205" s="86">
        <v>45965.490465810202</v>
      </c>
      <c r="I205" s="86">
        <v>45965.5626497454</v>
      </c>
      <c r="J205" s="87">
        <v>1.73241444444444</v>
      </c>
      <c r="K205" s="69" t="s">
        <v>274</v>
      </c>
      <c r="L205" s="69"/>
      <c r="M205" s="71"/>
      <c r="N205" s="71"/>
      <c r="O205" s="71"/>
      <c r="P205" s="71" t="s">
        <v>275</v>
      </c>
      <c r="Q205" s="88">
        <v>1.38273499898339E-2</v>
      </c>
      <c r="R205" s="89" t="s">
        <v>276</v>
      </c>
      <c r="S205" s="89"/>
      <c r="T205">
        <v>12.9</v>
      </c>
      <c r="U205" s="76">
        <v>0.2</v>
      </c>
      <c r="V205">
        <v>10.7</v>
      </c>
      <c r="W205" s="90">
        <v>0.1</v>
      </c>
      <c r="X205" s="90"/>
      <c r="Y205" s="71"/>
      <c r="Z205" s="71"/>
      <c r="AA205" s="71"/>
      <c r="AB205" s="71"/>
      <c r="AC205" s="71"/>
      <c r="AD205" s="71"/>
      <c r="AE205" s="71"/>
      <c r="AF205" s="71"/>
      <c r="AG205" s="82">
        <v>0.1</v>
      </c>
      <c r="AH205" s="76"/>
      <c r="AI205" s="76"/>
      <c r="AJ205" s="76"/>
      <c r="AK205" s="71">
        <v>0.15</v>
      </c>
      <c r="AL205" s="88">
        <v>3.4362770551863299E-2</v>
      </c>
      <c r="AM205" s="89">
        <f t="shared" si="3"/>
        <v>0.229085137012422</v>
      </c>
      <c r="AN205" s="78"/>
    </row>
    <row r="206" spans="1:40" x14ac:dyDescent="0.25">
      <c r="A206" t="s">
        <v>44</v>
      </c>
      <c r="B206" t="s">
        <v>45</v>
      </c>
      <c r="C206" s="121" t="s">
        <v>174</v>
      </c>
      <c r="D206" t="s">
        <v>194</v>
      </c>
      <c r="E206" t="s">
        <v>61</v>
      </c>
      <c r="F206">
        <v>1</v>
      </c>
      <c r="G206">
        <v>1</v>
      </c>
      <c r="H206" s="86">
        <v>45958.530343483799</v>
      </c>
      <c r="I206" s="86">
        <v>45958.596407268502</v>
      </c>
      <c r="J206" s="87">
        <v>1.58553083333333</v>
      </c>
      <c r="K206" s="69" t="s">
        <v>274</v>
      </c>
      <c r="L206" s="69"/>
      <c r="M206" s="71"/>
      <c r="N206" s="71"/>
      <c r="O206" s="71"/>
      <c r="P206" s="71" t="s">
        <v>275</v>
      </c>
      <c r="Q206" s="88" t="s">
        <v>277</v>
      </c>
      <c r="R206" s="89" t="s">
        <v>276</v>
      </c>
      <c r="S206" s="89"/>
      <c r="T206">
        <v>7.7</v>
      </c>
      <c r="U206" s="76">
        <v>0.2</v>
      </c>
      <c r="V206">
        <v>9.5</v>
      </c>
      <c r="W206" s="90">
        <v>0.1</v>
      </c>
      <c r="X206" s="90"/>
      <c r="Y206" s="71"/>
      <c r="Z206" s="71"/>
      <c r="AA206" s="71"/>
      <c r="AB206" s="71"/>
      <c r="AC206" s="71"/>
      <c r="AD206" s="71"/>
      <c r="AE206" s="71"/>
      <c r="AF206" s="71"/>
      <c r="AG206" s="82">
        <v>0.1</v>
      </c>
      <c r="AH206" s="76"/>
      <c r="AI206" s="76"/>
      <c r="AJ206" s="76"/>
      <c r="AK206" s="71">
        <v>0.15</v>
      </c>
      <c r="AL206" s="88">
        <v>3.3848190498164003E-2</v>
      </c>
      <c r="AM206" s="89">
        <f t="shared" si="3"/>
        <v>0.22565460332109336</v>
      </c>
      <c r="AN206" s="78"/>
    </row>
    <row r="207" spans="1:40" x14ac:dyDescent="0.25">
      <c r="A207" t="s">
        <v>44</v>
      </c>
      <c r="B207" t="s">
        <v>45</v>
      </c>
      <c r="C207" s="121" t="s">
        <v>174</v>
      </c>
      <c r="D207" t="s">
        <v>194</v>
      </c>
      <c r="E207" t="s">
        <v>61</v>
      </c>
      <c r="F207">
        <v>1</v>
      </c>
      <c r="G207">
        <v>2</v>
      </c>
      <c r="H207" s="86">
        <v>45958.596407268502</v>
      </c>
      <c r="I207" s="86">
        <v>45958.624289340303</v>
      </c>
      <c r="J207" s="87">
        <v>0.66916972222222204</v>
      </c>
      <c r="K207" s="69" t="s">
        <v>274</v>
      </c>
      <c r="L207" s="69"/>
      <c r="M207" s="71"/>
      <c r="N207" s="71"/>
      <c r="O207" s="71"/>
      <c r="P207" s="71" t="s">
        <v>275</v>
      </c>
      <c r="Q207" s="88" t="s">
        <v>277</v>
      </c>
      <c r="R207" s="89" t="s">
        <v>276</v>
      </c>
      <c r="S207" s="89"/>
      <c r="T207">
        <v>7.8</v>
      </c>
      <c r="U207" s="76">
        <v>0.2</v>
      </c>
      <c r="V207">
        <v>9.5</v>
      </c>
      <c r="W207" s="90">
        <v>0.1</v>
      </c>
      <c r="X207" s="90"/>
      <c r="Y207" s="71"/>
      <c r="Z207" s="71"/>
      <c r="AA207" s="71"/>
      <c r="AB207" s="71"/>
      <c r="AC207" s="71"/>
      <c r="AD207" s="71"/>
      <c r="AE207" s="71"/>
      <c r="AF207" s="71"/>
      <c r="AG207" s="82">
        <v>0.1</v>
      </c>
      <c r="AH207" s="76"/>
      <c r="AI207" s="76"/>
      <c r="AJ207" s="76"/>
      <c r="AK207" s="71">
        <v>0.15</v>
      </c>
      <c r="AL207" s="88">
        <v>3.3848190498164003E-2</v>
      </c>
      <c r="AM207" s="89">
        <f t="shared" si="3"/>
        <v>0.22565460332109336</v>
      </c>
      <c r="AN207" s="78"/>
    </row>
    <row r="208" spans="1:40" x14ac:dyDescent="0.25">
      <c r="A208" t="s">
        <v>44</v>
      </c>
      <c r="B208" t="s">
        <v>45</v>
      </c>
      <c r="C208" s="121" t="s">
        <v>174</v>
      </c>
      <c r="D208" t="s">
        <v>194</v>
      </c>
      <c r="E208" t="s">
        <v>61</v>
      </c>
      <c r="F208">
        <v>1</v>
      </c>
      <c r="G208">
        <v>3</v>
      </c>
      <c r="H208" s="86">
        <v>45958.624289340303</v>
      </c>
      <c r="I208" s="86">
        <v>45958.721760057902</v>
      </c>
      <c r="J208" s="87">
        <v>2.3392972222222199</v>
      </c>
      <c r="K208" s="69" t="s">
        <v>274</v>
      </c>
      <c r="L208" s="69"/>
      <c r="M208" s="71"/>
      <c r="N208" s="71"/>
      <c r="O208" s="71"/>
      <c r="P208" s="71" t="s">
        <v>275</v>
      </c>
      <c r="Q208" s="88" t="s">
        <v>277</v>
      </c>
      <c r="R208" s="89" t="s">
        <v>276</v>
      </c>
      <c r="S208" s="89"/>
      <c r="T208">
        <v>8.4</v>
      </c>
      <c r="U208" s="76">
        <v>0.2</v>
      </c>
      <c r="V208">
        <v>9.6</v>
      </c>
      <c r="W208" s="90">
        <v>0.1</v>
      </c>
      <c r="X208" s="90"/>
      <c r="Y208" s="71"/>
      <c r="Z208" s="71"/>
      <c r="AA208" s="71"/>
      <c r="AB208" s="71"/>
      <c r="AC208" s="71"/>
      <c r="AD208" s="71"/>
      <c r="AE208" s="71"/>
      <c r="AF208" s="71"/>
      <c r="AG208" s="82">
        <v>0</v>
      </c>
      <c r="AH208" s="76"/>
      <c r="AI208" s="76"/>
      <c r="AJ208" s="76"/>
      <c r="AK208" s="71">
        <v>0.15</v>
      </c>
      <c r="AL208" s="88">
        <v>3.3848190498164003E-2</v>
      </c>
      <c r="AM208" s="89">
        <f t="shared" si="3"/>
        <v>0.22565460332109336</v>
      </c>
      <c r="AN208" s="78"/>
    </row>
    <row r="209" spans="1:40" x14ac:dyDescent="0.25">
      <c r="A209" t="s">
        <v>44</v>
      </c>
      <c r="B209" t="s">
        <v>45</v>
      </c>
      <c r="C209" s="121" t="s">
        <v>174</v>
      </c>
      <c r="D209" t="s">
        <v>194</v>
      </c>
      <c r="E209" t="s">
        <v>61</v>
      </c>
      <c r="F209">
        <v>1</v>
      </c>
      <c r="G209">
        <v>4</v>
      </c>
      <c r="H209" s="86">
        <v>45958.721760057902</v>
      </c>
      <c r="I209" s="86">
        <v>45958.793943969897</v>
      </c>
      <c r="J209" s="87">
        <v>1.73241388888889</v>
      </c>
      <c r="K209" s="69" t="s">
        <v>274</v>
      </c>
      <c r="L209" s="69"/>
      <c r="M209" s="71"/>
      <c r="N209" s="71"/>
      <c r="O209" s="71"/>
      <c r="P209" s="71" t="s">
        <v>275</v>
      </c>
      <c r="Q209" s="88">
        <v>0.15358109015858101</v>
      </c>
      <c r="R209" s="89" t="s">
        <v>276</v>
      </c>
      <c r="S209" s="89"/>
      <c r="T209">
        <v>6.1</v>
      </c>
      <c r="U209" s="76">
        <v>0.2</v>
      </c>
      <c r="V209">
        <v>9.6999999999999993</v>
      </c>
      <c r="W209" s="90">
        <v>0.1</v>
      </c>
      <c r="X209" s="90"/>
      <c r="Y209" s="71"/>
      <c r="Z209" s="71"/>
      <c r="AA209" s="71"/>
      <c r="AB209" s="71"/>
      <c r="AC209" s="71"/>
      <c r="AD209" s="71"/>
      <c r="AE209" s="71"/>
      <c r="AF209" s="71"/>
      <c r="AG209" s="82">
        <v>0</v>
      </c>
      <c r="AH209" s="76"/>
      <c r="AI209" s="76"/>
      <c r="AJ209" s="76"/>
      <c r="AK209" s="71">
        <v>0.15</v>
      </c>
      <c r="AL209" s="88">
        <v>3.3848190498164003E-2</v>
      </c>
      <c r="AM209" s="89">
        <f t="shared" si="3"/>
        <v>0.22565460332109336</v>
      </c>
      <c r="AN209" s="78"/>
    </row>
    <row r="210" spans="1:40" x14ac:dyDescent="0.25">
      <c r="A210" t="s">
        <v>44</v>
      </c>
      <c r="B210" t="s">
        <v>45</v>
      </c>
      <c r="C210" s="121" t="s">
        <v>174</v>
      </c>
      <c r="D210" t="s">
        <v>194</v>
      </c>
      <c r="E210" t="s">
        <v>61</v>
      </c>
      <c r="F210">
        <v>1</v>
      </c>
      <c r="G210">
        <v>5</v>
      </c>
      <c r="H210" s="86">
        <v>45958.793943969897</v>
      </c>
      <c r="I210" s="86">
        <v>45958.866113773198</v>
      </c>
      <c r="J210" s="87">
        <v>1.7320752777777799</v>
      </c>
      <c r="K210" s="69" t="s">
        <v>274</v>
      </c>
      <c r="L210" s="69"/>
      <c r="M210" s="71"/>
      <c r="N210" s="71"/>
      <c r="O210" s="71"/>
      <c r="P210" s="71" t="s">
        <v>275</v>
      </c>
      <c r="Q210" s="88">
        <v>0.23574162682149299</v>
      </c>
      <c r="R210" s="89" t="s">
        <v>276</v>
      </c>
      <c r="S210" s="89"/>
      <c r="T210">
        <v>6.5</v>
      </c>
      <c r="U210" s="76">
        <v>0.2</v>
      </c>
      <c r="V210">
        <v>9.6</v>
      </c>
      <c r="W210" s="90">
        <v>0.1</v>
      </c>
      <c r="X210" s="90"/>
      <c r="Y210" s="71"/>
      <c r="Z210" s="71"/>
      <c r="AA210" s="71"/>
      <c r="AB210" s="71"/>
      <c r="AC210" s="71"/>
      <c r="AD210" s="71"/>
      <c r="AE210" s="71"/>
      <c r="AF210" s="71"/>
      <c r="AG210" s="82">
        <v>0</v>
      </c>
      <c r="AH210" s="76"/>
      <c r="AI210" s="76"/>
      <c r="AJ210" s="76"/>
      <c r="AK210" s="71">
        <v>0.15</v>
      </c>
      <c r="AL210" s="88">
        <v>3.3848190498164003E-2</v>
      </c>
      <c r="AM210" s="89">
        <f t="shared" si="3"/>
        <v>0.22565460332109336</v>
      </c>
      <c r="AN210" s="78"/>
    </row>
    <row r="211" spans="1:40" x14ac:dyDescent="0.25">
      <c r="A211" t="s">
        <v>44</v>
      </c>
      <c r="B211" t="s">
        <v>45</v>
      </c>
      <c r="C211" s="121" t="s">
        <v>174</v>
      </c>
      <c r="D211" t="s">
        <v>194</v>
      </c>
      <c r="E211" t="s">
        <v>61</v>
      </c>
      <c r="F211">
        <v>1</v>
      </c>
      <c r="G211">
        <v>6</v>
      </c>
      <c r="H211" s="86">
        <v>45958.866113773198</v>
      </c>
      <c r="I211" s="86">
        <v>45958.938291145801</v>
      </c>
      <c r="J211" s="87">
        <v>1.73225694444444</v>
      </c>
      <c r="K211" s="69" t="s">
        <v>274</v>
      </c>
      <c r="L211" s="69"/>
      <c r="M211" s="71"/>
      <c r="N211" s="71"/>
      <c r="O211" s="71"/>
      <c r="P211" s="71" t="s">
        <v>275</v>
      </c>
      <c r="Q211" s="88">
        <v>0.224576358847736</v>
      </c>
      <c r="R211" s="89" t="s">
        <v>276</v>
      </c>
      <c r="S211" s="89"/>
      <c r="T211">
        <v>6.6</v>
      </c>
      <c r="U211" s="76">
        <v>0.2</v>
      </c>
      <c r="V211">
        <v>9.6</v>
      </c>
      <c r="W211" s="90">
        <v>0.1</v>
      </c>
      <c r="X211" s="90"/>
      <c r="Y211" s="71"/>
      <c r="Z211" s="71"/>
      <c r="AA211" s="71"/>
      <c r="AB211" s="71"/>
      <c r="AC211" s="71"/>
      <c r="AD211" s="71"/>
      <c r="AE211" s="71"/>
      <c r="AF211" s="71"/>
      <c r="AG211" s="82">
        <v>0</v>
      </c>
      <c r="AH211" s="76"/>
      <c r="AI211" s="76"/>
      <c r="AJ211" s="76"/>
      <c r="AK211" s="71">
        <v>0.15</v>
      </c>
      <c r="AL211" s="88">
        <v>3.3848190498164003E-2</v>
      </c>
      <c r="AM211" s="89">
        <f t="shared" si="3"/>
        <v>0.22565460332109336</v>
      </c>
      <c r="AN211" s="78"/>
    </row>
    <row r="212" spans="1:40" x14ac:dyDescent="0.25">
      <c r="A212" t="s">
        <v>44</v>
      </c>
      <c r="B212" t="s">
        <v>45</v>
      </c>
      <c r="C212" s="121" t="s">
        <v>174</v>
      </c>
      <c r="D212" t="s">
        <v>194</v>
      </c>
      <c r="E212" t="s">
        <v>61</v>
      </c>
      <c r="F212">
        <v>1</v>
      </c>
      <c r="G212">
        <v>7</v>
      </c>
      <c r="H212" s="86">
        <v>45958.938291145801</v>
      </c>
      <c r="I212" s="86">
        <v>45959.010481759302</v>
      </c>
      <c r="J212" s="87">
        <v>1.7325747222222201</v>
      </c>
      <c r="K212" s="69" t="s">
        <v>274</v>
      </c>
      <c r="L212" s="69"/>
      <c r="M212" s="71"/>
      <c r="N212" s="71"/>
      <c r="O212" s="71"/>
      <c r="P212" s="71" t="s">
        <v>275</v>
      </c>
      <c r="Q212" s="88">
        <v>0.193878665214751</v>
      </c>
      <c r="R212" s="89" t="s">
        <v>276</v>
      </c>
      <c r="S212" s="89"/>
      <c r="T212">
        <v>6.7</v>
      </c>
      <c r="U212" s="76">
        <v>0.2</v>
      </c>
      <c r="V212">
        <v>9.6</v>
      </c>
      <c r="W212" s="90">
        <v>0.1</v>
      </c>
      <c r="X212" s="90"/>
      <c r="Y212" s="71"/>
      <c r="Z212" s="71"/>
      <c r="AA212" s="71"/>
      <c r="AB212" s="71"/>
      <c r="AC212" s="71"/>
      <c r="AD212" s="71"/>
      <c r="AE212" s="71"/>
      <c r="AF212" s="71"/>
      <c r="AG212" s="82">
        <v>0</v>
      </c>
      <c r="AH212" s="76"/>
      <c r="AI212" s="76"/>
      <c r="AJ212" s="76"/>
      <c r="AK212" s="71">
        <v>0.15</v>
      </c>
      <c r="AL212" s="88">
        <v>3.3848190498164003E-2</v>
      </c>
      <c r="AM212" s="89">
        <f t="shared" si="3"/>
        <v>0.22565460332109336</v>
      </c>
      <c r="AN212" s="78"/>
    </row>
    <row r="213" spans="1:40" x14ac:dyDescent="0.25">
      <c r="A213" t="s">
        <v>44</v>
      </c>
      <c r="B213" t="s">
        <v>45</v>
      </c>
      <c r="C213" s="121" t="s">
        <v>174</v>
      </c>
      <c r="D213" t="s">
        <v>194</v>
      </c>
      <c r="E213" t="s">
        <v>61</v>
      </c>
      <c r="F213">
        <v>1</v>
      </c>
      <c r="G213">
        <v>8</v>
      </c>
      <c r="H213" s="86">
        <v>45959.010481759302</v>
      </c>
      <c r="I213" s="86">
        <v>45959.082670636599</v>
      </c>
      <c r="J213" s="87">
        <v>1.73253305555556</v>
      </c>
      <c r="K213" s="69" t="s">
        <v>274</v>
      </c>
      <c r="L213" s="69"/>
      <c r="M213" s="71"/>
      <c r="N213" s="71"/>
      <c r="O213" s="71"/>
      <c r="P213" s="71" t="s">
        <v>275</v>
      </c>
      <c r="Q213" s="88">
        <v>0.201874047339903</v>
      </c>
      <c r="R213" s="89" t="s">
        <v>276</v>
      </c>
      <c r="S213" s="89"/>
      <c r="T213">
        <v>6.9</v>
      </c>
      <c r="U213" s="76">
        <v>0.2</v>
      </c>
      <c r="V213">
        <v>9.5</v>
      </c>
      <c r="W213" s="90">
        <v>0.1</v>
      </c>
      <c r="X213" s="90"/>
      <c r="Y213" s="71"/>
      <c r="Z213" s="71"/>
      <c r="AA213" s="71"/>
      <c r="AB213" s="71"/>
      <c r="AC213" s="71"/>
      <c r="AD213" s="71"/>
      <c r="AE213" s="71"/>
      <c r="AF213" s="71"/>
      <c r="AG213" s="82">
        <v>0</v>
      </c>
      <c r="AH213" s="76"/>
      <c r="AI213" s="76"/>
      <c r="AJ213" s="76"/>
      <c r="AK213" s="71">
        <v>0.15</v>
      </c>
      <c r="AL213" s="88">
        <v>3.3848190498164003E-2</v>
      </c>
      <c r="AM213" s="89">
        <f t="shared" si="3"/>
        <v>0.22565460332109336</v>
      </c>
      <c r="AN213" s="78"/>
    </row>
    <row r="214" spans="1:40" x14ac:dyDescent="0.25">
      <c r="A214" t="s">
        <v>44</v>
      </c>
      <c r="B214" t="s">
        <v>45</v>
      </c>
      <c r="C214" s="121" t="s">
        <v>174</v>
      </c>
      <c r="D214" t="s">
        <v>194</v>
      </c>
      <c r="E214" t="s">
        <v>61</v>
      </c>
      <c r="F214">
        <v>1</v>
      </c>
      <c r="G214">
        <v>9</v>
      </c>
      <c r="H214" s="86">
        <v>45959.082670636599</v>
      </c>
      <c r="I214" s="86">
        <v>45959.154849270803</v>
      </c>
      <c r="J214" s="87">
        <v>1.7322872222222201</v>
      </c>
      <c r="K214" s="69" t="s">
        <v>274</v>
      </c>
      <c r="L214" s="69"/>
      <c r="M214" s="71"/>
      <c r="N214" s="71"/>
      <c r="O214" s="71"/>
      <c r="P214" s="71" t="s">
        <v>275</v>
      </c>
      <c r="Q214" s="88">
        <v>0.15337590502833401</v>
      </c>
      <c r="R214" s="89" t="s">
        <v>276</v>
      </c>
      <c r="S214" s="89"/>
      <c r="T214">
        <v>6.3</v>
      </c>
      <c r="U214" s="76">
        <v>0.2</v>
      </c>
      <c r="V214">
        <v>9.5</v>
      </c>
      <c r="W214" s="90">
        <v>0.1</v>
      </c>
      <c r="X214" s="90"/>
      <c r="Y214" s="71"/>
      <c r="Z214" s="71"/>
      <c r="AA214" s="71"/>
      <c r="AB214" s="71"/>
      <c r="AC214" s="71"/>
      <c r="AD214" s="71"/>
      <c r="AE214" s="71"/>
      <c r="AF214" s="71"/>
      <c r="AG214" s="82">
        <v>0</v>
      </c>
      <c r="AH214" s="76"/>
      <c r="AI214" s="76"/>
      <c r="AJ214" s="76"/>
      <c r="AK214" s="71">
        <v>0.15</v>
      </c>
      <c r="AL214" s="88">
        <v>3.3848190498164003E-2</v>
      </c>
      <c r="AM214" s="89">
        <f t="shared" si="3"/>
        <v>0.22565460332109336</v>
      </c>
      <c r="AN214" s="78"/>
    </row>
    <row r="215" spans="1:40" x14ac:dyDescent="0.25">
      <c r="A215" t="s">
        <v>44</v>
      </c>
      <c r="B215" t="s">
        <v>45</v>
      </c>
      <c r="C215" s="121" t="s">
        <v>174</v>
      </c>
      <c r="D215" t="s">
        <v>194</v>
      </c>
      <c r="E215" t="s">
        <v>61</v>
      </c>
      <c r="F215">
        <v>1</v>
      </c>
      <c r="G215">
        <v>10</v>
      </c>
      <c r="H215" s="86">
        <v>45959.154849270803</v>
      </c>
      <c r="I215" s="86">
        <v>45959.227030023198</v>
      </c>
      <c r="J215" s="87">
        <v>1.7323380555555601</v>
      </c>
      <c r="K215" s="69" t="s">
        <v>274</v>
      </c>
      <c r="L215" s="69"/>
      <c r="M215" s="71"/>
      <c r="N215" s="71"/>
      <c r="O215" s="71"/>
      <c r="P215" s="71" t="s">
        <v>275</v>
      </c>
      <c r="Q215" s="88">
        <v>0.14587960625737301</v>
      </c>
      <c r="R215" s="89" t="s">
        <v>276</v>
      </c>
      <c r="S215" s="89"/>
      <c r="T215">
        <v>5.4</v>
      </c>
      <c r="U215" s="76">
        <v>0.2</v>
      </c>
      <c r="V215">
        <v>9.5</v>
      </c>
      <c r="W215" s="90">
        <v>0.1</v>
      </c>
      <c r="X215" s="90"/>
      <c r="Y215" s="71"/>
      <c r="Z215" s="71"/>
      <c r="AA215" s="71"/>
      <c r="AB215" s="71"/>
      <c r="AC215" s="71"/>
      <c r="AD215" s="71"/>
      <c r="AE215" s="71"/>
      <c r="AF215" s="71"/>
      <c r="AG215" s="82">
        <v>0</v>
      </c>
      <c r="AH215" s="76"/>
      <c r="AI215" s="76"/>
      <c r="AJ215" s="76"/>
      <c r="AK215" s="71">
        <v>0.15</v>
      </c>
      <c r="AL215" s="88">
        <v>3.3848190498164003E-2</v>
      </c>
      <c r="AM215" s="89">
        <f t="shared" si="3"/>
        <v>0.22565460332109336</v>
      </c>
      <c r="AN215" s="78"/>
    </row>
    <row r="216" spans="1:40" x14ac:dyDescent="0.25">
      <c r="A216" t="s">
        <v>44</v>
      </c>
      <c r="B216" t="s">
        <v>45</v>
      </c>
      <c r="C216" s="121" t="s">
        <v>174</v>
      </c>
      <c r="D216" t="s">
        <v>194</v>
      </c>
      <c r="E216" t="s">
        <v>61</v>
      </c>
      <c r="F216">
        <v>1</v>
      </c>
      <c r="G216">
        <v>11</v>
      </c>
      <c r="H216" s="86">
        <v>45959.227030023198</v>
      </c>
      <c r="I216" s="86">
        <v>45959.2992087616</v>
      </c>
      <c r="J216" s="87">
        <v>1.73228972222222</v>
      </c>
      <c r="K216" s="69" t="s">
        <v>274</v>
      </c>
      <c r="L216" s="69"/>
      <c r="M216" s="71"/>
      <c r="N216" s="71"/>
      <c r="O216" s="71"/>
      <c r="P216" s="71" t="s">
        <v>275</v>
      </c>
      <c r="Q216" s="88">
        <v>0.130281693068277</v>
      </c>
      <c r="R216" s="89" t="s">
        <v>276</v>
      </c>
      <c r="S216" s="89"/>
      <c r="T216">
        <v>5.8</v>
      </c>
      <c r="U216" s="76">
        <v>0.2</v>
      </c>
      <c r="V216">
        <v>9.4</v>
      </c>
      <c r="W216" s="90">
        <v>0.1</v>
      </c>
      <c r="X216" s="90"/>
      <c r="Y216" s="71"/>
      <c r="Z216" s="71"/>
      <c r="AA216" s="71"/>
      <c r="AB216" s="71"/>
      <c r="AC216" s="71"/>
      <c r="AD216" s="71"/>
      <c r="AE216" s="71"/>
      <c r="AF216" s="71"/>
      <c r="AG216" s="82">
        <v>0</v>
      </c>
      <c r="AH216" s="76"/>
      <c r="AI216" s="76"/>
      <c r="AJ216" s="76"/>
      <c r="AK216" s="71">
        <v>0.15</v>
      </c>
      <c r="AL216" s="88">
        <v>3.3848190498164003E-2</v>
      </c>
      <c r="AM216" s="89">
        <f t="shared" si="3"/>
        <v>0.22565460332109336</v>
      </c>
      <c r="AN216" s="78"/>
    </row>
    <row r="217" spans="1:40" x14ac:dyDescent="0.25">
      <c r="A217" t="s">
        <v>44</v>
      </c>
      <c r="B217" t="s">
        <v>45</v>
      </c>
      <c r="C217" s="121" t="s">
        <v>174</v>
      </c>
      <c r="D217" t="s">
        <v>194</v>
      </c>
      <c r="E217" t="s">
        <v>61</v>
      </c>
      <c r="F217">
        <v>1</v>
      </c>
      <c r="G217">
        <v>12</v>
      </c>
      <c r="H217" s="86">
        <v>45959.2992087616</v>
      </c>
      <c r="I217" s="86">
        <v>45959.371401516197</v>
      </c>
      <c r="J217" s="87">
        <v>1.7326261111111101</v>
      </c>
      <c r="K217" s="69" t="s">
        <v>274</v>
      </c>
      <c r="L217" s="69"/>
      <c r="M217" s="71"/>
      <c r="N217" s="71"/>
      <c r="O217" s="71"/>
      <c r="P217" s="71" t="s">
        <v>275</v>
      </c>
      <c r="Q217" s="88">
        <v>0.13904063103668199</v>
      </c>
      <c r="R217" s="89" t="s">
        <v>276</v>
      </c>
      <c r="S217" s="89"/>
      <c r="T217">
        <v>7.6</v>
      </c>
      <c r="U217" s="76">
        <v>0.2</v>
      </c>
      <c r="V217">
        <v>9.4</v>
      </c>
      <c r="W217" s="90">
        <v>0.1</v>
      </c>
      <c r="X217" s="90"/>
      <c r="Y217" s="71"/>
      <c r="Z217" s="71"/>
      <c r="AA217" s="71"/>
      <c r="AB217" s="71"/>
      <c r="AC217" s="71"/>
      <c r="AD217" s="71"/>
      <c r="AE217" s="71"/>
      <c r="AF217" s="71"/>
      <c r="AG217" s="82">
        <v>0.3</v>
      </c>
      <c r="AH217" s="76"/>
      <c r="AI217" s="76"/>
      <c r="AJ217" s="76"/>
      <c r="AK217" s="71">
        <v>0.15</v>
      </c>
      <c r="AL217" s="88">
        <v>3.3848190498164003E-2</v>
      </c>
      <c r="AM217" s="89">
        <f t="shared" si="3"/>
        <v>0.22565460332109336</v>
      </c>
      <c r="AN217" s="78"/>
    </row>
    <row r="218" spans="1:40" x14ac:dyDescent="0.25">
      <c r="A218" t="s">
        <v>44</v>
      </c>
      <c r="B218" t="s">
        <v>45</v>
      </c>
      <c r="C218" s="121" t="s">
        <v>174</v>
      </c>
      <c r="D218" t="s">
        <v>194</v>
      </c>
      <c r="E218" t="s">
        <v>61</v>
      </c>
      <c r="F218">
        <v>1</v>
      </c>
      <c r="G218">
        <v>13</v>
      </c>
      <c r="H218" s="86">
        <v>45959.371401516197</v>
      </c>
      <c r="I218" s="86">
        <v>45959.443582476903</v>
      </c>
      <c r="J218" s="87">
        <v>1.7323430555555599</v>
      </c>
      <c r="K218" s="69" t="s">
        <v>274</v>
      </c>
      <c r="L218" s="69"/>
      <c r="M218" s="71"/>
      <c r="N218" s="71"/>
      <c r="O218" s="71"/>
      <c r="P218" s="71" t="s">
        <v>275</v>
      </c>
      <c r="Q218" s="88">
        <v>0.19737121761176299</v>
      </c>
      <c r="R218" s="89" t="s">
        <v>276</v>
      </c>
      <c r="S218" s="89"/>
      <c r="T218">
        <v>8.6</v>
      </c>
      <c r="U218" s="76">
        <v>0.2</v>
      </c>
      <c r="V218">
        <v>9.4</v>
      </c>
      <c r="W218" s="90">
        <v>0.1</v>
      </c>
      <c r="X218" s="90"/>
      <c r="Y218" s="71"/>
      <c r="Z218" s="71"/>
      <c r="AA218" s="71"/>
      <c r="AB218" s="71"/>
      <c r="AC218" s="71"/>
      <c r="AD218" s="71"/>
      <c r="AE218" s="71"/>
      <c r="AF218" s="71"/>
      <c r="AG218" s="82">
        <v>1.6</v>
      </c>
      <c r="AH218" s="76"/>
      <c r="AI218" s="76"/>
      <c r="AJ218" s="76"/>
      <c r="AK218" s="71">
        <v>0.15</v>
      </c>
      <c r="AL218" s="88">
        <v>3.3848190498164003E-2</v>
      </c>
      <c r="AM218" s="89">
        <f t="shared" si="3"/>
        <v>0.22565460332109336</v>
      </c>
      <c r="AN218" s="78"/>
    </row>
    <row r="219" spans="1:40" x14ac:dyDescent="0.25">
      <c r="A219" t="s">
        <v>44</v>
      </c>
      <c r="B219" t="s">
        <v>45</v>
      </c>
      <c r="C219" s="121" t="s">
        <v>174</v>
      </c>
      <c r="D219" t="s">
        <v>194</v>
      </c>
      <c r="E219" t="s">
        <v>61</v>
      </c>
      <c r="F219">
        <v>1</v>
      </c>
      <c r="G219">
        <v>14</v>
      </c>
      <c r="H219" s="86">
        <v>45959.443582476903</v>
      </c>
      <c r="I219" s="86">
        <v>45959.515767650497</v>
      </c>
      <c r="J219" s="87">
        <v>1.7324441666666699</v>
      </c>
      <c r="K219" s="69" t="s">
        <v>274</v>
      </c>
      <c r="L219" s="69"/>
      <c r="M219" s="71"/>
      <c r="N219" s="71"/>
      <c r="O219" s="71"/>
      <c r="P219" s="71" t="s">
        <v>275</v>
      </c>
      <c r="Q219" s="88">
        <v>0.24919250943961299</v>
      </c>
      <c r="R219" s="89" t="s">
        <v>276</v>
      </c>
      <c r="S219" s="89"/>
      <c r="T219">
        <v>10.4</v>
      </c>
      <c r="U219" s="76">
        <v>0.2</v>
      </c>
      <c r="V219">
        <v>9.4</v>
      </c>
      <c r="W219" s="90">
        <v>0.1</v>
      </c>
      <c r="X219" s="90"/>
      <c r="Y219" s="71"/>
      <c r="Z219" s="71"/>
      <c r="AA219" s="71"/>
      <c r="AB219" s="71"/>
      <c r="AC219" s="71"/>
      <c r="AD219" s="71"/>
      <c r="AE219" s="71"/>
      <c r="AF219" s="71"/>
      <c r="AG219" s="82">
        <v>0</v>
      </c>
      <c r="AH219" s="76"/>
      <c r="AI219" s="76"/>
      <c r="AJ219" s="76"/>
      <c r="AK219" s="71">
        <v>0.15</v>
      </c>
      <c r="AL219" s="88">
        <v>3.3848190498164003E-2</v>
      </c>
      <c r="AM219" s="89">
        <f t="shared" si="3"/>
        <v>0.22565460332109336</v>
      </c>
      <c r="AN219" s="78"/>
    </row>
    <row r="220" spans="1:40" x14ac:dyDescent="0.25">
      <c r="A220" t="s">
        <v>44</v>
      </c>
      <c r="B220" t="s">
        <v>45</v>
      </c>
      <c r="C220" s="121" t="s">
        <v>174</v>
      </c>
      <c r="D220" t="s">
        <v>194</v>
      </c>
      <c r="E220" t="s">
        <v>61</v>
      </c>
      <c r="F220">
        <v>1</v>
      </c>
      <c r="G220">
        <v>15</v>
      </c>
      <c r="H220" s="86">
        <v>45959.515767650497</v>
      </c>
      <c r="I220" s="86">
        <v>45959.587958229196</v>
      </c>
      <c r="J220" s="87">
        <v>1.73257388888889</v>
      </c>
      <c r="K220" s="69" t="s">
        <v>274</v>
      </c>
      <c r="L220" s="69"/>
      <c r="M220" s="71"/>
      <c r="N220" s="71"/>
      <c r="O220" s="71"/>
      <c r="P220" s="71" t="s">
        <v>275</v>
      </c>
      <c r="Q220" s="88">
        <v>0.15371453589193201</v>
      </c>
      <c r="R220" s="89" t="s">
        <v>276</v>
      </c>
      <c r="S220" s="89"/>
      <c r="T220">
        <v>9.8000000000000007</v>
      </c>
      <c r="U220" s="76">
        <v>0.2</v>
      </c>
      <c r="V220">
        <v>9.5</v>
      </c>
      <c r="W220" s="90">
        <v>0.1</v>
      </c>
      <c r="X220" s="90"/>
      <c r="Y220" s="71"/>
      <c r="Z220" s="71"/>
      <c r="AA220" s="71"/>
      <c r="AB220" s="71"/>
      <c r="AC220" s="71"/>
      <c r="AD220" s="71"/>
      <c r="AE220" s="71"/>
      <c r="AF220" s="71"/>
      <c r="AG220" s="82">
        <v>0</v>
      </c>
      <c r="AH220" s="76"/>
      <c r="AI220" s="76"/>
      <c r="AJ220" s="76"/>
      <c r="AK220" s="71">
        <v>0.15</v>
      </c>
      <c r="AL220" s="88">
        <v>3.3848190498164003E-2</v>
      </c>
      <c r="AM220" s="89">
        <f t="shared" si="3"/>
        <v>0.22565460332109336</v>
      </c>
      <c r="AN220" s="78"/>
    </row>
    <row r="221" spans="1:40" x14ac:dyDescent="0.25">
      <c r="A221" t="s">
        <v>44</v>
      </c>
      <c r="B221" t="s">
        <v>45</v>
      </c>
      <c r="C221" s="121" t="s">
        <v>174</v>
      </c>
      <c r="D221" t="s">
        <v>194</v>
      </c>
      <c r="E221" t="s">
        <v>61</v>
      </c>
      <c r="F221">
        <v>1</v>
      </c>
      <c r="G221">
        <v>16</v>
      </c>
      <c r="H221" s="86">
        <v>45959.587958229196</v>
      </c>
      <c r="I221" s="86">
        <v>45959.660146423601</v>
      </c>
      <c r="J221" s="87">
        <v>1.73251666666667</v>
      </c>
      <c r="K221" s="69" t="s">
        <v>274</v>
      </c>
      <c r="L221" s="69"/>
      <c r="M221" s="71"/>
      <c r="N221" s="71"/>
      <c r="O221" s="71"/>
      <c r="P221" s="71" t="s">
        <v>275</v>
      </c>
      <c r="Q221" s="88">
        <v>0.138338888818167</v>
      </c>
      <c r="R221" s="89" t="s">
        <v>276</v>
      </c>
      <c r="S221" s="89"/>
      <c r="T221">
        <v>9.3000000000000007</v>
      </c>
      <c r="U221" s="76">
        <v>0.2</v>
      </c>
      <c r="V221">
        <v>9.6999999999999993</v>
      </c>
      <c r="W221" s="90">
        <v>0.1</v>
      </c>
      <c r="X221" s="90"/>
      <c r="Y221" s="71"/>
      <c r="Z221" s="71"/>
      <c r="AA221" s="71"/>
      <c r="AB221" s="71"/>
      <c r="AC221" s="71"/>
      <c r="AD221" s="71"/>
      <c r="AE221" s="71"/>
      <c r="AF221" s="71"/>
      <c r="AG221" s="82">
        <v>0.6</v>
      </c>
      <c r="AH221" s="76"/>
      <c r="AI221" s="76"/>
      <c r="AJ221" s="76"/>
      <c r="AK221" s="71">
        <v>0.15</v>
      </c>
      <c r="AL221" s="88">
        <v>3.3848190498164003E-2</v>
      </c>
      <c r="AM221" s="89">
        <f t="shared" si="3"/>
        <v>0.22565460332109336</v>
      </c>
      <c r="AN221" s="78"/>
    </row>
    <row r="222" spans="1:40" x14ac:dyDescent="0.25">
      <c r="A222" t="s">
        <v>44</v>
      </c>
      <c r="B222" t="s">
        <v>45</v>
      </c>
      <c r="C222" s="121" t="s">
        <v>174</v>
      </c>
      <c r="D222" t="s">
        <v>194</v>
      </c>
      <c r="E222" t="s">
        <v>61</v>
      </c>
      <c r="F222">
        <v>1</v>
      </c>
      <c r="G222">
        <v>17</v>
      </c>
      <c r="H222" s="86">
        <v>45959.660146423601</v>
      </c>
      <c r="I222" s="86">
        <v>45959.732327060199</v>
      </c>
      <c r="J222" s="87">
        <v>1.7323352777777801</v>
      </c>
      <c r="K222" s="69" t="s">
        <v>274</v>
      </c>
      <c r="L222" s="69"/>
      <c r="M222" s="71"/>
      <c r="N222" s="71"/>
      <c r="O222" s="71"/>
      <c r="P222" s="71" t="s">
        <v>275</v>
      </c>
      <c r="Q222" s="88">
        <v>0.13746604897768699</v>
      </c>
      <c r="R222" s="89" t="s">
        <v>276</v>
      </c>
      <c r="S222" s="89"/>
      <c r="T222">
        <v>9.1999999999999993</v>
      </c>
      <c r="U222" s="76">
        <v>0.2</v>
      </c>
      <c r="V222">
        <v>9.8000000000000007</v>
      </c>
      <c r="W222" s="90">
        <v>0.1</v>
      </c>
      <c r="X222" s="90"/>
      <c r="Y222" s="71"/>
      <c r="Z222" s="71"/>
      <c r="AA222" s="71"/>
      <c r="AB222" s="71"/>
      <c r="AC222" s="71"/>
      <c r="AD222" s="71"/>
      <c r="AE222" s="71"/>
      <c r="AF222" s="71"/>
      <c r="AG222" s="82">
        <v>0</v>
      </c>
      <c r="AH222" s="76"/>
      <c r="AI222" s="76"/>
      <c r="AJ222" s="76"/>
      <c r="AK222" s="71">
        <v>0.15</v>
      </c>
      <c r="AL222" s="88">
        <v>3.3848190498164003E-2</v>
      </c>
      <c r="AM222" s="89">
        <f t="shared" si="3"/>
        <v>0.22565460332109336</v>
      </c>
      <c r="AN222" s="78"/>
    </row>
    <row r="223" spans="1:40" x14ac:dyDescent="0.25">
      <c r="A223" t="s">
        <v>44</v>
      </c>
      <c r="B223" t="s">
        <v>45</v>
      </c>
      <c r="C223" s="121" t="s">
        <v>174</v>
      </c>
      <c r="D223" t="s">
        <v>194</v>
      </c>
      <c r="E223" t="s">
        <v>61</v>
      </c>
      <c r="F223">
        <v>1</v>
      </c>
      <c r="G223">
        <v>18</v>
      </c>
      <c r="H223" s="86">
        <v>45959.732327060199</v>
      </c>
      <c r="I223" s="86">
        <v>45959.804508969901</v>
      </c>
      <c r="J223" s="87">
        <v>1.7323658333333301</v>
      </c>
      <c r="K223" s="69" t="s">
        <v>274</v>
      </c>
      <c r="L223" s="69"/>
      <c r="M223" s="71"/>
      <c r="N223" s="71"/>
      <c r="O223" s="71"/>
      <c r="P223" s="71" t="s">
        <v>275</v>
      </c>
      <c r="Q223" s="88">
        <v>0.158745905753952</v>
      </c>
      <c r="R223" s="89" t="s">
        <v>276</v>
      </c>
      <c r="S223" s="89"/>
      <c r="T223">
        <v>9</v>
      </c>
      <c r="U223" s="76">
        <v>0.2</v>
      </c>
      <c r="V223">
        <v>9.9</v>
      </c>
      <c r="W223" s="90">
        <v>0.1</v>
      </c>
      <c r="X223" s="90"/>
      <c r="Y223" s="71"/>
      <c r="Z223" s="71"/>
      <c r="AA223" s="71"/>
      <c r="AB223" s="71"/>
      <c r="AC223" s="71"/>
      <c r="AD223" s="71"/>
      <c r="AE223" s="71"/>
      <c r="AF223" s="71"/>
      <c r="AG223" s="82">
        <v>0</v>
      </c>
      <c r="AH223" s="76"/>
      <c r="AI223" s="76"/>
      <c r="AJ223" s="76"/>
      <c r="AK223" s="71">
        <v>0.15</v>
      </c>
      <c r="AL223" s="88">
        <v>3.3848190498164003E-2</v>
      </c>
      <c r="AM223" s="89">
        <f t="shared" si="3"/>
        <v>0.22565460332109336</v>
      </c>
      <c r="AN223" s="78"/>
    </row>
    <row r="224" spans="1:40" x14ac:dyDescent="0.25">
      <c r="A224" t="s">
        <v>44</v>
      </c>
      <c r="B224" t="s">
        <v>45</v>
      </c>
      <c r="C224" s="121" t="s">
        <v>174</v>
      </c>
      <c r="D224" t="s">
        <v>194</v>
      </c>
      <c r="E224" t="s">
        <v>61</v>
      </c>
      <c r="F224">
        <v>1</v>
      </c>
      <c r="G224">
        <v>19</v>
      </c>
      <c r="H224" s="86">
        <v>45959.804508969901</v>
      </c>
      <c r="I224" s="86">
        <v>45959.876693877297</v>
      </c>
      <c r="J224" s="87">
        <v>1.73243777777778</v>
      </c>
      <c r="K224" s="69" t="s">
        <v>274</v>
      </c>
      <c r="L224" s="69"/>
      <c r="M224" s="71"/>
      <c r="N224" s="71"/>
      <c r="O224" s="71"/>
      <c r="P224" s="71" t="s">
        <v>275</v>
      </c>
      <c r="Q224" s="88">
        <v>0.15961302702873501</v>
      </c>
      <c r="R224" s="89" t="s">
        <v>276</v>
      </c>
      <c r="S224" s="89"/>
      <c r="T224">
        <v>8.8000000000000007</v>
      </c>
      <c r="U224" s="76">
        <v>0.2</v>
      </c>
      <c r="V224">
        <v>9.9</v>
      </c>
      <c r="W224" s="90">
        <v>0.1</v>
      </c>
      <c r="X224" s="90"/>
      <c r="Y224" s="71"/>
      <c r="Z224" s="71"/>
      <c r="AA224" s="71"/>
      <c r="AB224" s="71"/>
      <c r="AC224" s="71"/>
      <c r="AD224" s="71"/>
      <c r="AE224" s="71"/>
      <c r="AF224" s="71"/>
      <c r="AG224" s="82">
        <v>0.1</v>
      </c>
      <c r="AH224" s="76"/>
      <c r="AI224" s="76"/>
      <c r="AJ224" s="76"/>
      <c r="AK224" s="71">
        <v>0.15</v>
      </c>
      <c r="AL224" s="88">
        <v>3.3848190498164003E-2</v>
      </c>
      <c r="AM224" s="89">
        <f t="shared" si="3"/>
        <v>0.22565460332109336</v>
      </c>
      <c r="AN224" s="78"/>
    </row>
    <row r="225" spans="1:40" x14ac:dyDescent="0.25">
      <c r="A225" t="s">
        <v>44</v>
      </c>
      <c r="B225" t="s">
        <v>45</v>
      </c>
      <c r="C225" s="121" t="s">
        <v>174</v>
      </c>
      <c r="D225" t="s">
        <v>194</v>
      </c>
      <c r="E225" t="s">
        <v>61</v>
      </c>
      <c r="F225">
        <v>1</v>
      </c>
      <c r="G225">
        <v>20</v>
      </c>
      <c r="H225" s="86">
        <v>45959.876693877297</v>
      </c>
      <c r="I225" s="86">
        <v>45959.948880590302</v>
      </c>
      <c r="J225" s="87">
        <v>1.73248111111111</v>
      </c>
      <c r="K225" s="69" t="s">
        <v>274</v>
      </c>
      <c r="L225" s="69"/>
      <c r="M225" s="71"/>
      <c r="N225" s="71"/>
      <c r="O225" s="71"/>
      <c r="P225" s="71" t="s">
        <v>275</v>
      </c>
      <c r="Q225" s="88">
        <v>0.15722860183953299</v>
      </c>
      <c r="R225" s="89" t="s">
        <v>276</v>
      </c>
      <c r="S225" s="89"/>
      <c r="T225">
        <v>9</v>
      </c>
      <c r="U225" s="76">
        <v>0.2</v>
      </c>
      <c r="V225">
        <v>9.9</v>
      </c>
      <c r="W225" s="90">
        <v>0.1</v>
      </c>
      <c r="X225" s="90"/>
      <c r="Y225" s="71"/>
      <c r="Z225" s="71"/>
      <c r="AA225" s="71"/>
      <c r="AB225" s="71"/>
      <c r="AC225" s="71"/>
      <c r="AD225" s="71"/>
      <c r="AE225" s="71"/>
      <c r="AF225" s="71"/>
      <c r="AG225" s="82">
        <v>0.1</v>
      </c>
      <c r="AH225" s="76"/>
      <c r="AI225" s="76"/>
      <c r="AJ225" s="76"/>
      <c r="AK225" s="71">
        <v>0.15</v>
      </c>
      <c r="AL225" s="88">
        <v>3.3848190498164003E-2</v>
      </c>
      <c r="AM225" s="89">
        <f t="shared" si="3"/>
        <v>0.22565460332109336</v>
      </c>
      <c r="AN225" s="78"/>
    </row>
    <row r="226" spans="1:40" x14ac:dyDescent="0.25">
      <c r="A226" t="s">
        <v>44</v>
      </c>
      <c r="B226" t="s">
        <v>45</v>
      </c>
      <c r="C226" s="121" t="s">
        <v>174</v>
      </c>
      <c r="D226" t="s">
        <v>194</v>
      </c>
      <c r="E226" t="s">
        <v>61</v>
      </c>
      <c r="F226">
        <v>1</v>
      </c>
      <c r="G226">
        <v>21</v>
      </c>
      <c r="H226" s="86">
        <v>45959.948880590302</v>
      </c>
      <c r="I226" s="86">
        <v>45960.021070219897</v>
      </c>
      <c r="J226" s="87">
        <v>1.73255111111111</v>
      </c>
      <c r="K226" s="69" t="s">
        <v>274</v>
      </c>
      <c r="L226" s="69"/>
      <c r="M226" s="71"/>
      <c r="N226" s="71"/>
      <c r="O226" s="71"/>
      <c r="P226" s="71" t="s">
        <v>275</v>
      </c>
      <c r="Q226" s="88">
        <v>0.15954479335343399</v>
      </c>
      <c r="R226" s="89" t="s">
        <v>276</v>
      </c>
      <c r="S226" s="89"/>
      <c r="T226">
        <v>8.8000000000000007</v>
      </c>
      <c r="U226" s="76">
        <v>0.2</v>
      </c>
      <c r="V226">
        <v>9.9</v>
      </c>
      <c r="W226" s="90">
        <v>0.1</v>
      </c>
      <c r="X226" s="90"/>
      <c r="Y226" s="71"/>
      <c r="Z226" s="71"/>
      <c r="AA226" s="71"/>
      <c r="AB226" s="71"/>
      <c r="AC226" s="71"/>
      <c r="AD226" s="71"/>
      <c r="AE226" s="71"/>
      <c r="AF226" s="71"/>
      <c r="AG226" s="82">
        <v>1</v>
      </c>
      <c r="AH226" s="76"/>
      <c r="AI226" s="76"/>
      <c r="AJ226" s="76"/>
      <c r="AK226" s="71">
        <v>0.15</v>
      </c>
      <c r="AL226" s="88">
        <v>3.3848190498164003E-2</v>
      </c>
      <c r="AM226" s="89">
        <f t="shared" si="3"/>
        <v>0.22565460332109336</v>
      </c>
      <c r="AN226" s="78"/>
    </row>
    <row r="227" spans="1:40" x14ac:dyDescent="0.25">
      <c r="A227" t="s">
        <v>44</v>
      </c>
      <c r="B227" t="s">
        <v>45</v>
      </c>
      <c r="C227" s="121" t="s">
        <v>174</v>
      </c>
      <c r="D227" t="s">
        <v>194</v>
      </c>
      <c r="E227" t="s">
        <v>61</v>
      </c>
      <c r="F227">
        <v>1</v>
      </c>
      <c r="G227">
        <v>22</v>
      </c>
      <c r="H227" s="86">
        <v>45960.021070219897</v>
      </c>
      <c r="I227" s="86">
        <v>45960.093257789398</v>
      </c>
      <c r="J227" s="87">
        <v>1.7325016666666699</v>
      </c>
      <c r="K227" s="69" t="s">
        <v>274</v>
      </c>
      <c r="L227" s="69"/>
      <c r="M227" s="71"/>
      <c r="N227" s="71"/>
      <c r="O227" s="71"/>
      <c r="P227" s="71" t="s">
        <v>275</v>
      </c>
      <c r="Q227" s="88">
        <v>0.15348961718353299</v>
      </c>
      <c r="R227" s="89" t="s">
        <v>276</v>
      </c>
      <c r="S227" s="89"/>
      <c r="T227">
        <v>8.6999999999999993</v>
      </c>
      <c r="U227" s="76">
        <v>0.2</v>
      </c>
      <c r="V227">
        <v>9.9</v>
      </c>
      <c r="W227" s="90">
        <v>0.1</v>
      </c>
      <c r="X227" s="90"/>
      <c r="Y227" s="71"/>
      <c r="Z227" s="71"/>
      <c r="AA227" s="71"/>
      <c r="AB227" s="71"/>
      <c r="AC227" s="71"/>
      <c r="AD227" s="71"/>
      <c r="AE227" s="71"/>
      <c r="AF227" s="71"/>
      <c r="AG227" s="82">
        <v>1.7</v>
      </c>
      <c r="AH227" s="76"/>
      <c r="AI227" s="76"/>
      <c r="AJ227" s="76"/>
      <c r="AK227" s="71">
        <v>0.15</v>
      </c>
      <c r="AL227" s="88">
        <v>3.3848190498164003E-2</v>
      </c>
      <c r="AM227" s="89">
        <f t="shared" si="3"/>
        <v>0.22565460332109336</v>
      </c>
      <c r="AN227" s="78"/>
    </row>
    <row r="228" spans="1:40" x14ac:dyDescent="0.25">
      <c r="A228" t="s">
        <v>44</v>
      </c>
      <c r="B228" t="s">
        <v>45</v>
      </c>
      <c r="C228" s="121" t="s">
        <v>174</v>
      </c>
      <c r="D228" t="s">
        <v>194</v>
      </c>
      <c r="E228" t="s">
        <v>61</v>
      </c>
      <c r="F228">
        <v>1</v>
      </c>
      <c r="G228">
        <v>23</v>
      </c>
      <c r="H228" s="86">
        <v>45960.093257789398</v>
      </c>
      <c r="I228" s="86">
        <v>45960.165445057901</v>
      </c>
      <c r="J228" s="87">
        <v>1.7324944444444399</v>
      </c>
      <c r="K228" s="69" t="s">
        <v>274</v>
      </c>
      <c r="L228" s="69"/>
      <c r="M228" s="71"/>
      <c r="N228" s="71"/>
      <c r="O228" s="71"/>
      <c r="P228" s="71" t="s">
        <v>275</v>
      </c>
      <c r="Q228" s="88">
        <v>0.14236251900285801</v>
      </c>
      <c r="R228" s="89" t="s">
        <v>276</v>
      </c>
      <c r="S228" s="89"/>
      <c r="T228">
        <v>8.6999999999999993</v>
      </c>
      <c r="U228" s="76">
        <v>0.2</v>
      </c>
      <c r="V228">
        <v>9.9</v>
      </c>
      <c r="W228" s="90">
        <v>0.1</v>
      </c>
      <c r="X228" s="90"/>
      <c r="Y228" s="71"/>
      <c r="Z228" s="71"/>
      <c r="AA228" s="71"/>
      <c r="AB228" s="71"/>
      <c r="AC228" s="71"/>
      <c r="AD228" s="71"/>
      <c r="AE228" s="71"/>
      <c r="AF228" s="71"/>
      <c r="AG228" s="82">
        <v>1.3</v>
      </c>
      <c r="AH228" s="76"/>
      <c r="AI228" s="76"/>
      <c r="AJ228" s="76"/>
      <c r="AK228" s="71">
        <v>0.15</v>
      </c>
      <c r="AL228" s="88">
        <v>3.3848190498164003E-2</v>
      </c>
      <c r="AM228" s="89">
        <f t="shared" si="3"/>
        <v>0.22565460332109336</v>
      </c>
      <c r="AN228" s="78"/>
    </row>
    <row r="229" spans="1:40" x14ac:dyDescent="0.25">
      <c r="A229" t="s">
        <v>44</v>
      </c>
      <c r="B229" t="s">
        <v>45</v>
      </c>
      <c r="C229" s="121" t="s">
        <v>174</v>
      </c>
      <c r="D229" t="s">
        <v>194</v>
      </c>
      <c r="E229" t="s">
        <v>61</v>
      </c>
      <c r="F229">
        <v>1</v>
      </c>
      <c r="G229">
        <v>24</v>
      </c>
      <c r="H229" s="86">
        <v>45960.165445057901</v>
      </c>
      <c r="I229" s="86">
        <v>45960.237626805603</v>
      </c>
      <c r="J229" s="87">
        <v>1.73236194444444</v>
      </c>
      <c r="K229" s="69" t="s">
        <v>274</v>
      </c>
      <c r="L229" s="69"/>
      <c r="M229" s="71"/>
      <c r="N229" s="71"/>
      <c r="O229" s="71"/>
      <c r="P229" s="71" t="s">
        <v>275</v>
      </c>
      <c r="Q229" s="88">
        <v>0.128772340498882</v>
      </c>
      <c r="R229" s="89" t="s">
        <v>276</v>
      </c>
      <c r="S229" s="89"/>
      <c r="T229">
        <v>8.6999999999999993</v>
      </c>
      <c r="U229" s="76">
        <v>0.2</v>
      </c>
      <c r="V229">
        <v>9.8000000000000007</v>
      </c>
      <c r="W229" s="90">
        <v>0.1</v>
      </c>
      <c r="X229" s="90"/>
      <c r="Y229" s="71"/>
      <c r="Z229" s="71"/>
      <c r="AA229" s="71"/>
      <c r="AB229" s="71"/>
      <c r="AC229" s="71"/>
      <c r="AD229" s="71"/>
      <c r="AE229" s="71"/>
      <c r="AF229" s="71"/>
      <c r="AG229" s="82">
        <v>3</v>
      </c>
      <c r="AH229" s="76"/>
      <c r="AI229" s="76"/>
      <c r="AJ229" s="76"/>
      <c r="AK229" s="71">
        <v>0.15</v>
      </c>
      <c r="AL229" s="88">
        <v>3.3848190498164003E-2</v>
      </c>
      <c r="AM229" s="89">
        <f t="shared" si="3"/>
        <v>0.22565460332109336</v>
      </c>
      <c r="AN229" s="78"/>
    </row>
    <row r="230" spans="1:40" x14ac:dyDescent="0.25">
      <c r="A230" t="s">
        <v>44</v>
      </c>
      <c r="B230" t="s">
        <v>45</v>
      </c>
      <c r="C230" s="121" t="s">
        <v>174</v>
      </c>
      <c r="D230" t="s">
        <v>194</v>
      </c>
      <c r="E230" t="s">
        <v>61</v>
      </c>
      <c r="F230">
        <v>1</v>
      </c>
      <c r="G230">
        <v>25</v>
      </c>
      <c r="H230" s="86">
        <v>45960.237626805603</v>
      </c>
      <c r="I230" s="86">
        <v>45960.309804791701</v>
      </c>
      <c r="J230" s="87">
        <v>1.73227166666667</v>
      </c>
      <c r="K230" s="69" t="s">
        <v>274</v>
      </c>
      <c r="L230" s="69"/>
      <c r="M230" s="71"/>
      <c r="N230" s="71"/>
      <c r="O230" s="71"/>
      <c r="P230" s="71" t="s">
        <v>275</v>
      </c>
      <c r="Q230" s="88">
        <v>0.115767124713128</v>
      </c>
      <c r="R230" s="89" t="s">
        <v>276</v>
      </c>
      <c r="S230" s="89"/>
      <c r="T230">
        <v>8.6</v>
      </c>
      <c r="U230" s="76">
        <v>0.2</v>
      </c>
      <c r="V230">
        <v>9.8000000000000007</v>
      </c>
      <c r="W230" s="90">
        <v>0.1</v>
      </c>
      <c r="X230" s="90"/>
      <c r="Y230" s="71"/>
      <c r="Z230" s="71"/>
      <c r="AA230" s="71"/>
      <c r="AB230" s="71"/>
      <c r="AC230" s="71"/>
      <c r="AD230" s="71"/>
      <c r="AE230" s="71"/>
      <c r="AF230" s="71"/>
      <c r="AG230" s="82">
        <v>1.2</v>
      </c>
      <c r="AH230" s="76"/>
      <c r="AI230" s="76"/>
      <c r="AJ230" s="76"/>
      <c r="AK230" s="71">
        <v>0.15</v>
      </c>
      <c r="AL230" s="88">
        <v>3.3848190498164003E-2</v>
      </c>
      <c r="AM230" s="89">
        <f t="shared" si="3"/>
        <v>0.22565460332109336</v>
      </c>
      <c r="AN230" s="78"/>
    </row>
    <row r="231" spans="1:40" x14ac:dyDescent="0.25">
      <c r="A231" t="s">
        <v>44</v>
      </c>
      <c r="B231" t="s">
        <v>45</v>
      </c>
      <c r="C231" s="121" t="s">
        <v>174</v>
      </c>
      <c r="D231" t="s">
        <v>194</v>
      </c>
      <c r="E231" t="s">
        <v>61</v>
      </c>
      <c r="F231">
        <v>1</v>
      </c>
      <c r="G231">
        <v>26</v>
      </c>
      <c r="H231" s="86">
        <v>45960.309804791701</v>
      </c>
      <c r="I231" s="86">
        <v>45960.381990358801</v>
      </c>
      <c r="J231" s="87">
        <v>1.73245361111111</v>
      </c>
      <c r="K231" s="69" t="s">
        <v>274</v>
      </c>
      <c r="L231" s="69"/>
      <c r="M231" s="71"/>
      <c r="N231" s="71"/>
      <c r="O231" s="71"/>
      <c r="P231" s="71" t="s">
        <v>275</v>
      </c>
      <c r="Q231" s="88">
        <v>0.107709738664403</v>
      </c>
      <c r="R231" s="89" t="s">
        <v>276</v>
      </c>
      <c r="S231" s="89"/>
      <c r="T231">
        <v>8</v>
      </c>
      <c r="U231" s="76">
        <v>0.2</v>
      </c>
      <c r="V231">
        <v>9.8000000000000007</v>
      </c>
      <c r="W231" s="90">
        <v>0.1</v>
      </c>
      <c r="X231" s="90"/>
      <c r="Y231" s="71"/>
      <c r="Z231" s="71"/>
      <c r="AA231" s="71"/>
      <c r="AB231" s="71"/>
      <c r="AC231" s="71"/>
      <c r="AD231" s="71"/>
      <c r="AE231" s="71"/>
      <c r="AF231" s="71"/>
      <c r="AG231" s="82">
        <v>0.1</v>
      </c>
      <c r="AH231" s="76"/>
      <c r="AI231" s="76"/>
      <c r="AJ231" s="76"/>
      <c r="AK231" s="71">
        <v>0.15</v>
      </c>
      <c r="AL231" s="88">
        <v>3.3848190498164003E-2</v>
      </c>
      <c r="AM231" s="89">
        <f t="shared" si="3"/>
        <v>0.22565460332109336</v>
      </c>
      <c r="AN231" s="78"/>
    </row>
    <row r="232" spans="1:40" x14ac:dyDescent="0.25">
      <c r="A232" t="s">
        <v>44</v>
      </c>
      <c r="B232" t="s">
        <v>45</v>
      </c>
      <c r="C232" s="121" t="s">
        <v>174</v>
      </c>
      <c r="D232" t="s">
        <v>194</v>
      </c>
      <c r="E232" t="s">
        <v>61</v>
      </c>
      <c r="F232">
        <v>1</v>
      </c>
      <c r="G232">
        <v>27</v>
      </c>
      <c r="H232" s="86">
        <v>45960.381990358801</v>
      </c>
      <c r="I232" s="86">
        <v>45960.454182152796</v>
      </c>
      <c r="J232" s="87">
        <v>1.73260305555556</v>
      </c>
      <c r="K232" s="69" t="s">
        <v>274</v>
      </c>
      <c r="L232" s="69"/>
      <c r="M232" s="71"/>
      <c r="N232" s="71"/>
      <c r="O232" s="71"/>
      <c r="P232" s="71" t="s">
        <v>275</v>
      </c>
      <c r="Q232" s="88">
        <v>9.5561484574415406E-2</v>
      </c>
      <c r="R232" s="89" t="s">
        <v>276</v>
      </c>
      <c r="S232" s="89"/>
      <c r="T232">
        <v>8</v>
      </c>
      <c r="U232" s="76">
        <v>0.2</v>
      </c>
      <c r="V232">
        <v>9.8000000000000007</v>
      </c>
      <c r="W232" s="90">
        <v>0.1</v>
      </c>
      <c r="X232" s="90"/>
      <c r="Y232" s="71"/>
      <c r="Z232" s="71"/>
      <c r="AA232" s="71"/>
      <c r="AB232" s="71"/>
      <c r="AC232" s="71"/>
      <c r="AD232" s="71"/>
      <c r="AE232" s="71"/>
      <c r="AF232" s="71"/>
      <c r="AG232" s="82">
        <v>0.5</v>
      </c>
      <c r="AH232" s="76"/>
      <c r="AI232" s="76"/>
      <c r="AJ232" s="76"/>
      <c r="AK232" s="71">
        <v>0.15</v>
      </c>
      <c r="AL232" s="88">
        <v>3.3848190498164003E-2</v>
      </c>
      <c r="AM232" s="89">
        <f t="shared" si="3"/>
        <v>0.22565460332109336</v>
      </c>
      <c r="AN232" s="78"/>
    </row>
    <row r="233" spans="1:40" x14ac:dyDescent="0.25">
      <c r="A233" t="s">
        <v>44</v>
      </c>
      <c r="B233" t="s">
        <v>45</v>
      </c>
      <c r="C233" s="121" t="s">
        <v>174</v>
      </c>
      <c r="D233" t="s">
        <v>194</v>
      </c>
      <c r="E233" t="s">
        <v>61</v>
      </c>
      <c r="F233">
        <v>1</v>
      </c>
      <c r="G233">
        <v>28</v>
      </c>
      <c r="H233" s="86">
        <v>45960.454182152796</v>
      </c>
      <c r="I233" s="86">
        <v>45960.5263793634</v>
      </c>
      <c r="J233" s="87">
        <v>1.73273305555556</v>
      </c>
      <c r="K233" s="69" t="s">
        <v>274</v>
      </c>
      <c r="L233" s="69"/>
      <c r="M233" s="71"/>
      <c r="N233" s="71"/>
      <c r="O233" s="71"/>
      <c r="P233" s="71" t="s">
        <v>275</v>
      </c>
      <c r="Q233" s="88">
        <v>0.138095922243472</v>
      </c>
      <c r="R233" s="89" t="s">
        <v>276</v>
      </c>
      <c r="S233" s="89"/>
      <c r="T233">
        <v>8.1</v>
      </c>
      <c r="U233" s="76">
        <v>0.2</v>
      </c>
      <c r="V233">
        <v>9.8000000000000007</v>
      </c>
      <c r="W233" s="90">
        <v>0.1</v>
      </c>
      <c r="X233" s="90"/>
      <c r="Y233" s="71"/>
      <c r="Z233" s="71"/>
      <c r="AA233" s="71"/>
      <c r="AB233" s="71"/>
      <c r="AC233" s="71"/>
      <c r="AD233" s="71"/>
      <c r="AE233" s="71"/>
      <c r="AF233" s="71"/>
      <c r="AG233" s="82">
        <v>0</v>
      </c>
      <c r="AH233" s="76"/>
      <c r="AI233" s="76"/>
      <c r="AJ233" s="76"/>
      <c r="AK233" s="71">
        <v>0.15</v>
      </c>
      <c r="AL233" s="88">
        <v>3.3848190498164003E-2</v>
      </c>
      <c r="AM233" s="89">
        <f t="shared" si="3"/>
        <v>0.22565460332109336</v>
      </c>
      <c r="AN233" s="78"/>
    </row>
    <row r="234" spans="1:40" x14ac:dyDescent="0.25">
      <c r="A234" t="s">
        <v>44</v>
      </c>
      <c r="B234" t="s">
        <v>45</v>
      </c>
      <c r="C234" s="121" t="s">
        <v>174</v>
      </c>
      <c r="D234" t="s">
        <v>194</v>
      </c>
      <c r="E234" t="s">
        <v>61</v>
      </c>
      <c r="F234">
        <v>1</v>
      </c>
      <c r="G234">
        <v>29</v>
      </c>
      <c r="H234" s="86">
        <v>45960.5263793634</v>
      </c>
      <c r="I234" s="86">
        <v>45960.598559444399</v>
      </c>
      <c r="J234" s="87">
        <v>1.73232194444445</v>
      </c>
      <c r="K234" s="69" t="s">
        <v>274</v>
      </c>
      <c r="L234" s="69"/>
      <c r="M234" s="71"/>
      <c r="N234" s="71"/>
      <c r="O234" s="71"/>
      <c r="P234" s="71" t="s">
        <v>275</v>
      </c>
      <c r="Q234" s="88">
        <v>0.145193091446603</v>
      </c>
      <c r="R234" s="89" t="s">
        <v>276</v>
      </c>
      <c r="S234" s="89"/>
      <c r="T234">
        <v>11</v>
      </c>
      <c r="U234" s="76">
        <v>0.2</v>
      </c>
      <c r="V234">
        <v>9.8000000000000007</v>
      </c>
      <c r="W234" s="90">
        <v>0.1</v>
      </c>
      <c r="X234" s="90"/>
      <c r="Y234" s="71"/>
      <c r="Z234" s="71"/>
      <c r="AA234" s="71"/>
      <c r="AB234" s="71"/>
      <c r="AC234" s="71"/>
      <c r="AD234" s="71"/>
      <c r="AE234" s="71"/>
      <c r="AF234" s="71"/>
      <c r="AG234" s="82">
        <v>0</v>
      </c>
      <c r="AH234" s="76"/>
      <c r="AI234" s="76"/>
      <c r="AJ234" s="76"/>
      <c r="AK234" s="71">
        <v>0.15</v>
      </c>
      <c r="AL234" s="88">
        <v>3.3848190498164003E-2</v>
      </c>
      <c r="AM234" s="89">
        <f t="shared" si="3"/>
        <v>0.22565460332109336</v>
      </c>
      <c r="AN234" s="78"/>
    </row>
    <row r="235" spans="1:40" x14ac:dyDescent="0.25">
      <c r="A235" t="s">
        <v>44</v>
      </c>
      <c r="B235" t="s">
        <v>45</v>
      </c>
      <c r="C235" s="121" t="s">
        <v>174</v>
      </c>
      <c r="D235" t="s">
        <v>194</v>
      </c>
      <c r="E235" t="s">
        <v>61</v>
      </c>
      <c r="F235">
        <v>1</v>
      </c>
      <c r="G235">
        <v>30</v>
      </c>
      <c r="H235" s="86">
        <v>45960.598559444399</v>
      </c>
      <c r="I235" s="86">
        <v>45960.670729016201</v>
      </c>
      <c r="J235" s="87">
        <v>1.7320697222222201</v>
      </c>
      <c r="K235" s="69" t="s">
        <v>274</v>
      </c>
      <c r="L235" s="69"/>
      <c r="M235" s="71"/>
      <c r="N235" s="71"/>
      <c r="O235" s="71"/>
      <c r="P235" s="71" t="s">
        <v>275</v>
      </c>
      <c r="Q235" s="88">
        <v>7.7431527534237293E-2</v>
      </c>
      <c r="R235" s="89" t="s">
        <v>276</v>
      </c>
      <c r="S235" s="89"/>
      <c r="T235">
        <v>10.6</v>
      </c>
      <c r="U235" s="76">
        <v>0.2</v>
      </c>
      <c r="V235">
        <v>9.9</v>
      </c>
      <c r="W235" s="90">
        <v>0.1</v>
      </c>
      <c r="X235" s="90"/>
      <c r="Y235" s="71"/>
      <c r="Z235" s="71"/>
      <c r="AA235" s="71"/>
      <c r="AB235" s="71"/>
      <c r="AC235" s="71"/>
      <c r="AD235" s="71"/>
      <c r="AE235" s="71"/>
      <c r="AF235" s="71"/>
      <c r="AG235" s="82">
        <v>0</v>
      </c>
      <c r="AH235" s="76"/>
      <c r="AI235" s="76"/>
      <c r="AJ235" s="76"/>
      <c r="AK235" s="71">
        <v>0.15</v>
      </c>
      <c r="AL235" s="88">
        <v>3.3848190498164003E-2</v>
      </c>
      <c r="AM235" s="89">
        <f t="shared" si="3"/>
        <v>0.22565460332109336</v>
      </c>
      <c r="AN235" s="78"/>
    </row>
    <row r="236" spans="1:40" x14ac:dyDescent="0.25">
      <c r="A236" t="s">
        <v>44</v>
      </c>
      <c r="B236" t="s">
        <v>45</v>
      </c>
      <c r="C236" s="121" t="s">
        <v>174</v>
      </c>
      <c r="D236" t="s">
        <v>194</v>
      </c>
      <c r="E236" t="s">
        <v>61</v>
      </c>
      <c r="F236">
        <v>1</v>
      </c>
      <c r="G236">
        <v>31</v>
      </c>
      <c r="H236" s="86">
        <v>45960.670729016201</v>
      </c>
      <c r="I236" s="86">
        <v>45960.742920046301</v>
      </c>
      <c r="J236" s="87">
        <v>1.7325847222222199</v>
      </c>
      <c r="K236" s="69" t="s">
        <v>274</v>
      </c>
      <c r="L236" s="69"/>
      <c r="M236" s="71"/>
      <c r="N236" s="71"/>
      <c r="O236" s="71"/>
      <c r="P236" s="71" t="s">
        <v>275</v>
      </c>
      <c r="Q236" s="88">
        <v>3.5023925976664497E-2</v>
      </c>
      <c r="R236" s="89" t="s">
        <v>276</v>
      </c>
      <c r="S236" s="89"/>
      <c r="T236">
        <v>7</v>
      </c>
      <c r="U236" s="76">
        <v>0.2</v>
      </c>
      <c r="V236">
        <v>10</v>
      </c>
      <c r="W236" s="90">
        <v>0.1</v>
      </c>
      <c r="X236" s="90"/>
      <c r="Y236" s="71"/>
      <c r="Z236" s="71"/>
      <c r="AA236" s="71"/>
      <c r="AB236" s="71"/>
      <c r="AC236" s="71"/>
      <c r="AD236" s="71"/>
      <c r="AE236" s="71"/>
      <c r="AF236" s="71"/>
      <c r="AG236" s="82">
        <v>0</v>
      </c>
      <c r="AH236" s="76"/>
      <c r="AI236" s="76"/>
      <c r="AJ236" s="76"/>
      <c r="AK236" s="71">
        <v>0.15</v>
      </c>
      <c r="AL236" s="88">
        <v>3.3848190498164003E-2</v>
      </c>
      <c r="AM236" s="89">
        <f t="shared" si="3"/>
        <v>0.22565460332109336</v>
      </c>
      <c r="AN236" s="78"/>
    </row>
    <row r="237" spans="1:40" x14ac:dyDescent="0.25">
      <c r="A237" t="s">
        <v>44</v>
      </c>
      <c r="B237" t="s">
        <v>45</v>
      </c>
      <c r="C237" s="121" t="s">
        <v>174</v>
      </c>
      <c r="D237" t="s">
        <v>194</v>
      </c>
      <c r="E237" t="s">
        <v>61</v>
      </c>
      <c r="F237">
        <v>1</v>
      </c>
      <c r="G237">
        <v>32</v>
      </c>
      <c r="H237" s="86">
        <v>45960.742920046301</v>
      </c>
      <c r="I237" s="86">
        <v>45960.8151030671</v>
      </c>
      <c r="J237" s="87">
        <v>1.7323925</v>
      </c>
      <c r="K237" s="69" t="s">
        <v>274</v>
      </c>
      <c r="L237" s="69"/>
      <c r="M237" s="71"/>
      <c r="N237" s="71"/>
      <c r="O237" s="71"/>
      <c r="P237" s="71" t="s">
        <v>275</v>
      </c>
      <c r="Q237" s="88">
        <v>1.8956531107269099E-2</v>
      </c>
      <c r="R237" s="89" t="s">
        <v>276</v>
      </c>
      <c r="S237" s="89"/>
      <c r="T237">
        <v>3.1</v>
      </c>
      <c r="U237" s="76">
        <v>0.2</v>
      </c>
      <c r="V237">
        <v>9.9</v>
      </c>
      <c r="W237" s="90">
        <v>0.1</v>
      </c>
      <c r="X237" s="90"/>
      <c r="Y237" s="71"/>
      <c r="Z237" s="71"/>
      <c r="AA237" s="71"/>
      <c r="AB237" s="71"/>
      <c r="AC237" s="71"/>
      <c r="AD237" s="71"/>
      <c r="AE237" s="71"/>
      <c r="AF237" s="71"/>
      <c r="AG237" s="82">
        <v>0</v>
      </c>
      <c r="AH237" s="76"/>
      <c r="AI237" s="76"/>
      <c r="AJ237" s="76"/>
      <c r="AK237" s="71">
        <v>0.15</v>
      </c>
      <c r="AL237" s="88">
        <v>3.3848190498164003E-2</v>
      </c>
      <c r="AM237" s="89">
        <f t="shared" si="3"/>
        <v>0.22565460332109336</v>
      </c>
      <c r="AN237" s="78"/>
    </row>
    <row r="238" spans="1:40" x14ac:dyDescent="0.25">
      <c r="A238" t="s">
        <v>44</v>
      </c>
      <c r="B238" t="s">
        <v>45</v>
      </c>
      <c r="C238" s="121" t="s">
        <v>174</v>
      </c>
      <c r="D238" t="s">
        <v>194</v>
      </c>
      <c r="E238" t="s">
        <v>61</v>
      </c>
      <c r="F238">
        <v>1</v>
      </c>
      <c r="G238">
        <v>33</v>
      </c>
      <c r="H238" s="86">
        <v>45960.8151030671</v>
      </c>
      <c r="I238" s="86">
        <v>45960.887276342597</v>
      </c>
      <c r="J238" s="87">
        <v>1.73215861111111</v>
      </c>
      <c r="K238" s="69" t="s">
        <v>274</v>
      </c>
      <c r="L238" s="69"/>
      <c r="M238" s="71"/>
      <c r="N238" s="71"/>
      <c r="O238" s="71"/>
      <c r="P238" s="71" t="s">
        <v>275</v>
      </c>
      <c r="Q238" s="88">
        <v>1.77620997571536E-2</v>
      </c>
      <c r="R238" s="89" t="s">
        <v>276</v>
      </c>
      <c r="S238" s="89"/>
      <c r="T238">
        <v>3.1</v>
      </c>
      <c r="U238" s="76">
        <v>0.2</v>
      </c>
      <c r="V238">
        <v>9.6999999999999993</v>
      </c>
      <c r="W238" s="90">
        <v>0.1</v>
      </c>
      <c r="X238" s="90"/>
      <c r="Y238" s="71"/>
      <c r="Z238" s="71"/>
      <c r="AA238" s="71"/>
      <c r="AB238" s="71"/>
      <c r="AC238" s="71"/>
      <c r="AD238" s="71"/>
      <c r="AE238" s="71"/>
      <c r="AF238" s="71"/>
      <c r="AG238" s="82">
        <v>0</v>
      </c>
      <c r="AH238" s="76"/>
      <c r="AI238" s="76"/>
      <c r="AJ238" s="76"/>
      <c r="AK238" s="71">
        <v>0.15</v>
      </c>
      <c r="AL238" s="88">
        <v>3.3848190498164003E-2</v>
      </c>
      <c r="AM238" s="89">
        <f t="shared" si="3"/>
        <v>0.22565460332109336</v>
      </c>
      <c r="AN238" s="78"/>
    </row>
    <row r="239" spans="1:40" x14ac:dyDescent="0.25">
      <c r="A239" t="s">
        <v>44</v>
      </c>
      <c r="B239" t="s">
        <v>45</v>
      </c>
      <c r="C239" s="121" t="s">
        <v>174</v>
      </c>
      <c r="D239" t="s">
        <v>194</v>
      </c>
      <c r="E239" t="s">
        <v>61</v>
      </c>
      <c r="F239">
        <v>1</v>
      </c>
      <c r="G239">
        <v>34</v>
      </c>
      <c r="H239" s="86">
        <v>45960.887276342597</v>
      </c>
      <c r="I239" s="86">
        <v>45960.959469027803</v>
      </c>
      <c r="J239" s="87">
        <v>1.7326244444444501</v>
      </c>
      <c r="K239" s="69" t="s">
        <v>274</v>
      </c>
      <c r="L239" s="69"/>
      <c r="M239" s="71"/>
      <c r="N239" s="71"/>
      <c r="O239" s="71"/>
      <c r="P239" s="71" t="s">
        <v>275</v>
      </c>
      <c r="Q239" s="88">
        <v>1.8700236973050999E-2</v>
      </c>
      <c r="R239" s="89" t="s">
        <v>276</v>
      </c>
      <c r="S239" s="89"/>
      <c r="T239">
        <v>3.4</v>
      </c>
      <c r="U239" s="76">
        <v>0.2</v>
      </c>
      <c r="V239">
        <v>9.6</v>
      </c>
      <c r="W239" s="90">
        <v>0.1</v>
      </c>
      <c r="X239" s="90"/>
      <c r="Y239" s="71"/>
      <c r="Z239" s="71"/>
      <c r="AA239" s="71"/>
      <c r="AB239" s="71"/>
      <c r="AC239" s="71"/>
      <c r="AD239" s="71"/>
      <c r="AE239" s="71"/>
      <c r="AF239" s="71"/>
      <c r="AG239" s="82">
        <v>0</v>
      </c>
      <c r="AH239" s="76"/>
      <c r="AI239" s="76"/>
      <c r="AJ239" s="76"/>
      <c r="AK239" s="71">
        <v>0.15</v>
      </c>
      <c r="AL239" s="88">
        <v>3.3848190498164003E-2</v>
      </c>
      <c r="AM239" s="89">
        <f t="shared" si="3"/>
        <v>0.22565460332109336</v>
      </c>
      <c r="AN239" s="78"/>
    </row>
    <row r="240" spans="1:40" x14ac:dyDescent="0.25">
      <c r="A240" t="s">
        <v>44</v>
      </c>
      <c r="B240" t="s">
        <v>45</v>
      </c>
      <c r="C240" s="121" t="s">
        <v>174</v>
      </c>
      <c r="D240" t="s">
        <v>194</v>
      </c>
      <c r="E240" t="s">
        <v>61</v>
      </c>
      <c r="F240">
        <v>1</v>
      </c>
      <c r="G240">
        <v>35</v>
      </c>
      <c r="H240" s="86">
        <v>45960.959469027803</v>
      </c>
      <c r="I240" s="86">
        <v>45961.031647430602</v>
      </c>
      <c r="J240" s="87">
        <v>1.7322816666666701</v>
      </c>
      <c r="K240" s="69" t="s">
        <v>274</v>
      </c>
      <c r="L240" s="69"/>
      <c r="M240" s="71"/>
      <c r="N240" s="71"/>
      <c r="O240" s="71"/>
      <c r="P240" s="71" t="s">
        <v>275</v>
      </c>
      <c r="Q240" s="88">
        <v>2.1886725586612501E-2</v>
      </c>
      <c r="R240" s="89" t="s">
        <v>276</v>
      </c>
      <c r="S240" s="89"/>
      <c r="T240">
        <v>2.7</v>
      </c>
      <c r="U240" s="76">
        <v>0.2</v>
      </c>
      <c r="V240">
        <v>9.3000000000000007</v>
      </c>
      <c r="W240" s="90">
        <v>0.1</v>
      </c>
      <c r="X240" s="90"/>
      <c r="Y240" s="71"/>
      <c r="Z240" s="71"/>
      <c r="AA240" s="71"/>
      <c r="AB240" s="71"/>
      <c r="AC240" s="71"/>
      <c r="AD240" s="71"/>
      <c r="AE240" s="71"/>
      <c r="AF240" s="71"/>
      <c r="AG240" s="82">
        <v>0</v>
      </c>
      <c r="AH240" s="76"/>
      <c r="AI240" s="76"/>
      <c r="AJ240" s="76"/>
      <c r="AK240" s="71">
        <v>0.15</v>
      </c>
      <c r="AL240" s="88">
        <v>3.3848190498164003E-2</v>
      </c>
      <c r="AM240" s="89">
        <f t="shared" si="3"/>
        <v>0.22565460332109336</v>
      </c>
      <c r="AN240" s="78"/>
    </row>
    <row r="241" spans="1:40" x14ac:dyDescent="0.25">
      <c r="A241" t="s">
        <v>44</v>
      </c>
      <c r="B241" t="s">
        <v>45</v>
      </c>
      <c r="C241" s="121" t="s">
        <v>174</v>
      </c>
      <c r="D241" t="s">
        <v>194</v>
      </c>
      <c r="E241" t="s">
        <v>61</v>
      </c>
      <c r="F241">
        <v>1</v>
      </c>
      <c r="G241">
        <v>36</v>
      </c>
      <c r="H241" s="86">
        <v>45961.031647430602</v>
      </c>
      <c r="I241" s="86">
        <v>45961.103835358801</v>
      </c>
      <c r="J241" s="87">
        <v>1.7325102777777801</v>
      </c>
      <c r="K241" s="69" t="s">
        <v>274</v>
      </c>
      <c r="L241" s="69"/>
      <c r="M241" s="71"/>
      <c r="N241" s="71"/>
      <c r="O241" s="71"/>
      <c r="P241" s="71" t="s">
        <v>275</v>
      </c>
      <c r="Q241" s="88">
        <v>2.0376392660952199E-2</v>
      </c>
      <c r="R241" s="89" t="s">
        <v>276</v>
      </c>
      <c r="S241" s="89"/>
      <c r="T241">
        <v>3.4</v>
      </c>
      <c r="U241" s="76">
        <v>0.2</v>
      </c>
      <c r="V241">
        <v>9.1</v>
      </c>
      <c r="W241" s="90">
        <v>0.1</v>
      </c>
      <c r="X241" s="90"/>
      <c r="Y241" s="71"/>
      <c r="Z241" s="71"/>
      <c r="AA241" s="71"/>
      <c r="AB241" s="71"/>
      <c r="AC241" s="71"/>
      <c r="AD241" s="71"/>
      <c r="AE241" s="71"/>
      <c r="AF241" s="71"/>
      <c r="AG241" s="82">
        <v>0</v>
      </c>
      <c r="AH241" s="76"/>
      <c r="AI241" s="76"/>
      <c r="AJ241" s="76"/>
      <c r="AK241" s="71">
        <v>0.15</v>
      </c>
      <c r="AL241" s="88">
        <v>3.3848190498164003E-2</v>
      </c>
      <c r="AM241" s="89">
        <f t="shared" si="3"/>
        <v>0.22565460332109336</v>
      </c>
      <c r="AN241" s="78"/>
    </row>
    <row r="242" spans="1:40" x14ac:dyDescent="0.25">
      <c r="A242" t="s">
        <v>44</v>
      </c>
      <c r="B242" t="s">
        <v>45</v>
      </c>
      <c r="C242" s="121" t="s">
        <v>174</v>
      </c>
      <c r="D242" t="s">
        <v>194</v>
      </c>
      <c r="E242" t="s">
        <v>61</v>
      </c>
      <c r="F242">
        <v>1</v>
      </c>
      <c r="G242">
        <v>37</v>
      </c>
      <c r="H242" s="86">
        <v>45961.103835358801</v>
      </c>
      <c r="I242" s="86">
        <v>45961.176021597203</v>
      </c>
      <c r="J242" s="87">
        <v>1.7324697222222201</v>
      </c>
      <c r="K242" s="69" t="s">
        <v>274</v>
      </c>
      <c r="L242" s="69"/>
      <c r="M242" s="71"/>
      <c r="N242" s="71"/>
      <c r="O242" s="71"/>
      <c r="P242" s="71" t="s">
        <v>275</v>
      </c>
      <c r="Q242" s="88">
        <v>2.6101110442284501E-2</v>
      </c>
      <c r="R242" s="89" t="s">
        <v>276</v>
      </c>
      <c r="S242" s="89"/>
      <c r="T242">
        <v>4.8</v>
      </c>
      <c r="U242" s="76">
        <v>0.2</v>
      </c>
      <c r="V242">
        <v>9</v>
      </c>
      <c r="W242" s="90">
        <v>0.1</v>
      </c>
      <c r="X242" s="90"/>
      <c r="Y242" s="71"/>
      <c r="Z242" s="71"/>
      <c r="AA242" s="71"/>
      <c r="AB242" s="71"/>
      <c r="AC242" s="71"/>
      <c r="AD242" s="71"/>
      <c r="AE242" s="71"/>
      <c r="AF242" s="71"/>
      <c r="AG242" s="82">
        <v>0</v>
      </c>
      <c r="AH242" s="76"/>
      <c r="AI242" s="76"/>
      <c r="AJ242" s="76"/>
      <c r="AK242" s="71">
        <v>0.15</v>
      </c>
      <c r="AL242" s="88">
        <v>3.3848190498164003E-2</v>
      </c>
      <c r="AM242" s="89">
        <f t="shared" si="3"/>
        <v>0.22565460332109336</v>
      </c>
      <c r="AN242" s="78"/>
    </row>
    <row r="243" spans="1:40" x14ac:dyDescent="0.25">
      <c r="A243" t="s">
        <v>44</v>
      </c>
      <c r="B243" t="s">
        <v>45</v>
      </c>
      <c r="C243" s="121" t="s">
        <v>174</v>
      </c>
      <c r="D243" t="s">
        <v>194</v>
      </c>
      <c r="E243" t="s">
        <v>61</v>
      </c>
      <c r="F243">
        <v>1</v>
      </c>
      <c r="G243">
        <v>38</v>
      </c>
      <c r="H243" s="86">
        <v>45961.176021597203</v>
      </c>
      <c r="I243" s="86">
        <v>45961.248210358797</v>
      </c>
      <c r="J243" s="87">
        <v>1.73253027777778</v>
      </c>
      <c r="K243" s="69" t="s">
        <v>274</v>
      </c>
      <c r="L243" s="69"/>
      <c r="M243" s="71"/>
      <c r="N243" s="71"/>
      <c r="O243" s="71"/>
      <c r="P243" s="71" t="s">
        <v>275</v>
      </c>
      <c r="Q243" s="88">
        <v>2.80551270834495E-2</v>
      </c>
      <c r="R243" s="89" t="s">
        <v>276</v>
      </c>
      <c r="S243" s="89"/>
      <c r="T243">
        <v>4.2</v>
      </c>
      <c r="U243" s="76">
        <v>0.2</v>
      </c>
      <c r="V243">
        <v>9</v>
      </c>
      <c r="W243" s="90">
        <v>0.1</v>
      </c>
      <c r="X243" s="90"/>
      <c r="Y243" s="71"/>
      <c r="Z243" s="71"/>
      <c r="AA243" s="71"/>
      <c r="AB243" s="71"/>
      <c r="AC243" s="71"/>
      <c r="AD243" s="71"/>
      <c r="AE243" s="71"/>
      <c r="AF243" s="71"/>
      <c r="AG243" s="82">
        <v>0</v>
      </c>
      <c r="AH243" s="76"/>
      <c r="AI243" s="76"/>
      <c r="AJ243" s="76"/>
      <c r="AK243" s="71">
        <v>0.15</v>
      </c>
      <c r="AL243" s="88">
        <v>3.3848190498164003E-2</v>
      </c>
      <c r="AM243" s="89">
        <f t="shared" si="3"/>
        <v>0.22565460332109336</v>
      </c>
      <c r="AN243" s="78"/>
    </row>
    <row r="244" spans="1:40" x14ac:dyDescent="0.25">
      <c r="A244" t="s">
        <v>44</v>
      </c>
      <c r="B244" t="s">
        <v>45</v>
      </c>
      <c r="C244" s="121" t="s">
        <v>174</v>
      </c>
      <c r="D244" t="s">
        <v>194</v>
      </c>
      <c r="E244" t="s">
        <v>61</v>
      </c>
      <c r="F244">
        <v>1</v>
      </c>
      <c r="G244">
        <v>39</v>
      </c>
      <c r="H244" s="86">
        <v>45961.248210358797</v>
      </c>
      <c r="I244" s="86">
        <v>45961.320390162</v>
      </c>
      <c r="J244" s="87">
        <v>1.7323152777777799</v>
      </c>
      <c r="K244" s="69" t="s">
        <v>274</v>
      </c>
      <c r="L244" s="69"/>
      <c r="M244" s="71"/>
      <c r="N244" s="71"/>
      <c r="O244" s="71"/>
      <c r="P244" s="71" t="s">
        <v>275</v>
      </c>
      <c r="Q244" s="88">
        <v>2.3988490065535901E-2</v>
      </c>
      <c r="R244" s="89" t="s">
        <v>276</v>
      </c>
      <c r="S244" s="89"/>
      <c r="T244">
        <v>3.9</v>
      </c>
      <c r="U244" s="76">
        <v>0.2</v>
      </c>
      <c r="V244">
        <v>8.9</v>
      </c>
      <c r="W244" s="90">
        <v>0.1</v>
      </c>
      <c r="X244" s="90"/>
      <c r="Y244" s="71"/>
      <c r="Z244" s="71"/>
      <c r="AA244" s="71"/>
      <c r="AB244" s="71"/>
      <c r="AC244" s="71"/>
      <c r="AD244" s="71"/>
      <c r="AE244" s="71"/>
      <c r="AF244" s="71"/>
      <c r="AG244" s="82">
        <v>0</v>
      </c>
      <c r="AH244" s="76"/>
      <c r="AI244" s="76"/>
      <c r="AJ244" s="76"/>
      <c r="AK244" s="71">
        <v>0.15</v>
      </c>
      <c r="AL244" s="88">
        <v>3.3848190498164003E-2</v>
      </c>
      <c r="AM244" s="89">
        <f t="shared" si="3"/>
        <v>0.22565460332109336</v>
      </c>
      <c r="AN244" s="78"/>
    </row>
    <row r="245" spans="1:40" x14ac:dyDescent="0.25">
      <c r="A245" t="s">
        <v>44</v>
      </c>
      <c r="B245" t="s">
        <v>45</v>
      </c>
      <c r="C245" s="121" t="s">
        <v>174</v>
      </c>
      <c r="D245" t="s">
        <v>194</v>
      </c>
      <c r="E245" t="s">
        <v>61</v>
      </c>
      <c r="F245">
        <v>1</v>
      </c>
      <c r="G245">
        <v>40</v>
      </c>
      <c r="H245" s="86">
        <v>45961.320390162</v>
      </c>
      <c r="I245" s="86">
        <v>45961.392561979199</v>
      </c>
      <c r="J245" s="87">
        <v>1.73212361111111</v>
      </c>
      <c r="K245" s="69" t="s">
        <v>274</v>
      </c>
      <c r="L245" s="69"/>
      <c r="M245" s="71"/>
      <c r="N245" s="71"/>
      <c r="O245" s="71"/>
      <c r="P245" s="71" t="s">
        <v>275</v>
      </c>
      <c r="Q245" s="88">
        <v>2.13129674741208E-2</v>
      </c>
      <c r="R245" s="89" t="s">
        <v>276</v>
      </c>
      <c r="S245" s="89"/>
      <c r="T245">
        <v>4.7</v>
      </c>
      <c r="U245" s="76">
        <v>0.2</v>
      </c>
      <c r="V245">
        <v>8.8000000000000007</v>
      </c>
      <c r="W245" s="90">
        <v>0.1</v>
      </c>
      <c r="X245" s="90"/>
      <c r="Y245" s="71"/>
      <c r="Z245" s="71"/>
      <c r="AA245" s="71"/>
      <c r="AB245" s="71"/>
      <c r="AC245" s="71"/>
      <c r="AD245" s="71"/>
      <c r="AE245" s="71"/>
      <c r="AF245" s="71"/>
      <c r="AG245" s="82">
        <v>0</v>
      </c>
      <c r="AH245" s="76"/>
      <c r="AI245" s="76"/>
      <c r="AJ245" s="76"/>
      <c r="AK245" s="71">
        <v>0.15</v>
      </c>
      <c r="AL245" s="88">
        <v>3.3848190498164003E-2</v>
      </c>
      <c r="AM245" s="89">
        <f t="shared" si="3"/>
        <v>0.22565460332109336</v>
      </c>
      <c r="AN245" s="78"/>
    </row>
    <row r="246" spans="1:40" x14ac:dyDescent="0.25">
      <c r="A246" t="s">
        <v>44</v>
      </c>
      <c r="B246" t="s">
        <v>45</v>
      </c>
      <c r="C246" s="121" t="s">
        <v>174</v>
      </c>
      <c r="D246" t="s">
        <v>194</v>
      </c>
      <c r="E246" t="s">
        <v>61</v>
      </c>
      <c r="F246">
        <v>1</v>
      </c>
      <c r="G246">
        <v>41</v>
      </c>
      <c r="H246" s="86">
        <v>45961.392561979199</v>
      </c>
      <c r="I246" s="86">
        <v>45961.464740937503</v>
      </c>
      <c r="J246" s="87">
        <v>1.7322949999999999</v>
      </c>
      <c r="K246" s="69" t="s">
        <v>274</v>
      </c>
      <c r="L246" s="69"/>
      <c r="M246" s="71"/>
      <c r="N246" s="71"/>
      <c r="O246" s="71"/>
      <c r="P246" s="71" t="s">
        <v>275</v>
      </c>
      <c r="Q246" s="88">
        <v>4.1780878807048297E-2</v>
      </c>
      <c r="R246" s="89" t="s">
        <v>276</v>
      </c>
      <c r="S246" s="89"/>
      <c r="T246">
        <v>6</v>
      </c>
      <c r="U246" s="76">
        <v>0.2</v>
      </c>
      <c r="V246">
        <v>8.6999999999999993</v>
      </c>
      <c r="W246" s="90">
        <v>0.1</v>
      </c>
      <c r="X246" s="90"/>
      <c r="Y246" s="71"/>
      <c r="Z246" s="71"/>
      <c r="AA246" s="71"/>
      <c r="AB246" s="71"/>
      <c r="AC246" s="71"/>
      <c r="AD246" s="71"/>
      <c r="AE246" s="71"/>
      <c r="AF246" s="71"/>
      <c r="AG246" s="82">
        <v>0</v>
      </c>
      <c r="AH246" s="76"/>
      <c r="AI246" s="76"/>
      <c r="AJ246" s="76"/>
      <c r="AK246" s="71">
        <v>0.15</v>
      </c>
      <c r="AL246" s="88">
        <v>3.3848190498164003E-2</v>
      </c>
      <c r="AM246" s="89">
        <f t="shared" si="3"/>
        <v>0.22565460332109336</v>
      </c>
      <c r="AN246" s="78"/>
    </row>
    <row r="247" spans="1:40" x14ac:dyDescent="0.25">
      <c r="A247" t="s">
        <v>44</v>
      </c>
      <c r="B247" t="s">
        <v>45</v>
      </c>
      <c r="C247" s="121" t="s">
        <v>174</v>
      </c>
      <c r="D247" t="s">
        <v>194</v>
      </c>
      <c r="E247" t="s">
        <v>61</v>
      </c>
      <c r="F247">
        <v>1</v>
      </c>
      <c r="G247">
        <v>42</v>
      </c>
      <c r="H247" s="86">
        <v>45961.464740937503</v>
      </c>
      <c r="I247" s="86">
        <v>45961.536946504602</v>
      </c>
      <c r="J247" s="87">
        <v>1.73293361111111</v>
      </c>
      <c r="K247" s="69" t="s">
        <v>274</v>
      </c>
      <c r="L247" s="69"/>
      <c r="M247" s="71"/>
      <c r="N247" s="71"/>
      <c r="O247" s="71"/>
      <c r="P247" s="71" t="s">
        <v>275</v>
      </c>
      <c r="Q247" s="88">
        <v>8.0488143025546202E-2</v>
      </c>
      <c r="R247" s="89" t="s">
        <v>276</v>
      </c>
      <c r="S247" s="89"/>
      <c r="T247">
        <v>9.5</v>
      </c>
      <c r="U247" s="76">
        <v>0.2</v>
      </c>
      <c r="V247">
        <v>8.6999999999999993</v>
      </c>
      <c r="W247" s="90">
        <v>0.1</v>
      </c>
      <c r="X247" s="90"/>
      <c r="Y247" s="71"/>
      <c r="Z247" s="71"/>
      <c r="AA247" s="71"/>
      <c r="AB247" s="71"/>
      <c r="AC247" s="71"/>
      <c r="AD247" s="71"/>
      <c r="AE247" s="71"/>
      <c r="AF247" s="71"/>
      <c r="AG247" s="82">
        <v>0</v>
      </c>
      <c r="AH247" s="76"/>
      <c r="AI247" s="76"/>
      <c r="AJ247" s="76"/>
      <c r="AK247" s="71">
        <v>0.15</v>
      </c>
      <c r="AL247" s="88">
        <v>3.3848190498164003E-2</v>
      </c>
      <c r="AM247" s="89">
        <f t="shared" si="3"/>
        <v>0.22565460332109336</v>
      </c>
      <c r="AN247" s="78"/>
    </row>
    <row r="248" spans="1:40" x14ac:dyDescent="0.25">
      <c r="A248" t="s">
        <v>44</v>
      </c>
      <c r="B248" t="s">
        <v>45</v>
      </c>
      <c r="C248" s="121" t="s">
        <v>174</v>
      </c>
      <c r="D248" t="s">
        <v>194</v>
      </c>
      <c r="E248" t="s">
        <v>61</v>
      </c>
      <c r="F248">
        <v>1</v>
      </c>
      <c r="G248">
        <v>43</v>
      </c>
      <c r="H248" s="86">
        <v>45961.536946504602</v>
      </c>
      <c r="I248" s="86">
        <v>45961.609131585697</v>
      </c>
      <c r="J248" s="87">
        <v>1.7324419444444501</v>
      </c>
      <c r="K248" s="69" t="s">
        <v>274</v>
      </c>
      <c r="L248" s="69"/>
      <c r="M248" s="71"/>
      <c r="N248" s="71"/>
      <c r="O248" s="71"/>
      <c r="P248" s="71" t="s">
        <v>275</v>
      </c>
      <c r="Q248" s="88">
        <v>5.75715060009684E-2</v>
      </c>
      <c r="R248" s="89" t="s">
        <v>276</v>
      </c>
      <c r="S248" s="89"/>
      <c r="T248">
        <v>10.5</v>
      </c>
      <c r="U248" s="76">
        <v>0.2</v>
      </c>
      <c r="V248">
        <v>8.9</v>
      </c>
      <c r="W248" s="90">
        <v>0.1</v>
      </c>
      <c r="X248" s="90"/>
      <c r="Y248" s="71"/>
      <c r="Z248" s="71"/>
      <c r="AA248" s="71"/>
      <c r="AB248" s="71"/>
      <c r="AC248" s="71"/>
      <c r="AD248" s="71"/>
      <c r="AE248" s="71"/>
      <c r="AF248" s="71"/>
      <c r="AG248" s="82">
        <v>0</v>
      </c>
      <c r="AH248" s="76"/>
      <c r="AI248" s="76"/>
      <c r="AJ248" s="76"/>
      <c r="AK248" s="71">
        <v>0.15</v>
      </c>
      <c r="AL248" s="88">
        <v>3.3848190498164003E-2</v>
      </c>
      <c r="AM248" s="89">
        <f t="shared" si="3"/>
        <v>0.22565460332109336</v>
      </c>
      <c r="AN248" s="78"/>
    </row>
    <row r="249" spans="1:40" x14ac:dyDescent="0.25">
      <c r="A249" t="s">
        <v>44</v>
      </c>
      <c r="B249" t="s">
        <v>45</v>
      </c>
      <c r="C249" s="121" t="s">
        <v>174</v>
      </c>
      <c r="D249" t="s">
        <v>194</v>
      </c>
      <c r="E249" t="s">
        <v>61</v>
      </c>
      <c r="F249">
        <v>1</v>
      </c>
      <c r="G249">
        <v>44</v>
      </c>
      <c r="H249" s="86">
        <v>45961.609131585697</v>
      </c>
      <c r="I249" s="86">
        <v>45961.681305196798</v>
      </c>
      <c r="J249" s="87">
        <v>1.73216666666667</v>
      </c>
      <c r="K249" s="69" t="s">
        <v>274</v>
      </c>
      <c r="L249" s="69"/>
      <c r="M249" s="71"/>
      <c r="N249" s="71"/>
      <c r="O249" s="71"/>
      <c r="P249" s="71" t="s">
        <v>275</v>
      </c>
      <c r="Q249" s="88">
        <v>4.2756926089901601E-2</v>
      </c>
      <c r="R249" s="89" t="s">
        <v>276</v>
      </c>
      <c r="S249" s="89"/>
      <c r="T249">
        <v>9.9</v>
      </c>
      <c r="U249" s="76">
        <v>0.2</v>
      </c>
      <c r="V249">
        <v>9.1</v>
      </c>
      <c r="W249" s="90">
        <v>0.1</v>
      </c>
      <c r="X249" s="90"/>
      <c r="Y249" s="71"/>
      <c r="Z249" s="71"/>
      <c r="AA249" s="71"/>
      <c r="AB249" s="71"/>
      <c r="AC249" s="71"/>
      <c r="AD249" s="71"/>
      <c r="AE249" s="71"/>
      <c r="AF249" s="71"/>
      <c r="AG249" s="82">
        <v>0</v>
      </c>
      <c r="AH249" s="76"/>
      <c r="AI249" s="76"/>
      <c r="AJ249" s="76"/>
      <c r="AK249" s="71">
        <v>0.15</v>
      </c>
      <c r="AL249" s="88">
        <v>3.3848190498164003E-2</v>
      </c>
      <c r="AM249" s="89">
        <f t="shared" si="3"/>
        <v>0.22565460332109336</v>
      </c>
      <c r="AN249" s="78"/>
    </row>
    <row r="250" spans="1:40" x14ac:dyDescent="0.25">
      <c r="A250" t="s">
        <v>44</v>
      </c>
      <c r="B250" t="s">
        <v>45</v>
      </c>
      <c r="C250" s="121" t="s">
        <v>174</v>
      </c>
      <c r="D250" t="s">
        <v>194</v>
      </c>
      <c r="E250" t="s">
        <v>61</v>
      </c>
      <c r="F250">
        <v>1</v>
      </c>
      <c r="G250">
        <v>45</v>
      </c>
      <c r="H250" s="86">
        <v>45961.681305196798</v>
      </c>
      <c r="I250" s="86">
        <v>45961.753496655103</v>
      </c>
      <c r="J250" s="87">
        <v>1.7325950000000001</v>
      </c>
      <c r="K250" s="69" t="s">
        <v>274</v>
      </c>
      <c r="L250" s="69"/>
      <c r="M250" s="71"/>
      <c r="N250" s="71"/>
      <c r="O250" s="71"/>
      <c r="P250" s="71" t="s">
        <v>275</v>
      </c>
      <c r="Q250" s="88">
        <v>1.8590145964827099E-2</v>
      </c>
      <c r="R250" s="89" t="s">
        <v>276</v>
      </c>
      <c r="S250" s="89"/>
      <c r="T250">
        <v>8.6999999999999993</v>
      </c>
      <c r="U250" s="76">
        <v>0.2</v>
      </c>
      <c r="V250">
        <v>9.1999999999999993</v>
      </c>
      <c r="W250" s="90">
        <v>0.1</v>
      </c>
      <c r="X250" s="90"/>
      <c r="Y250" s="71"/>
      <c r="Z250" s="71"/>
      <c r="AA250" s="71"/>
      <c r="AB250" s="71"/>
      <c r="AC250" s="71"/>
      <c r="AD250" s="71"/>
      <c r="AE250" s="71"/>
      <c r="AF250" s="71"/>
      <c r="AG250" s="82">
        <v>0</v>
      </c>
      <c r="AH250" s="76"/>
      <c r="AI250" s="76"/>
      <c r="AJ250" s="76"/>
      <c r="AK250" s="71">
        <v>0.15</v>
      </c>
      <c r="AL250" s="88">
        <v>3.3848190498164003E-2</v>
      </c>
      <c r="AM250" s="89">
        <f t="shared" si="3"/>
        <v>0.22565460332109336</v>
      </c>
      <c r="AN250" s="78"/>
    </row>
    <row r="251" spans="1:40" x14ac:dyDescent="0.25">
      <c r="A251" t="s">
        <v>44</v>
      </c>
      <c r="B251" t="s">
        <v>45</v>
      </c>
      <c r="C251" s="121" t="s">
        <v>174</v>
      </c>
      <c r="D251" t="s">
        <v>194</v>
      </c>
      <c r="E251" t="s">
        <v>61</v>
      </c>
      <c r="F251">
        <v>1</v>
      </c>
      <c r="G251">
        <v>46</v>
      </c>
      <c r="H251" s="86">
        <v>45961.753496655103</v>
      </c>
      <c r="I251" s="86">
        <v>45961.825673333296</v>
      </c>
      <c r="J251" s="87">
        <v>1.7322402777777799</v>
      </c>
      <c r="K251" s="69" t="s">
        <v>274</v>
      </c>
      <c r="L251" s="69"/>
      <c r="M251" s="71"/>
      <c r="N251" s="71"/>
      <c r="O251" s="71"/>
      <c r="P251" s="71" t="s">
        <v>275</v>
      </c>
      <c r="Q251" s="88">
        <v>1.22850274440291E-2</v>
      </c>
      <c r="R251" s="89" t="s">
        <v>276</v>
      </c>
      <c r="S251" s="89"/>
      <c r="T251">
        <v>7.5</v>
      </c>
      <c r="U251" s="76">
        <v>0.2</v>
      </c>
      <c r="V251">
        <v>9.3000000000000007</v>
      </c>
      <c r="W251" s="90">
        <v>0.1</v>
      </c>
      <c r="X251" s="90"/>
      <c r="Y251" s="71"/>
      <c r="Z251" s="71"/>
      <c r="AA251" s="71"/>
      <c r="AB251" s="71"/>
      <c r="AC251" s="71"/>
      <c r="AD251" s="71"/>
      <c r="AE251" s="71"/>
      <c r="AF251" s="71"/>
      <c r="AG251" s="82">
        <v>0</v>
      </c>
      <c r="AH251" s="76"/>
      <c r="AI251" s="76"/>
      <c r="AJ251" s="76"/>
      <c r="AK251" s="71">
        <v>0.15</v>
      </c>
      <c r="AL251" s="88">
        <v>3.3848190498164003E-2</v>
      </c>
      <c r="AM251" s="89">
        <f t="shared" si="3"/>
        <v>0.22565460332109336</v>
      </c>
      <c r="AN251" s="78"/>
    </row>
    <row r="252" spans="1:40" x14ac:dyDescent="0.25">
      <c r="A252" t="s">
        <v>44</v>
      </c>
      <c r="B252" t="s">
        <v>45</v>
      </c>
      <c r="C252" s="121" t="s">
        <v>174</v>
      </c>
      <c r="D252" t="s">
        <v>194</v>
      </c>
      <c r="E252" t="s">
        <v>61</v>
      </c>
      <c r="F252">
        <v>1</v>
      </c>
      <c r="G252">
        <v>47</v>
      </c>
      <c r="H252" s="86">
        <v>45961.825673333296</v>
      </c>
      <c r="I252" s="86">
        <v>45961.897850868103</v>
      </c>
      <c r="J252" s="87">
        <v>1.73226083333333</v>
      </c>
      <c r="K252" s="69" t="s">
        <v>274</v>
      </c>
      <c r="L252" s="69"/>
      <c r="M252" s="71"/>
      <c r="N252" s="71"/>
      <c r="O252" s="71"/>
      <c r="P252" s="71" t="s">
        <v>275</v>
      </c>
      <c r="Q252" s="88">
        <v>1.33930629361641E-2</v>
      </c>
      <c r="R252" s="89" t="s">
        <v>276</v>
      </c>
      <c r="S252" s="89"/>
      <c r="T252">
        <v>7.9</v>
      </c>
      <c r="U252" s="76">
        <v>0.2</v>
      </c>
      <c r="V252">
        <v>9.3000000000000007</v>
      </c>
      <c r="W252" s="90">
        <v>0.1</v>
      </c>
      <c r="X252" s="90"/>
      <c r="Y252" s="71"/>
      <c r="Z252" s="71"/>
      <c r="AA252" s="71"/>
      <c r="AB252" s="71"/>
      <c r="AC252" s="71"/>
      <c r="AD252" s="71"/>
      <c r="AE252" s="71"/>
      <c r="AF252" s="71"/>
      <c r="AG252" s="82">
        <v>0</v>
      </c>
      <c r="AH252" s="76"/>
      <c r="AI252" s="76"/>
      <c r="AJ252" s="76"/>
      <c r="AK252" s="71">
        <v>0.15</v>
      </c>
      <c r="AL252" s="88">
        <v>3.3848190498164003E-2</v>
      </c>
      <c r="AM252" s="89">
        <f t="shared" si="3"/>
        <v>0.22565460332109336</v>
      </c>
      <c r="AN252" s="78"/>
    </row>
    <row r="253" spans="1:40" x14ac:dyDescent="0.25">
      <c r="A253" t="s">
        <v>44</v>
      </c>
      <c r="B253" t="s">
        <v>45</v>
      </c>
      <c r="C253" s="121" t="s">
        <v>174</v>
      </c>
      <c r="D253" t="s">
        <v>194</v>
      </c>
      <c r="E253" t="s">
        <v>61</v>
      </c>
      <c r="F253">
        <v>1</v>
      </c>
      <c r="G253">
        <v>48</v>
      </c>
      <c r="H253" s="86">
        <v>45961.897850868103</v>
      </c>
      <c r="I253" s="86">
        <v>45961.970043958303</v>
      </c>
      <c r="J253" s="87">
        <v>1.73263416666667</v>
      </c>
      <c r="K253" s="69" t="s">
        <v>274</v>
      </c>
      <c r="L253" s="69"/>
      <c r="M253" s="71"/>
      <c r="N253" s="71"/>
      <c r="O253" s="71"/>
      <c r="P253" s="71" t="s">
        <v>275</v>
      </c>
      <c r="Q253" s="88">
        <v>1.5871451747764199E-2</v>
      </c>
      <c r="R253" s="89" t="s">
        <v>276</v>
      </c>
      <c r="S253" s="89"/>
      <c r="T253">
        <v>7.9</v>
      </c>
      <c r="U253" s="76">
        <v>0.2</v>
      </c>
      <c r="V253">
        <v>9.1999999999999993</v>
      </c>
      <c r="W253" s="90">
        <v>0.1</v>
      </c>
      <c r="X253" s="90"/>
      <c r="Y253" s="71"/>
      <c r="Z253" s="71"/>
      <c r="AA253" s="71"/>
      <c r="AB253" s="71"/>
      <c r="AC253" s="71"/>
      <c r="AD253" s="71"/>
      <c r="AE253" s="71"/>
      <c r="AF253" s="71"/>
      <c r="AG253" s="82">
        <v>0</v>
      </c>
      <c r="AH253" s="76"/>
      <c r="AI253" s="76"/>
      <c r="AJ253" s="76"/>
      <c r="AK253" s="71">
        <v>0.15</v>
      </c>
      <c r="AL253" s="88">
        <v>3.3848190498164003E-2</v>
      </c>
      <c r="AM253" s="89">
        <f t="shared" si="3"/>
        <v>0.22565460332109336</v>
      </c>
      <c r="AN253" s="78"/>
    </row>
    <row r="254" spans="1:40" x14ac:dyDescent="0.25">
      <c r="A254" t="s">
        <v>44</v>
      </c>
      <c r="B254" t="s">
        <v>45</v>
      </c>
      <c r="C254" s="121" t="s">
        <v>174</v>
      </c>
      <c r="D254" t="s">
        <v>194</v>
      </c>
      <c r="E254" t="s">
        <v>61</v>
      </c>
      <c r="F254">
        <v>1</v>
      </c>
      <c r="G254">
        <v>49</v>
      </c>
      <c r="H254" s="86">
        <v>45961.970043958303</v>
      </c>
      <c r="I254" s="86">
        <v>45962.042231620399</v>
      </c>
      <c r="J254" s="87">
        <v>1.73250388888889</v>
      </c>
      <c r="K254" s="69" t="s">
        <v>274</v>
      </c>
      <c r="L254" s="69"/>
      <c r="M254" s="71"/>
      <c r="N254" s="71"/>
      <c r="O254" s="71"/>
      <c r="P254" s="71" t="s">
        <v>275</v>
      </c>
      <c r="Q254" s="88">
        <v>1.23593489904253E-2</v>
      </c>
      <c r="R254" s="89" t="s">
        <v>276</v>
      </c>
      <c r="S254" s="89"/>
      <c r="T254">
        <v>8.1</v>
      </c>
      <c r="U254" s="76">
        <v>0.2</v>
      </c>
      <c r="V254">
        <v>9.1999999999999993</v>
      </c>
      <c r="W254" s="90">
        <v>0.1</v>
      </c>
      <c r="X254" s="90"/>
      <c r="Y254" s="71"/>
      <c r="Z254" s="71"/>
      <c r="AA254" s="71"/>
      <c r="AB254" s="71"/>
      <c r="AC254" s="71"/>
      <c r="AD254" s="71"/>
      <c r="AE254" s="71"/>
      <c r="AF254" s="71"/>
      <c r="AG254" s="82">
        <v>0.4</v>
      </c>
      <c r="AH254" s="76"/>
      <c r="AI254" s="76"/>
      <c r="AJ254" s="76"/>
      <c r="AK254" s="71">
        <v>0.15</v>
      </c>
      <c r="AL254" s="88">
        <v>3.3848190498164003E-2</v>
      </c>
      <c r="AM254" s="89">
        <f t="shared" si="3"/>
        <v>0.22565460332109336</v>
      </c>
      <c r="AN254" s="78"/>
    </row>
    <row r="255" spans="1:40" x14ac:dyDescent="0.25">
      <c r="A255" t="s">
        <v>44</v>
      </c>
      <c r="B255" t="s">
        <v>45</v>
      </c>
      <c r="C255" s="121" t="s">
        <v>174</v>
      </c>
      <c r="D255" t="s">
        <v>194</v>
      </c>
      <c r="E255" t="s">
        <v>61</v>
      </c>
      <c r="F255">
        <v>1</v>
      </c>
      <c r="G255">
        <v>50</v>
      </c>
      <c r="H255" s="86">
        <v>45962.042231620399</v>
      </c>
      <c r="I255" s="86">
        <v>45962.114404282402</v>
      </c>
      <c r="J255" s="87">
        <v>1.73214388888889</v>
      </c>
      <c r="K255" s="69" t="s">
        <v>274</v>
      </c>
      <c r="L255" s="69"/>
      <c r="M255" s="71"/>
      <c r="N255" s="71"/>
      <c r="O255" s="71"/>
      <c r="P255" s="71" t="s">
        <v>275</v>
      </c>
      <c r="Q255" s="88">
        <v>1.5054765718674101E-2</v>
      </c>
      <c r="R255" s="89" t="s">
        <v>276</v>
      </c>
      <c r="S255" s="89"/>
      <c r="T255">
        <v>8.1999999999999993</v>
      </c>
      <c r="U255" s="76">
        <v>0.2</v>
      </c>
      <c r="V255">
        <v>9.1999999999999993</v>
      </c>
      <c r="W255" s="90">
        <v>0.1</v>
      </c>
      <c r="X255" s="90"/>
      <c r="Y255" s="71"/>
      <c r="Z255" s="71"/>
      <c r="AA255" s="71"/>
      <c r="AB255" s="71"/>
      <c r="AC255" s="71"/>
      <c r="AD255" s="71"/>
      <c r="AE255" s="71"/>
      <c r="AF255" s="71"/>
      <c r="AG255" s="82">
        <v>0</v>
      </c>
      <c r="AH255" s="76"/>
      <c r="AI255" s="76"/>
      <c r="AJ255" s="76"/>
      <c r="AK255" s="71">
        <v>0.15</v>
      </c>
      <c r="AL255" s="88">
        <v>3.3848190498164003E-2</v>
      </c>
      <c r="AM255" s="89">
        <f t="shared" si="3"/>
        <v>0.22565460332109336</v>
      </c>
      <c r="AN255" s="78"/>
    </row>
    <row r="256" spans="1:40" x14ac:dyDescent="0.25">
      <c r="A256" t="s">
        <v>44</v>
      </c>
      <c r="B256" t="s">
        <v>45</v>
      </c>
      <c r="C256" s="121" t="s">
        <v>174</v>
      </c>
      <c r="D256" t="s">
        <v>194</v>
      </c>
      <c r="E256" t="s">
        <v>61</v>
      </c>
      <c r="F256">
        <v>1</v>
      </c>
      <c r="G256">
        <v>51</v>
      </c>
      <c r="H256" s="86">
        <v>45962.114404282402</v>
      </c>
      <c r="I256" s="86">
        <v>45962.186599004599</v>
      </c>
      <c r="J256" s="87">
        <v>1.73267333333333</v>
      </c>
      <c r="K256" s="69" t="s">
        <v>274</v>
      </c>
      <c r="L256" s="69"/>
      <c r="M256" s="71"/>
      <c r="N256" s="71"/>
      <c r="O256" s="71"/>
      <c r="P256" s="71" t="s">
        <v>275</v>
      </c>
      <c r="Q256" s="88">
        <v>1.6530404657758901E-2</v>
      </c>
      <c r="R256" s="89" t="s">
        <v>276</v>
      </c>
      <c r="S256" s="89"/>
      <c r="T256">
        <v>8</v>
      </c>
      <c r="U256" s="76">
        <v>0.2</v>
      </c>
      <c r="V256">
        <v>9.1999999999999993</v>
      </c>
      <c r="W256" s="90">
        <v>0.1</v>
      </c>
      <c r="X256" s="90"/>
      <c r="Y256" s="71"/>
      <c r="Z256" s="71"/>
      <c r="AA256" s="71"/>
      <c r="AB256" s="71"/>
      <c r="AC256" s="71"/>
      <c r="AD256" s="71"/>
      <c r="AE256" s="71"/>
      <c r="AF256" s="71"/>
      <c r="AG256" s="82">
        <v>0</v>
      </c>
      <c r="AH256" s="76"/>
      <c r="AI256" s="76"/>
      <c r="AJ256" s="76"/>
      <c r="AK256" s="71">
        <v>0.15</v>
      </c>
      <c r="AL256" s="88">
        <v>3.3848190498164003E-2</v>
      </c>
      <c r="AM256" s="89">
        <f t="shared" si="3"/>
        <v>0.22565460332109336</v>
      </c>
      <c r="AN256" s="78"/>
    </row>
    <row r="257" spans="1:40" x14ac:dyDescent="0.25">
      <c r="A257" t="s">
        <v>44</v>
      </c>
      <c r="B257" t="s">
        <v>45</v>
      </c>
      <c r="C257" s="121" t="s">
        <v>174</v>
      </c>
      <c r="D257" t="s">
        <v>194</v>
      </c>
      <c r="E257" t="s">
        <v>61</v>
      </c>
      <c r="F257">
        <v>1</v>
      </c>
      <c r="G257">
        <v>52</v>
      </c>
      <c r="H257" s="86">
        <v>45962.186599004599</v>
      </c>
      <c r="I257" s="86">
        <v>45962.258786354199</v>
      </c>
      <c r="J257" s="87">
        <v>1.73249638888889</v>
      </c>
      <c r="K257" s="69" t="s">
        <v>274</v>
      </c>
      <c r="L257" s="69"/>
      <c r="M257" s="71"/>
      <c r="N257" s="71"/>
      <c r="O257" s="71"/>
      <c r="P257" s="71" t="s">
        <v>275</v>
      </c>
      <c r="Q257" s="88">
        <v>1.69070134805764E-2</v>
      </c>
      <c r="R257" s="89" t="s">
        <v>276</v>
      </c>
      <c r="S257" s="89"/>
      <c r="T257">
        <v>8.1</v>
      </c>
      <c r="U257" s="76">
        <v>0.2</v>
      </c>
      <c r="V257">
        <v>9.1999999999999993</v>
      </c>
      <c r="W257" s="90">
        <v>0.1</v>
      </c>
      <c r="X257" s="90"/>
      <c r="Y257" s="71"/>
      <c r="Z257" s="71"/>
      <c r="AA257" s="71"/>
      <c r="AB257" s="71"/>
      <c r="AC257" s="71"/>
      <c r="AD257" s="71"/>
      <c r="AE257" s="71"/>
      <c r="AF257" s="71"/>
      <c r="AG257" s="82">
        <v>0</v>
      </c>
      <c r="AH257" s="76"/>
      <c r="AI257" s="76"/>
      <c r="AJ257" s="76"/>
      <c r="AK257" s="71">
        <v>0.15</v>
      </c>
      <c r="AL257" s="88">
        <v>3.3848190498164003E-2</v>
      </c>
      <c r="AM257" s="89">
        <f t="shared" si="3"/>
        <v>0.22565460332109336</v>
      </c>
      <c r="AN257" s="78"/>
    </row>
    <row r="258" spans="1:40" x14ac:dyDescent="0.25">
      <c r="A258" t="s">
        <v>44</v>
      </c>
      <c r="B258" t="s">
        <v>45</v>
      </c>
      <c r="C258" s="121" t="s">
        <v>174</v>
      </c>
      <c r="D258" t="s">
        <v>194</v>
      </c>
      <c r="E258" t="s">
        <v>61</v>
      </c>
      <c r="F258">
        <v>1</v>
      </c>
      <c r="G258">
        <v>53</v>
      </c>
      <c r="H258" s="86">
        <v>45962.258786354199</v>
      </c>
      <c r="I258" s="86">
        <v>45962.330969351897</v>
      </c>
      <c r="J258" s="87">
        <v>1.73239194444444</v>
      </c>
      <c r="K258" s="69" t="s">
        <v>274</v>
      </c>
      <c r="L258" s="69"/>
      <c r="M258" s="71"/>
      <c r="N258" s="71"/>
      <c r="O258" s="71"/>
      <c r="P258" s="71" t="s">
        <v>275</v>
      </c>
      <c r="Q258" s="88">
        <v>1.19709927870589E-2</v>
      </c>
      <c r="R258" s="89" t="s">
        <v>276</v>
      </c>
      <c r="S258" s="89"/>
      <c r="T258">
        <v>7.5</v>
      </c>
      <c r="U258" s="76">
        <v>0.2</v>
      </c>
      <c r="V258">
        <v>9.1999999999999993</v>
      </c>
      <c r="W258" s="90">
        <v>0.1</v>
      </c>
      <c r="X258" s="90"/>
      <c r="Y258" s="71"/>
      <c r="Z258" s="71"/>
      <c r="AA258" s="71"/>
      <c r="AB258" s="71"/>
      <c r="AC258" s="71"/>
      <c r="AD258" s="71"/>
      <c r="AE258" s="71"/>
      <c r="AF258" s="71"/>
      <c r="AG258" s="82">
        <v>0</v>
      </c>
      <c r="AH258" s="76"/>
      <c r="AI258" s="76"/>
      <c r="AJ258" s="76"/>
      <c r="AK258" s="71">
        <v>0.15</v>
      </c>
      <c r="AL258" s="88">
        <v>3.3848190498164003E-2</v>
      </c>
      <c r="AM258" s="89">
        <f t="shared" si="3"/>
        <v>0.22565460332109336</v>
      </c>
      <c r="AN258" s="78"/>
    </row>
    <row r="259" spans="1:40" x14ac:dyDescent="0.25">
      <c r="A259" t="s">
        <v>44</v>
      </c>
      <c r="B259" t="s">
        <v>45</v>
      </c>
      <c r="C259" s="121" t="s">
        <v>174</v>
      </c>
      <c r="D259" t="s">
        <v>194</v>
      </c>
      <c r="E259" t="s">
        <v>61</v>
      </c>
      <c r="F259">
        <v>1</v>
      </c>
      <c r="G259">
        <v>54</v>
      </c>
      <c r="H259" s="86">
        <v>45962.330969351897</v>
      </c>
      <c r="I259" s="86">
        <v>45962.403165613403</v>
      </c>
      <c r="J259" s="87">
        <v>1.7327102777777801</v>
      </c>
      <c r="K259" s="69" t="s">
        <v>274</v>
      </c>
      <c r="L259" s="69"/>
      <c r="M259" s="71"/>
      <c r="N259" s="71"/>
      <c r="O259" s="71"/>
      <c r="P259" s="71" t="s">
        <v>275</v>
      </c>
      <c r="Q259" s="88">
        <v>1.39333874256399E-2</v>
      </c>
      <c r="R259" s="89" t="s">
        <v>276</v>
      </c>
      <c r="S259" s="89"/>
      <c r="T259">
        <v>7.6</v>
      </c>
      <c r="U259" s="76">
        <v>0.2</v>
      </c>
      <c r="V259">
        <v>9.1999999999999993</v>
      </c>
      <c r="W259" s="90">
        <v>0.1</v>
      </c>
      <c r="X259" s="90"/>
      <c r="Y259" s="71"/>
      <c r="Z259" s="71"/>
      <c r="AA259" s="71"/>
      <c r="AB259" s="71"/>
      <c r="AC259" s="71"/>
      <c r="AD259" s="71"/>
      <c r="AE259" s="71"/>
      <c r="AF259" s="71"/>
      <c r="AG259" s="82">
        <v>0</v>
      </c>
      <c r="AH259" s="76"/>
      <c r="AI259" s="76"/>
      <c r="AJ259" s="76"/>
      <c r="AK259" s="71">
        <v>0.15</v>
      </c>
      <c r="AL259" s="88">
        <v>3.3848190498164003E-2</v>
      </c>
      <c r="AM259" s="89">
        <f t="shared" si="3"/>
        <v>0.22565460332109336</v>
      </c>
      <c r="AN259" s="78"/>
    </row>
    <row r="260" spans="1:40" x14ac:dyDescent="0.25">
      <c r="A260" t="s">
        <v>44</v>
      </c>
      <c r="B260" t="s">
        <v>45</v>
      </c>
      <c r="C260" s="121" t="s">
        <v>174</v>
      </c>
      <c r="D260" t="s">
        <v>194</v>
      </c>
      <c r="E260" t="s">
        <v>61</v>
      </c>
      <c r="F260">
        <v>1</v>
      </c>
      <c r="G260">
        <v>55</v>
      </c>
      <c r="H260" s="86">
        <v>45962.403165613403</v>
      </c>
      <c r="I260" s="86">
        <v>45962.475348923603</v>
      </c>
      <c r="J260" s="87">
        <v>1.7323994444444399</v>
      </c>
      <c r="K260" s="69" t="s">
        <v>274</v>
      </c>
      <c r="L260" s="69"/>
      <c r="M260" s="71"/>
      <c r="N260" s="71"/>
      <c r="O260" s="71"/>
      <c r="P260" s="71" t="s">
        <v>275</v>
      </c>
      <c r="Q260" s="88">
        <v>3.7935861241286097E-2</v>
      </c>
      <c r="R260" s="89" t="s">
        <v>276</v>
      </c>
      <c r="S260" s="89"/>
      <c r="T260">
        <v>9.6999999999999993</v>
      </c>
      <c r="U260" s="76">
        <v>0.2</v>
      </c>
      <c r="V260">
        <v>9.1999999999999993</v>
      </c>
      <c r="W260" s="90">
        <v>0.1</v>
      </c>
      <c r="X260" s="90"/>
      <c r="Y260" s="71"/>
      <c r="Z260" s="71"/>
      <c r="AA260" s="71"/>
      <c r="AB260" s="71"/>
      <c r="AC260" s="71"/>
      <c r="AD260" s="71"/>
      <c r="AE260" s="71"/>
      <c r="AF260" s="71"/>
      <c r="AG260" s="82">
        <v>0</v>
      </c>
      <c r="AH260" s="76"/>
      <c r="AI260" s="76"/>
      <c r="AJ260" s="76"/>
      <c r="AK260" s="71">
        <v>0.15</v>
      </c>
      <c r="AL260" s="88">
        <v>3.3848190498164003E-2</v>
      </c>
      <c r="AM260" s="89">
        <f t="shared" si="3"/>
        <v>0.22565460332109336</v>
      </c>
      <c r="AN260" s="78"/>
    </row>
    <row r="261" spans="1:40" x14ac:dyDescent="0.25">
      <c r="A261" t="s">
        <v>44</v>
      </c>
      <c r="B261" t="s">
        <v>45</v>
      </c>
      <c r="C261" s="121" t="s">
        <v>174</v>
      </c>
      <c r="D261" t="s">
        <v>194</v>
      </c>
      <c r="E261" t="s">
        <v>61</v>
      </c>
      <c r="F261">
        <v>1</v>
      </c>
      <c r="G261">
        <v>56</v>
      </c>
      <c r="H261" s="86">
        <v>45962.475348923603</v>
      </c>
      <c r="I261" s="86">
        <v>45962.547531249998</v>
      </c>
      <c r="J261" s="87">
        <v>1.7323758333333299</v>
      </c>
      <c r="K261" s="69" t="s">
        <v>274</v>
      </c>
      <c r="L261" s="69"/>
      <c r="M261" s="71"/>
      <c r="N261" s="71"/>
      <c r="O261" s="71"/>
      <c r="P261" s="71" t="s">
        <v>275</v>
      </c>
      <c r="Q261" s="88">
        <v>3.3037047184608502E-2</v>
      </c>
      <c r="R261" s="89" t="s">
        <v>276</v>
      </c>
      <c r="S261" s="89"/>
      <c r="T261">
        <v>10.5</v>
      </c>
      <c r="U261" s="76">
        <v>0.2</v>
      </c>
      <c r="V261">
        <v>9.1999999999999993</v>
      </c>
      <c r="W261" s="90">
        <v>0.1</v>
      </c>
      <c r="X261" s="90"/>
      <c r="Y261" s="71"/>
      <c r="Z261" s="71"/>
      <c r="AA261" s="71"/>
      <c r="AB261" s="71"/>
      <c r="AC261" s="71"/>
      <c r="AD261" s="71"/>
      <c r="AE261" s="71"/>
      <c r="AF261" s="71"/>
      <c r="AG261" s="82">
        <v>0</v>
      </c>
      <c r="AH261" s="76"/>
      <c r="AI261" s="76"/>
      <c r="AJ261" s="76"/>
      <c r="AK261" s="71">
        <v>0.15</v>
      </c>
      <c r="AL261" s="88">
        <v>3.3848190498164003E-2</v>
      </c>
      <c r="AM261" s="89">
        <f t="shared" ref="AM261:AM324" si="4">AL261/AK261</f>
        <v>0.22565460332109336</v>
      </c>
      <c r="AN261" s="78"/>
    </row>
    <row r="262" spans="1:40" x14ac:dyDescent="0.25">
      <c r="A262" t="s">
        <v>44</v>
      </c>
      <c r="B262" t="s">
        <v>45</v>
      </c>
      <c r="C262" s="121" t="s">
        <v>174</v>
      </c>
      <c r="D262" t="s">
        <v>194</v>
      </c>
      <c r="E262" t="s">
        <v>61</v>
      </c>
      <c r="F262">
        <v>1</v>
      </c>
      <c r="G262">
        <v>57</v>
      </c>
      <c r="H262" s="86">
        <v>45962.547531249998</v>
      </c>
      <c r="I262" s="86">
        <v>45962.619712245403</v>
      </c>
      <c r="J262" s="87">
        <v>1.73234388888889</v>
      </c>
      <c r="K262" s="69" t="s">
        <v>274</v>
      </c>
      <c r="L262" s="69"/>
      <c r="M262" s="71"/>
      <c r="N262" s="71"/>
      <c r="O262" s="71"/>
      <c r="P262" s="71" t="s">
        <v>275</v>
      </c>
      <c r="Q262" s="88">
        <v>2.0306809572893901E-2</v>
      </c>
      <c r="R262" s="89" t="s">
        <v>276</v>
      </c>
      <c r="S262" s="89"/>
      <c r="T262">
        <v>10.7</v>
      </c>
      <c r="U262" s="76">
        <v>0.2</v>
      </c>
      <c r="V262">
        <v>9.3000000000000007</v>
      </c>
      <c r="W262" s="90">
        <v>0.1</v>
      </c>
      <c r="X262" s="90"/>
      <c r="Y262" s="71"/>
      <c r="Z262" s="71"/>
      <c r="AA262" s="71"/>
      <c r="AB262" s="71"/>
      <c r="AC262" s="71"/>
      <c r="AD262" s="71"/>
      <c r="AE262" s="71"/>
      <c r="AF262" s="71"/>
      <c r="AG262" s="82">
        <v>0.1</v>
      </c>
      <c r="AH262" s="76"/>
      <c r="AI262" s="76"/>
      <c r="AJ262" s="76"/>
      <c r="AK262" s="71">
        <v>0.15</v>
      </c>
      <c r="AL262" s="88">
        <v>3.3848190498164003E-2</v>
      </c>
      <c r="AM262" s="89">
        <f t="shared" si="4"/>
        <v>0.22565460332109336</v>
      </c>
      <c r="AN262" s="78"/>
    </row>
    <row r="263" spans="1:40" x14ac:dyDescent="0.25">
      <c r="A263" t="s">
        <v>44</v>
      </c>
      <c r="B263" t="s">
        <v>45</v>
      </c>
      <c r="C263" s="121" t="s">
        <v>174</v>
      </c>
      <c r="D263" t="s">
        <v>194</v>
      </c>
      <c r="E263" t="s">
        <v>61</v>
      </c>
      <c r="F263">
        <v>1</v>
      </c>
      <c r="G263">
        <v>58</v>
      </c>
      <c r="H263" s="86">
        <v>45962.619712245403</v>
      </c>
      <c r="I263" s="86">
        <v>45962.691893229203</v>
      </c>
      <c r="J263" s="87">
        <v>1.7323436111111099</v>
      </c>
      <c r="K263" s="69" t="s">
        <v>274</v>
      </c>
      <c r="L263" s="69"/>
      <c r="M263" s="71"/>
      <c r="N263" s="71"/>
      <c r="O263" s="71"/>
      <c r="P263" s="71" t="s">
        <v>275</v>
      </c>
      <c r="Q263" s="88">
        <v>1.62365621547222E-2</v>
      </c>
      <c r="R263" s="89" t="s">
        <v>276</v>
      </c>
      <c r="S263" s="89"/>
      <c r="T263">
        <v>10.7</v>
      </c>
      <c r="U263" s="76">
        <v>0.2</v>
      </c>
      <c r="V263">
        <v>9.5</v>
      </c>
      <c r="W263" s="90">
        <v>0.1</v>
      </c>
      <c r="X263" s="90"/>
      <c r="Y263" s="71"/>
      <c r="Z263" s="71"/>
      <c r="AA263" s="71"/>
      <c r="AB263" s="71"/>
      <c r="AC263" s="71"/>
      <c r="AD263" s="71"/>
      <c r="AE263" s="71"/>
      <c r="AF263" s="71"/>
      <c r="AG263" s="82">
        <v>0.3</v>
      </c>
      <c r="AH263" s="76"/>
      <c r="AI263" s="76"/>
      <c r="AJ263" s="76"/>
      <c r="AK263" s="71">
        <v>0.15</v>
      </c>
      <c r="AL263" s="88">
        <v>3.3848190498164003E-2</v>
      </c>
      <c r="AM263" s="89">
        <f t="shared" si="4"/>
        <v>0.22565460332109336</v>
      </c>
      <c r="AN263" s="78"/>
    </row>
    <row r="264" spans="1:40" x14ac:dyDescent="0.25">
      <c r="A264" t="s">
        <v>44</v>
      </c>
      <c r="B264" t="s">
        <v>45</v>
      </c>
      <c r="C264" s="121" t="s">
        <v>174</v>
      </c>
      <c r="D264" t="s">
        <v>194</v>
      </c>
      <c r="E264" t="s">
        <v>61</v>
      </c>
      <c r="F264">
        <v>1</v>
      </c>
      <c r="G264">
        <v>59</v>
      </c>
      <c r="H264" s="86">
        <v>45962.691893229203</v>
      </c>
      <c r="I264" s="86">
        <v>45962.764080879599</v>
      </c>
      <c r="J264" s="87">
        <v>1.7325036111111101</v>
      </c>
      <c r="K264" s="69" t="s">
        <v>274</v>
      </c>
      <c r="L264" s="69"/>
      <c r="M264" s="71"/>
      <c r="N264" s="71"/>
      <c r="O264" s="71"/>
      <c r="P264" s="71" t="s">
        <v>275</v>
      </c>
      <c r="Q264" s="88">
        <v>1.0696317307777901E-2</v>
      </c>
      <c r="R264" s="89" t="s">
        <v>276</v>
      </c>
      <c r="S264" s="89"/>
      <c r="T264">
        <v>10.6</v>
      </c>
      <c r="U264" s="76">
        <v>0.2</v>
      </c>
      <c r="V264">
        <v>9.6</v>
      </c>
      <c r="W264" s="90">
        <v>0.1</v>
      </c>
      <c r="X264" s="90"/>
      <c r="Y264" s="71"/>
      <c r="Z264" s="71"/>
      <c r="AA264" s="71"/>
      <c r="AB264" s="71"/>
      <c r="AC264" s="71"/>
      <c r="AD264" s="71"/>
      <c r="AE264" s="71"/>
      <c r="AF264" s="71"/>
      <c r="AG264" s="82">
        <v>1.7</v>
      </c>
      <c r="AH264" s="76"/>
      <c r="AI264" s="76"/>
      <c r="AJ264" s="76"/>
      <c r="AK264" s="71">
        <v>0.15</v>
      </c>
      <c r="AL264" s="88">
        <v>3.3848190498164003E-2</v>
      </c>
      <c r="AM264" s="89">
        <f t="shared" si="4"/>
        <v>0.22565460332109336</v>
      </c>
      <c r="AN264" s="78"/>
    </row>
    <row r="265" spans="1:40" x14ac:dyDescent="0.25">
      <c r="A265" t="s">
        <v>44</v>
      </c>
      <c r="B265" t="s">
        <v>45</v>
      </c>
      <c r="C265" s="121" t="s">
        <v>174</v>
      </c>
      <c r="D265" t="s">
        <v>194</v>
      </c>
      <c r="E265" t="s">
        <v>61</v>
      </c>
      <c r="F265">
        <v>1</v>
      </c>
      <c r="G265">
        <v>60</v>
      </c>
      <c r="H265" s="86">
        <v>45962.764080879599</v>
      </c>
      <c r="I265" s="86">
        <v>45962.836268263898</v>
      </c>
      <c r="J265" s="87">
        <v>1.7324972222222199</v>
      </c>
      <c r="K265" s="69" t="s">
        <v>274</v>
      </c>
      <c r="L265" s="69"/>
      <c r="M265" s="71"/>
      <c r="N265" s="71"/>
      <c r="O265" s="71"/>
      <c r="P265" s="71" t="s">
        <v>275</v>
      </c>
      <c r="Q265" s="88">
        <v>9.2729089742950403E-3</v>
      </c>
      <c r="R265" s="89" t="s">
        <v>276</v>
      </c>
      <c r="S265" s="89"/>
      <c r="T265">
        <v>10.6</v>
      </c>
      <c r="U265" s="76">
        <v>0.2</v>
      </c>
      <c r="V265">
        <v>9.6999999999999993</v>
      </c>
      <c r="W265" s="90">
        <v>0.1</v>
      </c>
      <c r="X265" s="90"/>
      <c r="Y265" s="71"/>
      <c r="Z265" s="71"/>
      <c r="AA265" s="71"/>
      <c r="AB265" s="71"/>
      <c r="AC265" s="71"/>
      <c r="AD265" s="71"/>
      <c r="AE265" s="71"/>
      <c r="AF265" s="71"/>
      <c r="AG265" s="82">
        <v>0.4</v>
      </c>
      <c r="AH265" s="76"/>
      <c r="AI265" s="76"/>
      <c r="AJ265" s="76"/>
      <c r="AK265" s="71">
        <v>0.15</v>
      </c>
      <c r="AL265" s="88">
        <v>3.3848190498164003E-2</v>
      </c>
      <c r="AM265" s="89">
        <f t="shared" si="4"/>
        <v>0.22565460332109336</v>
      </c>
      <c r="AN265" s="78"/>
    </row>
    <row r="266" spans="1:40" x14ac:dyDescent="0.25">
      <c r="A266" t="s">
        <v>44</v>
      </c>
      <c r="B266" t="s">
        <v>45</v>
      </c>
      <c r="C266" s="121" t="s">
        <v>174</v>
      </c>
      <c r="D266" t="s">
        <v>194</v>
      </c>
      <c r="E266" t="s">
        <v>61</v>
      </c>
      <c r="F266">
        <v>1</v>
      </c>
      <c r="G266">
        <v>61</v>
      </c>
      <c r="H266" s="86">
        <v>45962.836268263898</v>
      </c>
      <c r="I266" s="86">
        <v>45962.9084484954</v>
      </c>
      <c r="J266" s="87">
        <v>1.7323255555555599</v>
      </c>
      <c r="K266" s="69" t="s">
        <v>274</v>
      </c>
      <c r="L266" s="69"/>
      <c r="M266" s="71"/>
      <c r="N266" s="71"/>
      <c r="O266" s="71"/>
      <c r="P266" s="71" t="s">
        <v>275</v>
      </c>
      <c r="Q266" s="88">
        <v>1.0654921915857599E-2</v>
      </c>
      <c r="R266" s="89" t="s">
        <v>276</v>
      </c>
      <c r="S266" s="89"/>
      <c r="T266">
        <v>10.4</v>
      </c>
      <c r="U266" s="76">
        <v>0.2</v>
      </c>
      <c r="V266">
        <v>9.6999999999999993</v>
      </c>
      <c r="W266" s="90">
        <v>0.1</v>
      </c>
      <c r="X266" s="90"/>
      <c r="Y266" s="71"/>
      <c r="Z266" s="71"/>
      <c r="AA266" s="71"/>
      <c r="AB266" s="71"/>
      <c r="AC266" s="71"/>
      <c r="AD266" s="71"/>
      <c r="AE266" s="71"/>
      <c r="AF266" s="71"/>
      <c r="AG266" s="82">
        <v>0</v>
      </c>
      <c r="AH266" s="76"/>
      <c r="AI266" s="76"/>
      <c r="AJ266" s="76"/>
      <c r="AK266" s="71">
        <v>0.15</v>
      </c>
      <c r="AL266" s="88">
        <v>3.3848190498164003E-2</v>
      </c>
      <c r="AM266" s="89">
        <f t="shared" si="4"/>
        <v>0.22565460332109336</v>
      </c>
      <c r="AN266" s="78"/>
    </row>
    <row r="267" spans="1:40" x14ac:dyDescent="0.25">
      <c r="A267" t="s">
        <v>44</v>
      </c>
      <c r="B267" t="s">
        <v>45</v>
      </c>
      <c r="C267" s="121" t="s">
        <v>174</v>
      </c>
      <c r="D267" t="s">
        <v>194</v>
      </c>
      <c r="E267" t="s">
        <v>61</v>
      </c>
      <c r="F267">
        <v>1</v>
      </c>
      <c r="G267">
        <v>62</v>
      </c>
      <c r="H267" s="86">
        <v>45962.9084484954</v>
      </c>
      <c r="I267" s="86">
        <v>45962.980633368097</v>
      </c>
      <c r="J267" s="87">
        <v>1.7324369444444501</v>
      </c>
      <c r="K267" s="69" t="s">
        <v>274</v>
      </c>
      <c r="L267" s="69"/>
      <c r="M267" s="71"/>
      <c r="N267" s="71"/>
      <c r="O267" s="71"/>
      <c r="P267" s="71" t="s">
        <v>275</v>
      </c>
      <c r="Q267" s="88">
        <v>1.01735595918749E-2</v>
      </c>
      <c r="R267" s="89" t="s">
        <v>276</v>
      </c>
      <c r="S267" s="89"/>
      <c r="T267">
        <v>10</v>
      </c>
      <c r="U267" s="76">
        <v>0.2</v>
      </c>
      <c r="V267">
        <v>9.8000000000000007</v>
      </c>
      <c r="W267" s="90">
        <v>0.1</v>
      </c>
      <c r="X267" s="90"/>
      <c r="Y267" s="71"/>
      <c r="Z267" s="71"/>
      <c r="AA267" s="71"/>
      <c r="AB267" s="71"/>
      <c r="AC267" s="71"/>
      <c r="AD267" s="71"/>
      <c r="AE267" s="71"/>
      <c r="AF267" s="71"/>
      <c r="AG267" s="82">
        <v>0.2</v>
      </c>
      <c r="AH267" s="76"/>
      <c r="AI267" s="76"/>
      <c r="AJ267" s="76"/>
      <c r="AK267" s="71">
        <v>0.15</v>
      </c>
      <c r="AL267" s="88">
        <v>3.3848190498164003E-2</v>
      </c>
      <c r="AM267" s="89">
        <f t="shared" si="4"/>
        <v>0.22565460332109336</v>
      </c>
      <c r="AN267" s="78"/>
    </row>
    <row r="268" spans="1:40" x14ac:dyDescent="0.25">
      <c r="A268" t="s">
        <v>44</v>
      </c>
      <c r="B268" t="s">
        <v>45</v>
      </c>
      <c r="C268" s="121" t="s">
        <v>174</v>
      </c>
      <c r="D268" t="s">
        <v>194</v>
      </c>
      <c r="E268" t="s">
        <v>61</v>
      </c>
      <c r="F268">
        <v>1</v>
      </c>
      <c r="G268">
        <v>63</v>
      </c>
      <c r="H268" s="86">
        <v>45962.980633368097</v>
      </c>
      <c r="I268" s="86">
        <v>45963.052821597201</v>
      </c>
      <c r="J268" s="87">
        <v>1.7325174999999999</v>
      </c>
      <c r="K268" s="69" t="s">
        <v>274</v>
      </c>
      <c r="L268" s="69"/>
      <c r="M268" s="71"/>
      <c r="N268" s="71"/>
      <c r="O268" s="71"/>
      <c r="P268" s="71" t="s">
        <v>275</v>
      </c>
      <c r="Q268" s="88">
        <v>7.9641082851525397E-3</v>
      </c>
      <c r="R268" s="89" t="s">
        <v>276</v>
      </c>
      <c r="S268" s="89"/>
      <c r="T268">
        <v>9.1</v>
      </c>
      <c r="U268" s="76">
        <v>0.2</v>
      </c>
      <c r="V268">
        <v>9.8000000000000007</v>
      </c>
      <c r="W268" s="90">
        <v>0.1</v>
      </c>
      <c r="X268" s="90"/>
      <c r="Y268" s="71"/>
      <c r="Z268" s="71"/>
      <c r="AA268" s="71"/>
      <c r="AB268" s="71"/>
      <c r="AC268" s="71"/>
      <c r="AD268" s="71"/>
      <c r="AE268" s="71"/>
      <c r="AF268" s="71"/>
      <c r="AG268" s="82">
        <v>0</v>
      </c>
      <c r="AH268" s="76"/>
      <c r="AI268" s="76"/>
      <c r="AJ268" s="76"/>
      <c r="AK268" s="71">
        <v>0.15</v>
      </c>
      <c r="AL268" s="88">
        <v>3.3848190498164003E-2</v>
      </c>
      <c r="AM268" s="89">
        <f t="shared" si="4"/>
        <v>0.22565460332109336</v>
      </c>
      <c r="AN268" s="78"/>
    </row>
    <row r="269" spans="1:40" x14ac:dyDescent="0.25">
      <c r="A269" t="s">
        <v>44</v>
      </c>
      <c r="B269" t="s">
        <v>45</v>
      </c>
      <c r="C269" s="121" t="s">
        <v>174</v>
      </c>
      <c r="D269" t="s">
        <v>194</v>
      </c>
      <c r="E269" t="s">
        <v>61</v>
      </c>
      <c r="F269">
        <v>1</v>
      </c>
      <c r="G269">
        <v>64</v>
      </c>
      <c r="H269" s="86">
        <v>45963.052821597201</v>
      </c>
      <c r="I269" s="86">
        <v>45963.125010381998</v>
      </c>
      <c r="J269" s="87">
        <v>1.73253083333333</v>
      </c>
      <c r="K269" s="69" t="s">
        <v>274</v>
      </c>
      <c r="L269" s="69"/>
      <c r="M269" s="71"/>
      <c r="N269" s="71"/>
      <c r="O269" s="71"/>
      <c r="P269" s="71" t="s">
        <v>275</v>
      </c>
      <c r="Q269" s="88">
        <v>7.38991758705151E-3</v>
      </c>
      <c r="R269" s="89" t="s">
        <v>276</v>
      </c>
      <c r="S269" s="89"/>
      <c r="T269">
        <v>8.6999999999999993</v>
      </c>
      <c r="U269" s="76">
        <v>0.2</v>
      </c>
      <c r="V269">
        <v>9.8000000000000007</v>
      </c>
      <c r="W269" s="90">
        <v>0.1</v>
      </c>
      <c r="X269" s="90"/>
      <c r="Y269" s="71"/>
      <c r="Z269" s="71"/>
      <c r="AA269" s="71"/>
      <c r="AB269" s="71"/>
      <c r="AC269" s="71"/>
      <c r="AD269" s="71"/>
      <c r="AE269" s="71"/>
      <c r="AF269" s="71"/>
      <c r="AG269" s="82">
        <v>0.1</v>
      </c>
      <c r="AH269" s="76"/>
      <c r="AI269" s="76"/>
      <c r="AJ269" s="76"/>
      <c r="AK269" s="71">
        <v>0.15</v>
      </c>
      <c r="AL269" s="88">
        <v>3.3848190498164003E-2</v>
      </c>
      <c r="AM269" s="89">
        <f t="shared" si="4"/>
        <v>0.22565460332109336</v>
      </c>
      <c r="AN269" s="78"/>
    </row>
    <row r="270" spans="1:40" x14ac:dyDescent="0.25">
      <c r="A270" t="s">
        <v>44</v>
      </c>
      <c r="B270" t="s">
        <v>45</v>
      </c>
      <c r="C270" s="121" t="s">
        <v>174</v>
      </c>
      <c r="D270" t="s">
        <v>194</v>
      </c>
      <c r="E270" t="s">
        <v>61</v>
      </c>
      <c r="F270">
        <v>1</v>
      </c>
      <c r="G270">
        <v>65</v>
      </c>
      <c r="H270" s="86">
        <v>45963.125010381998</v>
      </c>
      <c r="I270" s="86">
        <v>45963.197185937497</v>
      </c>
      <c r="J270" s="87">
        <v>1.7322133333333301</v>
      </c>
      <c r="K270" s="69" t="s">
        <v>274</v>
      </c>
      <c r="L270" s="69"/>
      <c r="M270" s="71"/>
      <c r="N270" s="71"/>
      <c r="O270" s="71"/>
      <c r="P270" s="71" t="s">
        <v>275</v>
      </c>
      <c r="Q270" s="88">
        <v>6.5308802015840899E-3</v>
      </c>
      <c r="R270" s="89" t="s">
        <v>276</v>
      </c>
      <c r="S270" s="89"/>
      <c r="T270">
        <v>8.1</v>
      </c>
      <c r="U270" s="76">
        <v>0.2</v>
      </c>
      <c r="V270">
        <v>9.6999999999999993</v>
      </c>
      <c r="W270" s="90">
        <v>0.1</v>
      </c>
      <c r="X270" s="90"/>
      <c r="Y270" s="71"/>
      <c r="Z270" s="71"/>
      <c r="AA270" s="71"/>
      <c r="AB270" s="71"/>
      <c r="AC270" s="71"/>
      <c r="AD270" s="71"/>
      <c r="AE270" s="71"/>
      <c r="AF270" s="71"/>
      <c r="AG270" s="82">
        <v>0</v>
      </c>
      <c r="AH270" s="76"/>
      <c r="AI270" s="76"/>
      <c r="AJ270" s="76"/>
      <c r="AK270" s="71">
        <v>0.15</v>
      </c>
      <c r="AL270" s="88">
        <v>3.3848190498164003E-2</v>
      </c>
      <c r="AM270" s="89">
        <f t="shared" si="4"/>
        <v>0.22565460332109336</v>
      </c>
      <c r="AN270" s="78"/>
    </row>
    <row r="271" spans="1:40" x14ac:dyDescent="0.25">
      <c r="A271" t="s">
        <v>44</v>
      </c>
      <c r="B271" t="s">
        <v>45</v>
      </c>
      <c r="C271" s="121" t="s">
        <v>174</v>
      </c>
      <c r="D271" t="s">
        <v>194</v>
      </c>
      <c r="E271" t="s">
        <v>61</v>
      </c>
      <c r="F271">
        <v>1</v>
      </c>
      <c r="G271">
        <v>66</v>
      </c>
      <c r="H271" s="86">
        <v>45963.197185937497</v>
      </c>
      <c r="I271" s="86">
        <v>45963.269369016198</v>
      </c>
      <c r="J271" s="87">
        <v>1.7323938888888899</v>
      </c>
      <c r="K271" s="69" t="s">
        <v>274</v>
      </c>
      <c r="L271" s="69"/>
      <c r="M271" s="71"/>
      <c r="N271" s="71"/>
      <c r="O271" s="71"/>
      <c r="P271" s="71" t="s">
        <v>275</v>
      </c>
      <c r="Q271" s="88">
        <v>6.1741456563676996E-3</v>
      </c>
      <c r="R271" s="89" t="s">
        <v>276</v>
      </c>
      <c r="S271" s="89"/>
      <c r="T271">
        <v>8.1999999999999993</v>
      </c>
      <c r="U271" s="76">
        <v>0.2</v>
      </c>
      <c r="V271">
        <v>9.6999999999999993</v>
      </c>
      <c r="W271" s="90">
        <v>0.1</v>
      </c>
      <c r="X271" s="90"/>
      <c r="Y271" s="71"/>
      <c r="Z271" s="71"/>
      <c r="AA271" s="71"/>
      <c r="AB271" s="71"/>
      <c r="AC271" s="71"/>
      <c r="AD271" s="71"/>
      <c r="AE271" s="71"/>
      <c r="AF271" s="71"/>
      <c r="AG271" s="82">
        <v>0</v>
      </c>
      <c r="AH271" s="76"/>
      <c r="AI271" s="76"/>
      <c r="AJ271" s="76"/>
      <c r="AK271" s="71">
        <v>0.15</v>
      </c>
      <c r="AL271" s="88">
        <v>3.3848190498164003E-2</v>
      </c>
      <c r="AM271" s="89">
        <f t="shared" si="4"/>
        <v>0.22565460332109336</v>
      </c>
      <c r="AN271" s="78"/>
    </row>
    <row r="272" spans="1:40" x14ac:dyDescent="0.25">
      <c r="A272" t="s">
        <v>44</v>
      </c>
      <c r="B272" t="s">
        <v>45</v>
      </c>
      <c r="C272" s="121" t="s">
        <v>174</v>
      </c>
      <c r="D272" t="s">
        <v>194</v>
      </c>
      <c r="E272" t="s">
        <v>61</v>
      </c>
      <c r="F272">
        <v>1</v>
      </c>
      <c r="G272">
        <v>67</v>
      </c>
      <c r="H272" s="86">
        <v>45963.269369016198</v>
      </c>
      <c r="I272" s="86">
        <v>45963.341546134303</v>
      </c>
      <c r="J272" s="87">
        <v>1.73225083333333</v>
      </c>
      <c r="K272" s="69" t="s">
        <v>274</v>
      </c>
      <c r="L272" s="69"/>
      <c r="M272" s="71"/>
      <c r="N272" s="71"/>
      <c r="O272" s="71"/>
      <c r="P272" s="71" t="s">
        <v>275</v>
      </c>
      <c r="Q272" s="88">
        <v>6.41943496689286E-3</v>
      </c>
      <c r="R272" s="89" t="s">
        <v>276</v>
      </c>
      <c r="S272" s="89"/>
      <c r="T272">
        <v>8.6</v>
      </c>
      <c r="U272" s="76">
        <v>0.2</v>
      </c>
      <c r="V272">
        <v>9.6</v>
      </c>
      <c r="W272" s="90">
        <v>0.1</v>
      </c>
      <c r="X272" s="90"/>
      <c r="Y272" s="71"/>
      <c r="Z272" s="71"/>
      <c r="AA272" s="71"/>
      <c r="AB272" s="71"/>
      <c r="AC272" s="71"/>
      <c r="AD272" s="71"/>
      <c r="AE272" s="71"/>
      <c r="AF272" s="71"/>
      <c r="AG272" s="82">
        <v>0</v>
      </c>
      <c r="AH272" s="76"/>
      <c r="AI272" s="76"/>
      <c r="AJ272" s="76"/>
      <c r="AK272" s="71">
        <v>0.15</v>
      </c>
      <c r="AL272" s="88">
        <v>3.3848190498164003E-2</v>
      </c>
      <c r="AM272" s="89">
        <f t="shared" si="4"/>
        <v>0.22565460332109336</v>
      </c>
      <c r="AN272" s="78"/>
    </row>
    <row r="273" spans="1:40" x14ac:dyDescent="0.25">
      <c r="A273" t="s">
        <v>44</v>
      </c>
      <c r="B273" t="s">
        <v>45</v>
      </c>
      <c r="C273" s="121" t="s">
        <v>174</v>
      </c>
      <c r="D273" t="s">
        <v>194</v>
      </c>
      <c r="E273" t="s">
        <v>61</v>
      </c>
      <c r="F273">
        <v>1</v>
      </c>
      <c r="G273">
        <v>68</v>
      </c>
      <c r="H273" s="86">
        <v>45963.341546134303</v>
      </c>
      <c r="I273" s="86">
        <v>45963.413728368098</v>
      </c>
      <c r="J273" s="87">
        <v>1.7323736111111101</v>
      </c>
      <c r="K273" s="69" t="s">
        <v>274</v>
      </c>
      <c r="L273" s="69"/>
      <c r="M273" s="71"/>
      <c r="N273" s="71"/>
      <c r="O273" s="71"/>
      <c r="P273" s="71" t="s">
        <v>275</v>
      </c>
      <c r="Q273" s="88">
        <v>7.9583336830697793E-3</v>
      </c>
      <c r="R273" s="89" t="s">
        <v>276</v>
      </c>
      <c r="S273" s="89"/>
      <c r="T273">
        <v>8.9</v>
      </c>
      <c r="U273" s="76">
        <v>0.2</v>
      </c>
      <c r="V273">
        <v>9.6</v>
      </c>
      <c r="W273" s="90">
        <v>0.1</v>
      </c>
      <c r="X273" s="90"/>
      <c r="Y273" s="71"/>
      <c r="Z273" s="71"/>
      <c r="AA273" s="71"/>
      <c r="AB273" s="71"/>
      <c r="AC273" s="71"/>
      <c r="AD273" s="71"/>
      <c r="AE273" s="71"/>
      <c r="AF273" s="71"/>
      <c r="AG273" s="82">
        <v>3.9</v>
      </c>
      <c r="AH273" s="76"/>
      <c r="AI273" s="76"/>
      <c r="AJ273" s="76"/>
      <c r="AK273" s="71">
        <v>0.15</v>
      </c>
      <c r="AL273" s="88">
        <v>3.3848190498164003E-2</v>
      </c>
      <c r="AM273" s="89">
        <f t="shared" si="4"/>
        <v>0.22565460332109336</v>
      </c>
      <c r="AN273" s="78"/>
    </row>
    <row r="274" spans="1:40" x14ac:dyDescent="0.25">
      <c r="A274" t="s">
        <v>44</v>
      </c>
      <c r="B274" t="s">
        <v>45</v>
      </c>
      <c r="C274" s="121" t="s">
        <v>174</v>
      </c>
      <c r="D274" t="s">
        <v>194</v>
      </c>
      <c r="E274" t="s">
        <v>61</v>
      </c>
      <c r="F274">
        <v>1</v>
      </c>
      <c r="G274">
        <v>69</v>
      </c>
      <c r="H274" s="86">
        <v>45963.413728368098</v>
      </c>
      <c r="I274" s="86">
        <v>45963.485919571802</v>
      </c>
      <c r="J274" s="87">
        <v>1.7325888888888901</v>
      </c>
      <c r="K274" s="69" t="s">
        <v>274</v>
      </c>
      <c r="L274" s="69"/>
      <c r="M274" s="71"/>
      <c r="N274" s="71"/>
      <c r="O274" s="71"/>
      <c r="P274" s="71" t="s">
        <v>275</v>
      </c>
      <c r="Q274" s="88">
        <v>1.7507301785450999E-2</v>
      </c>
      <c r="R274" s="89" t="s">
        <v>276</v>
      </c>
      <c r="S274" s="89"/>
      <c r="T274">
        <v>10</v>
      </c>
      <c r="U274" s="76">
        <v>0.2</v>
      </c>
      <c r="V274">
        <v>9.6</v>
      </c>
      <c r="W274" s="90">
        <v>0.1</v>
      </c>
      <c r="X274" s="90"/>
      <c r="Y274" s="71"/>
      <c r="Z274" s="71"/>
      <c r="AA274" s="71"/>
      <c r="AB274" s="71"/>
      <c r="AC274" s="71"/>
      <c r="AD274" s="71"/>
      <c r="AE274" s="71"/>
      <c r="AF274" s="71"/>
      <c r="AG274" s="82">
        <v>0</v>
      </c>
      <c r="AH274" s="76"/>
      <c r="AI274" s="76"/>
      <c r="AJ274" s="76"/>
      <c r="AK274" s="71">
        <v>0.15</v>
      </c>
      <c r="AL274" s="88">
        <v>3.3848190498164003E-2</v>
      </c>
      <c r="AM274" s="89">
        <f t="shared" si="4"/>
        <v>0.22565460332109336</v>
      </c>
      <c r="AN274" s="78"/>
    </row>
    <row r="275" spans="1:40" x14ac:dyDescent="0.25">
      <c r="A275" t="s">
        <v>44</v>
      </c>
      <c r="B275" t="s">
        <v>45</v>
      </c>
      <c r="C275" s="121" t="s">
        <v>174</v>
      </c>
      <c r="D275" t="s">
        <v>194</v>
      </c>
      <c r="E275" t="s">
        <v>61</v>
      </c>
      <c r="F275">
        <v>1</v>
      </c>
      <c r="G275">
        <v>70</v>
      </c>
      <c r="H275" s="86">
        <v>45963.485919571802</v>
      </c>
      <c r="I275" s="86">
        <v>45963.558105694399</v>
      </c>
      <c r="J275" s="87">
        <v>1.73246694444444</v>
      </c>
      <c r="K275" s="69" t="s">
        <v>274</v>
      </c>
      <c r="L275" s="69"/>
      <c r="M275" s="71"/>
      <c r="N275" s="71"/>
      <c r="O275" s="71"/>
      <c r="P275" s="71" t="s">
        <v>275</v>
      </c>
      <c r="Q275" s="88">
        <v>6.5431620424250894E-2</v>
      </c>
      <c r="R275" s="89" t="s">
        <v>276</v>
      </c>
      <c r="S275" s="89"/>
      <c r="T275">
        <v>12.6</v>
      </c>
      <c r="U275" s="76">
        <v>0.2</v>
      </c>
      <c r="V275">
        <v>9.6999999999999993</v>
      </c>
      <c r="W275" s="90">
        <v>0.1</v>
      </c>
      <c r="X275" s="90"/>
      <c r="Y275" s="71"/>
      <c r="Z275" s="71"/>
      <c r="AA275" s="71"/>
      <c r="AB275" s="71"/>
      <c r="AC275" s="71"/>
      <c r="AD275" s="71"/>
      <c r="AE275" s="71"/>
      <c r="AF275" s="71"/>
      <c r="AG275" s="82">
        <v>0</v>
      </c>
      <c r="AH275" s="76"/>
      <c r="AI275" s="76"/>
      <c r="AJ275" s="76"/>
      <c r="AK275" s="71">
        <v>0.15</v>
      </c>
      <c r="AL275" s="88">
        <v>3.3848190498164003E-2</v>
      </c>
      <c r="AM275" s="89">
        <f t="shared" si="4"/>
        <v>0.22565460332109336</v>
      </c>
      <c r="AN275" s="78"/>
    </row>
    <row r="276" spans="1:40" x14ac:dyDescent="0.25">
      <c r="A276" t="s">
        <v>44</v>
      </c>
      <c r="B276" t="s">
        <v>45</v>
      </c>
      <c r="C276" s="121" t="s">
        <v>174</v>
      </c>
      <c r="D276" t="s">
        <v>194</v>
      </c>
      <c r="E276" t="s">
        <v>61</v>
      </c>
      <c r="F276">
        <v>1</v>
      </c>
      <c r="G276">
        <v>71</v>
      </c>
      <c r="H276" s="86">
        <v>45963.558105694399</v>
      </c>
      <c r="I276" s="86">
        <v>45963.6303028935</v>
      </c>
      <c r="J276" s="87">
        <v>1.7327327777777799</v>
      </c>
      <c r="K276" s="69" t="s">
        <v>274</v>
      </c>
      <c r="L276" s="69"/>
      <c r="M276" s="71"/>
      <c r="N276" s="71"/>
      <c r="O276" s="71"/>
      <c r="P276" s="71" t="s">
        <v>275</v>
      </c>
      <c r="Q276" s="88">
        <v>4.0868401536118697E-2</v>
      </c>
      <c r="R276" s="89" t="s">
        <v>276</v>
      </c>
      <c r="S276" s="89"/>
      <c r="T276">
        <v>12.8</v>
      </c>
      <c r="U276" s="76">
        <v>0.2</v>
      </c>
      <c r="V276">
        <v>9.8000000000000007</v>
      </c>
      <c r="W276" s="90">
        <v>0.1</v>
      </c>
      <c r="X276" s="90"/>
      <c r="Y276" s="71"/>
      <c r="Z276" s="71"/>
      <c r="AA276" s="71"/>
      <c r="AB276" s="71"/>
      <c r="AC276" s="71"/>
      <c r="AD276" s="71"/>
      <c r="AE276" s="71"/>
      <c r="AF276" s="71"/>
      <c r="AG276" s="82">
        <v>0.2</v>
      </c>
      <c r="AH276" s="76"/>
      <c r="AI276" s="76"/>
      <c r="AJ276" s="76"/>
      <c r="AK276" s="71">
        <v>0.15</v>
      </c>
      <c r="AL276" s="88">
        <v>3.3848190498164003E-2</v>
      </c>
      <c r="AM276" s="89">
        <f t="shared" si="4"/>
        <v>0.22565460332109336</v>
      </c>
      <c r="AN276" s="78"/>
    </row>
    <row r="277" spans="1:40" x14ac:dyDescent="0.25">
      <c r="A277" t="s">
        <v>44</v>
      </c>
      <c r="B277" t="s">
        <v>45</v>
      </c>
      <c r="C277" s="121" t="s">
        <v>174</v>
      </c>
      <c r="D277" t="s">
        <v>194</v>
      </c>
      <c r="E277" t="s">
        <v>61</v>
      </c>
      <c r="F277">
        <v>1</v>
      </c>
      <c r="G277">
        <v>72</v>
      </c>
      <c r="H277" s="86">
        <v>45963.6303028935</v>
      </c>
      <c r="I277" s="86">
        <v>45963.7024822569</v>
      </c>
      <c r="J277" s="87">
        <v>1.7323047222222201</v>
      </c>
      <c r="K277" s="69" t="s">
        <v>274</v>
      </c>
      <c r="L277" s="69"/>
      <c r="M277" s="71"/>
      <c r="N277" s="71"/>
      <c r="O277" s="71"/>
      <c r="P277" s="71" t="s">
        <v>275</v>
      </c>
      <c r="Q277" s="88">
        <v>1.9858764100902E-2</v>
      </c>
      <c r="R277" s="89" t="s">
        <v>276</v>
      </c>
      <c r="S277" s="89"/>
      <c r="T277">
        <v>10.8</v>
      </c>
      <c r="U277" s="76">
        <v>0.2</v>
      </c>
      <c r="V277">
        <v>10.1</v>
      </c>
      <c r="W277" s="90">
        <v>0.1</v>
      </c>
      <c r="X277" s="90"/>
      <c r="Y277" s="71"/>
      <c r="Z277" s="71"/>
      <c r="AA277" s="71"/>
      <c r="AB277" s="71"/>
      <c r="AC277" s="71"/>
      <c r="AD277" s="71"/>
      <c r="AE277" s="71"/>
      <c r="AF277" s="71"/>
      <c r="AG277" s="82">
        <v>0</v>
      </c>
      <c r="AH277" s="76"/>
      <c r="AI277" s="76"/>
      <c r="AJ277" s="76"/>
      <c r="AK277" s="71">
        <v>0.15</v>
      </c>
      <c r="AL277" s="88">
        <v>3.3848190498164003E-2</v>
      </c>
      <c r="AM277" s="89">
        <f t="shared" si="4"/>
        <v>0.22565460332109336</v>
      </c>
      <c r="AN277" s="78"/>
    </row>
    <row r="278" spans="1:40" x14ac:dyDescent="0.25">
      <c r="A278" t="s">
        <v>44</v>
      </c>
      <c r="B278" t="s">
        <v>45</v>
      </c>
      <c r="C278" s="121" t="s">
        <v>174</v>
      </c>
      <c r="D278" t="s">
        <v>194</v>
      </c>
      <c r="E278" t="s">
        <v>61</v>
      </c>
      <c r="F278">
        <v>1</v>
      </c>
      <c r="G278">
        <v>73</v>
      </c>
      <c r="H278" s="86">
        <v>45963.7024822569</v>
      </c>
      <c r="I278" s="86">
        <v>45963.774660960698</v>
      </c>
      <c r="J278" s="87">
        <v>1.7322888888888901</v>
      </c>
      <c r="K278" s="69" t="s">
        <v>274</v>
      </c>
      <c r="L278" s="69"/>
      <c r="M278" s="71"/>
      <c r="N278" s="71"/>
      <c r="O278" s="71"/>
      <c r="P278" s="71" t="s">
        <v>275</v>
      </c>
      <c r="Q278" s="88">
        <v>6.8079879514466399E-3</v>
      </c>
      <c r="R278" s="89" t="s">
        <v>276</v>
      </c>
      <c r="S278" s="89"/>
      <c r="T278">
        <v>6.4</v>
      </c>
      <c r="U278" s="76">
        <v>0.2</v>
      </c>
      <c r="V278">
        <v>10.199999999999999</v>
      </c>
      <c r="W278" s="90">
        <v>0.1</v>
      </c>
      <c r="X278" s="90"/>
      <c r="Y278" s="71"/>
      <c r="Z278" s="71"/>
      <c r="AA278" s="71"/>
      <c r="AB278" s="71"/>
      <c r="AC278" s="71"/>
      <c r="AD278" s="71"/>
      <c r="AE278" s="71"/>
      <c r="AF278" s="71"/>
      <c r="AG278" s="82">
        <v>0</v>
      </c>
      <c r="AH278" s="76"/>
      <c r="AI278" s="76"/>
      <c r="AJ278" s="76"/>
      <c r="AK278" s="71">
        <v>0.15</v>
      </c>
      <c r="AL278" s="88">
        <v>3.3848190498164003E-2</v>
      </c>
      <c r="AM278" s="89">
        <f t="shared" si="4"/>
        <v>0.22565460332109336</v>
      </c>
      <c r="AN278" s="78"/>
    </row>
    <row r="279" spans="1:40" x14ac:dyDescent="0.25">
      <c r="A279" t="s">
        <v>44</v>
      </c>
      <c r="B279" t="s">
        <v>45</v>
      </c>
      <c r="C279" s="121" t="s">
        <v>174</v>
      </c>
      <c r="D279" t="s">
        <v>194</v>
      </c>
      <c r="E279" t="s">
        <v>61</v>
      </c>
      <c r="F279">
        <v>1</v>
      </c>
      <c r="G279">
        <v>74</v>
      </c>
      <c r="H279" s="86">
        <v>45963.774660960698</v>
      </c>
      <c r="I279" s="86">
        <v>45963.846841909697</v>
      </c>
      <c r="J279" s="87">
        <v>1.73234277777778</v>
      </c>
      <c r="K279" s="69" t="s">
        <v>274</v>
      </c>
      <c r="L279" s="69"/>
      <c r="M279" s="71"/>
      <c r="N279" s="71"/>
      <c r="O279" s="71"/>
      <c r="P279" s="71" t="s">
        <v>275</v>
      </c>
      <c r="Q279" s="88">
        <v>4.29930605417129E-3</v>
      </c>
      <c r="R279" s="89" t="s">
        <v>276</v>
      </c>
      <c r="S279" s="89"/>
      <c r="T279">
        <v>5.8</v>
      </c>
      <c r="U279" s="76">
        <v>0.2</v>
      </c>
      <c r="V279">
        <v>10</v>
      </c>
      <c r="W279" s="90">
        <v>0.1</v>
      </c>
      <c r="X279" s="90"/>
      <c r="Y279" s="71"/>
      <c r="Z279" s="71"/>
      <c r="AA279" s="71"/>
      <c r="AB279" s="71"/>
      <c r="AC279" s="71"/>
      <c r="AD279" s="71"/>
      <c r="AE279" s="71"/>
      <c r="AF279" s="71"/>
      <c r="AG279" s="82">
        <v>0</v>
      </c>
      <c r="AH279" s="76"/>
      <c r="AI279" s="76"/>
      <c r="AJ279" s="76"/>
      <c r="AK279" s="71">
        <v>0.15</v>
      </c>
      <c r="AL279" s="88">
        <v>3.3848190498164003E-2</v>
      </c>
      <c r="AM279" s="89">
        <f t="shared" si="4"/>
        <v>0.22565460332109336</v>
      </c>
      <c r="AN279" s="78"/>
    </row>
    <row r="280" spans="1:40" x14ac:dyDescent="0.25">
      <c r="A280" t="s">
        <v>44</v>
      </c>
      <c r="B280" t="s">
        <v>45</v>
      </c>
      <c r="C280" s="121" t="s">
        <v>174</v>
      </c>
      <c r="D280" t="s">
        <v>194</v>
      </c>
      <c r="E280" t="s">
        <v>61</v>
      </c>
      <c r="F280">
        <v>1</v>
      </c>
      <c r="G280">
        <v>75</v>
      </c>
      <c r="H280" s="86">
        <v>45963.846841909697</v>
      </c>
      <c r="I280" s="86">
        <v>45963.919030358797</v>
      </c>
      <c r="J280" s="87">
        <v>1.7325227777777801</v>
      </c>
      <c r="K280" s="69" t="s">
        <v>274</v>
      </c>
      <c r="L280" s="69"/>
      <c r="M280" s="71"/>
      <c r="N280" s="71"/>
      <c r="O280" s="71"/>
      <c r="P280" s="71" t="s">
        <v>275</v>
      </c>
      <c r="Q280" s="88">
        <v>3.1551219409842101E-3</v>
      </c>
      <c r="R280" s="89" t="s">
        <v>276</v>
      </c>
      <c r="S280" s="89"/>
      <c r="T280">
        <v>6.4</v>
      </c>
      <c r="U280" s="76">
        <v>0.2</v>
      </c>
      <c r="V280">
        <v>9.9</v>
      </c>
      <c r="W280" s="90">
        <v>0.1</v>
      </c>
      <c r="X280" s="90"/>
      <c r="Y280" s="71"/>
      <c r="Z280" s="71"/>
      <c r="AA280" s="71"/>
      <c r="AB280" s="71"/>
      <c r="AC280" s="71"/>
      <c r="AD280" s="71"/>
      <c r="AE280" s="71"/>
      <c r="AF280" s="71"/>
      <c r="AG280" s="82">
        <v>0</v>
      </c>
      <c r="AH280" s="76"/>
      <c r="AI280" s="76"/>
      <c r="AJ280" s="76"/>
      <c r="AK280" s="71">
        <v>0.15</v>
      </c>
      <c r="AL280" s="88">
        <v>3.3848190498164003E-2</v>
      </c>
      <c r="AM280" s="89">
        <f t="shared" si="4"/>
        <v>0.22565460332109336</v>
      </c>
      <c r="AN280" s="78"/>
    </row>
    <row r="281" spans="1:40" x14ac:dyDescent="0.25">
      <c r="A281" t="s">
        <v>44</v>
      </c>
      <c r="B281" t="s">
        <v>45</v>
      </c>
      <c r="C281" s="121" t="s">
        <v>174</v>
      </c>
      <c r="D281" t="s">
        <v>194</v>
      </c>
      <c r="E281" t="s">
        <v>61</v>
      </c>
      <c r="F281">
        <v>1</v>
      </c>
      <c r="G281">
        <v>76</v>
      </c>
      <c r="H281" s="86">
        <v>45963.919030358797</v>
      </c>
      <c r="I281" s="86">
        <v>45963.991217858798</v>
      </c>
      <c r="J281" s="87">
        <v>1.7324999999999999</v>
      </c>
      <c r="K281" s="69" t="s">
        <v>274</v>
      </c>
      <c r="L281" s="69"/>
      <c r="M281" s="71"/>
      <c r="N281" s="71"/>
      <c r="O281" s="71"/>
      <c r="P281" s="71" t="s">
        <v>275</v>
      </c>
      <c r="Q281" s="88">
        <v>3.0896110500991001E-3</v>
      </c>
      <c r="R281" s="89" t="s">
        <v>276</v>
      </c>
      <c r="S281" s="89"/>
      <c r="T281">
        <v>6.7</v>
      </c>
      <c r="U281" s="76">
        <v>0.2</v>
      </c>
      <c r="V281">
        <v>9.6999999999999993</v>
      </c>
      <c r="W281" s="90">
        <v>0.1</v>
      </c>
      <c r="X281" s="90"/>
      <c r="Y281" s="71"/>
      <c r="Z281" s="71"/>
      <c r="AA281" s="71"/>
      <c r="AB281" s="71"/>
      <c r="AC281" s="71"/>
      <c r="AD281" s="71"/>
      <c r="AE281" s="71"/>
      <c r="AF281" s="71"/>
      <c r="AG281" s="82">
        <v>0</v>
      </c>
      <c r="AH281" s="76"/>
      <c r="AI281" s="76"/>
      <c r="AJ281" s="76"/>
      <c r="AK281" s="71">
        <v>0.15</v>
      </c>
      <c r="AL281" s="88">
        <v>3.3848190498164003E-2</v>
      </c>
      <c r="AM281" s="89">
        <f t="shared" si="4"/>
        <v>0.22565460332109336</v>
      </c>
      <c r="AN281" s="78"/>
    </row>
    <row r="282" spans="1:40" x14ac:dyDescent="0.25">
      <c r="A282" t="s">
        <v>44</v>
      </c>
      <c r="B282" t="s">
        <v>45</v>
      </c>
      <c r="C282" s="121" t="s">
        <v>174</v>
      </c>
      <c r="D282" t="s">
        <v>194</v>
      </c>
      <c r="E282" t="s">
        <v>61</v>
      </c>
      <c r="F282">
        <v>1</v>
      </c>
      <c r="G282">
        <v>77</v>
      </c>
      <c r="H282" s="86">
        <v>45963.991217858798</v>
      </c>
      <c r="I282" s="86">
        <v>45964.063396608799</v>
      </c>
      <c r="J282" s="87">
        <v>1.7322900000000001</v>
      </c>
      <c r="K282" s="69" t="s">
        <v>274</v>
      </c>
      <c r="L282" s="69"/>
      <c r="M282" s="71"/>
      <c r="N282" s="71"/>
      <c r="O282" s="71"/>
      <c r="P282" s="71" t="s">
        <v>275</v>
      </c>
      <c r="Q282" s="88">
        <v>3.0092634981905902E-3</v>
      </c>
      <c r="R282" s="89" t="s">
        <v>276</v>
      </c>
      <c r="S282" s="89"/>
      <c r="T282">
        <v>6.8</v>
      </c>
      <c r="U282" s="76">
        <v>0.2</v>
      </c>
      <c r="V282">
        <v>9.6</v>
      </c>
      <c r="W282" s="90">
        <v>0.1</v>
      </c>
      <c r="X282" s="90"/>
      <c r="Y282" s="71"/>
      <c r="Z282" s="71"/>
      <c r="AA282" s="71"/>
      <c r="AB282" s="71"/>
      <c r="AC282" s="71"/>
      <c r="AD282" s="71"/>
      <c r="AE282" s="71"/>
      <c r="AF282" s="71"/>
      <c r="AG282" s="82">
        <v>0</v>
      </c>
      <c r="AH282" s="76"/>
      <c r="AI282" s="76"/>
      <c r="AJ282" s="76"/>
      <c r="AK282" s="71">
        <v>0.15</v>
      </c>
      <c r="AL282" s="88">
        <v>3.3848190498164003E-2</v>
      </c>
      <c r="AM282" s="89">
        <f t="shared" si="4"/>
        <v>0.22565460332109336</v>
      </c>
      <c r="AN282" s="78"/>
    </row>
    <row r="283" spans="1:40" x14ac:dyDescent="0.25">
      <c r="A283" t="s">
        <v>44</v>
      </c>
      <c r="B283" t="s">
        <v>45</v>
      </c>
      <c r="C283" s="121" t="s">
        <v>174</v>
      </c>
      <c r="D283" t="s">
        <v>194</v>
      </c>
      <c r="E283" t="s">
        <v>61</v>
      </c>
      <c r="F283">
        <v>1</v>
      </c>
      <c r="G283">
        <v>78</v>
      </c>
      <c r="H283" s="86">
        <v>45964.063396608799</v>
      </c>
      <c r="I283" s="86">
        <v>45964.1355801389</v>
      </c>
      <c r="J283" s="87">
        <v>1.7324047222222201</v>
      </c>
      <c r="K283" s="69" t="s">
        <v>274</v>
      </c>
      <c r="L283" s="69"/>
      <c r="M283" s="71"/>
      <c r="N283" s="71"/>
      <c r="O283" s="71"/>
      <c r="P283" s="71" t="s">
        <v>275</v>
      </c>
      <c r="Q283" s="88">
        <v>4.3401160814756298E-3</v>
      </c>
      <c r="R283" s="89" t="s">
        <v>276</v>
      </c>
      <c r="S283" s="89"/>
      <c r="T283">
        <v>6.7</v>
      </c>
      <c r="U283" s="76">
        <v>0.2</v>
      </c>
      <c r="V283">
        <v>9.5</v>
      </c>
      <c r="W283" s="90">
        <v>0.1</v>
      </c>
      <c r="X283" s="90"/>
      <c r="Y283" s="71"/>
      <c r="Z283" s="71"/>
      <c r="AA283" s="71"/>
      <c r="AB283" s="71"/>
      <c r="AC283" s="71"/>
      <c r="AD283" s="71"/>
      <c r="AE283" s="71"/>
      <c r="AF283" s="71"/>
      <c r="AG283" s="82">
        <v>0</v>
      </c>
      <c r="AH283" s="76"/>
      <c r="AI283" s="76"/>
      <c r="AJ283" s="76"/>
      <c r="AK283" s="71">
        <v>0.15</v>
      </c>
      <c r="AL283" s="88">
        <v>3.3848190498164003E-2</v>
      </c>
      <c r="AM283" s="89">
        <f t="shared" si="4"/>
        <v>0.22565460332109336</v>
      </c>
      <c r="AN283" s="78"/>
    </row>
    <row r="284" spans="1:40" x14ac:dyDescent="0.25">
      <c r="A284" t="s">
        <v>44</v>
      </c>
      <c r="B284" t="s">
        <v>45</v>
      </c>
      <c r="C284" s="121" t="s">
        <v>174</v>
      </c>
      <c r="D284" t="s">
        <v>194</v>
      </c>
      <c r="E284" t="s">
        <v>61</v>
      </c>
      <c r="F284">
        <v>1</v>
      </c>
      <c r="G284">
        <v>79</v>
      </c>
      <c r="H284" s="86">
        <v>45964.1355801389</v>
      </c>
      <c r="I284" s="86">
        <v>45964.207770624998</v>
      </c>
      <c r="J284" s="87">
        <v>1.73257166666667</v>
      </c>
      <c r="K284" s="69" t="s">
        <v>274</v>
      </c>
      <c r="L284" s="69"/>
      <c r="M284" s="71"/>
      <c r="N284" s="71"/>
      <c r="O284" s="71"/>
      <c r="P284" s="71" t="s">
        <v>275</v>
      </c>
      <c r="Q284" s="88">
        <v>4.8168373205413999E-3</v>
      </c>
      <c r="R284" s="89" t="s">
        <v>276</v>
      </c>
      <c r="S284" s="89"/>
      <c r="T284">
        <v>6.7</v>
      </c>
      <c r="U284" s="76">
        <v>0.2</v>
      </c>
      <c r="V284">
        <v>9.5</v>
      </c>
      <c r="W284" s="90">
        <v>0.1</v>
      </c>
      <c r="X284" s="90"/>
      <c r="Y284" s="71"/>
      <c r="Z284" s="71"/>
      <c r="AA284" s="71"/>
      <c r="AB284" s="71"/>
      <c r="AC284" s="71"/>
      <c r="AD284" s="71"/>
      <c r="AE284" s="71"/>
      <c r="AF284" s="71"/>
      <c r="AG284" s="82">
        <v>0</v>
      </c>
      <c r="AH284" s="76"/>
      <c r="AI284" s="76"/>
      <c r="AJ284" s="76"/>
      <c r="AK284" s="71">
        <v>0.15</v>
      </c>
      <c r="AL284" s="88">
        <v>3.3848190498164003E-2</v>
      </c>
      <c r="AM284" s="89">
        <f t="shared" si="4"/>
        <v>0.22565460332109336</v>
      </c>
      <c r="AN284" s="78"/>
    </row>
    <row r="285" spans="1:40" x14ac:dyDescent="0.25">
      <c r="A285" t="s">
        <v>44</v>
      </c>
      <c r="B285" t="s">
        <v>45</v>
      </c>
      <c r="C285" s="121" t="s">
        <v>174</v>
      </c>
      <c r="D285" t="s">
        <v>194</v>
      </c>
      <c r="E285" t="s">
        <v>61</v>
      </c>
      <c r="F285">
        <v>1</v>
      </c>
      <c r="G285">
        <v>80</v>
      </c>
      <c r="H285" s="86">
        <v>45964.207770624998</v>
      </c>
      <c r="I285" s="86">
        <v>45964.279948946802</v>
      </c>
      <c r="J285" s="87">
        <v>1.7322797222222199</v>
      </c>
      <c r="K285" s="69" t="s">
        <v>274</v>
      </c>
      <c r="L285" s="69"/>
      <c r="M285" s="71"/>
      <c r="N285" s="71"/>
      <c r="O285" s="71"/>
      <c r="P285" s="71" t="s">
        <v>275</v>
      </c>
      <c r="Q285" s="88">
        <v>3.24468336773513E-3</v>
      </c>
      <c r="R285" s="89" t="s">
        <v>276</v>
      </c>
      <c r="S285" s="89"/>
      <c r="T285">
        <v>6.5</v>
      </c>
      <c r="U285" s="76">
        <v>0.2</v>
      </c>
      <c r="V285">
        <v>9.4</v>
      </c>
      <c r="W285" s="90">
        <v>0.1</v>
      </c>
      <c r="X285" s="90"/>
      <c r="Y285" s="71"/>
      <c r="Z285" s="71"/>
      <c r="AA285" s="71"/>
      <c r="AB285" s="71"/>
      <c r="AC285" s="71"/>
      <c r="AD285" s="71"/>
      <c r="AE285" s="71"/>
      <c r="AF285" s="71"/>
      <c r="AG285" s="82">
        <v>0</v>
      </c>
      <c r="AH285" s="76"/>
      <c r="AI285" s="76"/>
      <c r="AJ285" s="76"/>
      <c r="AK285" s="71">
        <v>0.15</v>
      </c>
      <c r="AL285" s="88">
        <v>3.3848190498164003E-2</v>
      </c>
      <c r="AM285" s="89">
        <f t="shared" si="4"/>
        <v>0.22565460332109336</v>
      </c>
      <c r="AN285" s="78"/>
    </row>
    <row r="286" spans="1:40" x14ac:dyDescent="0.25">
      <c r="A286" t="s">
        <v>44</v>
      </c>
      <c r="B286" t="s">
        <v>45</v>
      </c>
      <c r="C286" s="121" t="s">
        <v>174</v>
      </c>
      <c r="D286" t="s">
        <v>194</v>
      </c>
      <c r="E286" t="s">
        <v>61</v>
      </c>
      <c r="F286">
        <v>1</v>
      </c>
      <c r="G286">
        <v>81</v>
      </c>
      <c r="H286" s="86">
        <v>45964.279948946802</v>
      </c>
      <c r="I286" s="86">
        <v>45964.352141736097</v>
      </c>
      <c r="J286" s="87">
        <v>1.73262694444444</v>
      </c>
      <c r="K286" s="69" t="s">
        <v>274</v>
      </c>
      <c r="L286" s="69"/>
      <c r="M286" s="71"/>
      <c r="N286" s="71"/>
      <c r="O286" s="71"/>
      <c r="P286" s="71" t="s">
        <v>275</v>
      </c>
      <c r="Q286" s="88">
        <v>4.7012643607880098E-3</v>
      </c>
      <c r="R286" s="89" t="s">
        <v>276</v>
      </c>
      <c r="S286" s="89"/>
      <c r="T286">
        <v>5.3</v>
      </c>
      <c r="U286" s="76">
        <v>0.2</v>
      </c>
      <c r="V286">
        <v>9.3000000000000007</v>
      </c>
      <c r="W286" s="90">
        <v>0.1</v>
      </c>
      <c r="X286" s="90"/>
      <c r="Y286" s="71"/>
      <c r="Z286" s="71"/>
      <c r="AA286" s="71"/>
      <c r="AB286" s="71"/>
      <c r="AC286" s="71"/>
      <c r="AD286" s="71"/>
      <c r="AE286" s="71"/>
      <c r="AF286" s="71"/>
      <c r="AG286" s="82">
        <v>0</v>
      </c>
      <c r="AH286" s="76"/>
      <c r="AI286" s="76"/>
      <c r="AJ286" s="76"/>
      <c r="AK286" s="71">
        <v>0.15</v>
      </c>
      <c r="AL286" s="88">
        <v>3.3848190498164003E-2</v>
      </c>
      <c r="AM286" s="89">
        <f t="shared" si="4"/>
        <v>0.22565460332109336</v>
      </c>
      <c r="AN286" s="78"/>
    </row>
    <row r="287" spans="1:40" x14ac:dyDescent="0.25">
      <c r="A287" t="s">
        <v>44</v>
      </c>
      <c r="B287" t="s">
        <v>45</v>
      </c>
      <c r="C287" s="121" t="s">
        <v>174</v>
      </c>
      <c r="D287" t="s">
        <v>194</v>
      </c>
      <c r="E287" t="s">
        <v>61</v>
      </c>
      <c r="F287">
        <v>1</v>
      </c>
      <c r="G287">
        <v>82</v>
      </c>
      <c r="H287" s="86">
        <v>45964.352141736097</v>
      </c>
      <c r="I287" s="86">
        <v>45964.424318877303</v>
      </c>
      <c r="J287" s="87">
        <v>1.73225138888889</v>
      </c>
      <c r="K287" s="69" t="s">
        <v>274</v>
      </c>
      <c r="L287" s="69"/>
      <c r="M287" s="71"/>
      <c r="N287" s="71"/>
      <c r="O287" s="71"/>
      <c r="P287" s="71" t="s">
        <v>275</v>
      </c>
      <c r="Q287" s="88">
        <v>9.1779200092044193E-3</v>
      </c>
      <c r="R287" s="89" t="s">
        <v>276</v>
      </c>
      <c r="S287" s="89"/>
      <c r="T287">
        <v>6</v>
      </c>
      <c r="U287" s="76">
        <v>0.2</v>
      </c>
      <c r="V287">
        <v>9.1999999999999993</v>
      </c>
      <c r="W287" s="90">
        <v>0.1</v>
      </c>
      <c r="X287" s="90"/>
      <c r="Y287" s="71"/>
      <c r="Z287" s="71"/>
      <c r="AA287" s="71"/>
      <c r="AB287" s="71"/>
      <c r="AC287" s="71"/>
      <c r="AD287" s="71"/>
      <c r="AE287" s="71"/>
      <c r="AF287" s="71"/>
      <c r="AG287" s="82">
        <v>0</v>
      </c>
      <c r="AH287" s="76"/>
      <c r="AI287" s="76"/>
      <c r="AJ287" s="76"/>
      <c r="AK287" s="71">
        <v>0.15</v>
      </c>
      <c r="AL287" s="88">
        <v>3.3848190498164003E-2</v>
      </c>
      <c r="AM287" s="89">
        <f t="shared" si="4"/>
        <v>0.22565460332109336</v>
      </c>
      <c r="AN287" s="78"/>
    </row>
    <row r="288" spans="1:40" x14ac:dyDescent="0.25">
      <c r="A288" t="s">
        <v>44</v>
      </c>
      <c r="B288" t="s">
        <v>45</v>
      </c>
      <c r="C288" s="121" t="s">
        <v>174</v>
      </c>
      <c r="D288" t="s">
        <v>194</v>
      </c>
      <c r="E288" t="s">
        <v>61</v>
      </c>
      <c r="F288">
        <v>1</v>
      </c>
      <c r="G288">
        <v>83</v>
      </c>
      <c r="H288" s="86">
        <v>45964.424318877303</v>
      </c>
      <c r="I288" s="86">
        <v>45964.496502037</v>
      </c>
      <c r="J288" s="87">
        <v>1.73239583333333</v>
      </c>
      <c r="K288" s="69" t="s">
        <v>274</v>
      </c>
      <c r="L288" s="69"/>
      <c r="M288" s="71"/>
      <c r="N288" s="71"/>
      <c r="O288" s="71"/>
      <c r="P288" s="71" t="s">
        <v>275</v>
      </c>
      <c r="Q288" s="88">
        <v>2.9766812136575199E-2</v>
      </c>
      <c r="R288" s="89" t="s">
        <v>276</v>
      </c>
      <c r="S288" s="89"/>
      <c r="T288">
        <v>9.3000000000000007</v>
      </c>
      <c r="U288" s="76">
        <v>0.2</v>
      </c>
      <c r="V288">
        <v>9.1999999999999993</v>
      </c>
      <c r="W288" s="90">
        <v>0.1</v>
      </c>
      <c r="X288" s="90"/>
      <c r="Y288" s="71"/>
      <c r="Z288" s="71"/>
      <c r="AA288" s="71"/>
      <c r="AB288" s="71"/>
      <c r="AC288" s="71"/>
      <c r="AD288" s="71"/>
      <c r="AE288" s="71"/>
      <c r="AF288" s="71"/>
      <c r="AG288" s="82">
        <v>0</v>
      </c>
      <c r="AH288" s="76"/>
      <c r="AI288" s="76"/>
      <c r="AJ288" s="76"/>
      <c r="AK288" s="71">
        <v>0.15</v>
      </c>
      <c r="AL288" s="88">
        <v>3.3848190498164003E-2</v>
      </c>
      <c r="AM288" s="89">
        <f t="shared" si="4"/>
        <v>0.22565460332109336</v>
      </c>
      <c r="AN288" s="78"/>
    </row>
    <row r="289" spans="1:40" x14ac:dyDescent="0.25">
      <c r="A289" t="s">
        <v>44</v>
      </c>
      <c r="B289" t="s">
        <v>45</v>
      </c>
      <c r="C289" s="121" t="s">
        <v>174</v>
      </c>
      <c r="D289" t="s">
        <v>194</v>
      </c>
      <c r="E289" t="s">
        <v>61</v>
      </c>
      <c r="F289">
        <v>1</v>
      </c>
      <c r="G289">
        <v>84</v>
      </c>
      <c r="H289" s="86">
        <v>45964.496502037</v>
      </c>
      <c r="I289" s="86">
        <v>45964.568682754601</v>
      </c>
      <c r="J289" s="87">
        <v>1.73233722222222</v>
      </c>
      <c r="K289" s="69" t="s">
        <v>274</v>
      </c>
      <c r="L289" s="69"/>
      <c r="M289" s="71"/>
      <c r="N289" s="71"/>
      <c r="O289" s="71"/>
      <c r="P289" s="71" t="s">
        <v>275</v>
      </c>
      <c r="Q289" s="88">
        <v>3.8601840371344398E-2</v>
      </c>
      <c r="R289" s="89" t="s">
        <v>276</v>
      </c>
      <c r="S289" s="89"/>
      <c r="T289">
        <v>10.5</v>
      </c>
      <c r="U289" s="76">
        <v>0.2</v>
      </c>
      <c r="V289">
        <v>9.1999999999999993</v>
      </c>
      <c r="W289" s="90">
        <v>0.1</v>
      </c>
      <c r="X289" s="90"/>
      <c r="Y289" s="71"/>
      <c r="Z289" s="71"/>
      <c r="AA289" s="71"/>
      <c r="AB289" s="71"/>
      <c r="AC289" s="71"/>
      <c r="AD289" s="71"/>
      <c r="AE289" s="71"/>
      <c r="AF289" s="71"/>
      <c r="AG289" s="82">
        <v>0</v>
      </c>
      <c r="AH289" s="76"/>
      <c r="AI289" s="76"/>
      <c r="AJ289" s="76"/>
      <c r="AK289" s="71">
        <v>0.15</v>
      </c>
      <c r="AL289" s="88">
        <v>3.3848190498164003E-2</v>
      </c>
      <c r="AM289" s="89">
        <f t="shared" si="4"/>
        <v>0.22565460332109336</v>
      </c>
      <c r="AN289" s="78"/>
    </row>
    <row r="290" spans="1:40" x14ac:dyDescent="0.25">
      <c r="A290" t="s">
        <v>44</v>
      </c>
      <c r="B290" t="s">
        <v>45</v>
      </c>
      <c r="C290" s="121" t="s">
        <v>174</v>
      </c>
      <c r="D290" t="s">
        <v>194</v>
      </c>
      <c r="E290" t="s">
        <v>61</v>
      </c>
      <c r="F290">
        <v>1</v>
      </c>
      <c r="G290">
        <v>85</v>
      </c>
      <c r="H290" s="86">
        <v>45964.568682754601</v>
      </c>
      <c r="I290" s="86">
        <v>45964.640868090297</v>
      </c>
      <c r="J290" s="87">
        <v>1.7324480555555599</v>
      </c>
      <c r="K290" s="69" t="s">
        <v>274</v>
      </c>
      <c r="L290" s="69"/>
      <c r="M290" s="71"/>
      <c r="N290" s="71"/>
      <c r="O290" s="71"/>
      <c r="P290" s="71" t="s">
        <v>275</v>
      </c>
      <c r="Q290" s="88">
        <v>2.5961787269344901E-2</v>
      </c>
      <c r="R290" s="89" t="s">
        <v>276</v>
      </c>
      <c r="S290" s="89"/>
      <c r="T290">
        <v>10.1</v>
      </c>
      <c r="U290" s="76">
        <v>0.2</v>
      </c>
      <c r="V290">
        <v>9.4</v>
      </c>
      <c r="W290" s="90">
        <v>0.1</v>
      </c>
      <c r="X290" s="90"/>
      <c r="Y290" s="71"/>
      <c r="Z290" s="71"/>
      <c r="AA290" s="71"/>
      <c r="AB290" s="71"/>
      <c r="AC290" s="71"/>
      <c r="AD290" s="71"/>
      <c r="AE290" s="71"/>
      <c r="AF290" s="71"/>
      <c r="AG290" s="82">
        <v>0.3</v>
      </c>
      <c r="AH290" s="76"/>
      <c r="AI290" s="76"/>
      <c r="AJ290" s="76"/>
      <c r="AK290" s="71">
        <v>0.15</v>
      </c>
      <c r="AL290" s="88">
        <v>3.3848190498164003E-2</v>
      </c>
      <c r="AM290" s="89">
        <f t="shared" si="4"/>
        <v>0.22565460332109336</v>
      </c>
      <c r="AN290" s="78"/>
    </row>
    <row r="291" spans="1:40" x14ac:dyDescent="0.25">
      <c r="A291" t="s">
        <v>44</v>
      </c>
      <c r="B291" t="s">
        <v>45</v>
      </c>
      <c r="C291" s="121" t="s">
        <v>174</v>
      </c>
      <c r="D291" t="s">
        <v>194</v>
      </c>
      <c r="E291" t="s">
        <v>61</v>
      </c>
      <c r="F291">
        <v>1</v>
      </c>
      <c r="G291">
        <v>86</v>
      </c>
      <c r="H291" s="86">
        <v>45964.640868090297</v>
      </c>
      <c r="I291" s="86">
        <v>45964.713056053202</v>
      </c>
      <c r="J291" s="87">
        <v>1.73251111111111</v>
      </c>
      <c r="K291" s="69" t="s">
        <v>274</v>
      </c>
      <c r="L291" s="69"/>
      <c r="M291" s="71"/>
      <c r="N291" s="71"/>
      <c r="O291" s="71"/>
      <c r="P291" s="71" t="s">
        <v>275</v>
      </c>
      <c r="Q291" s="88">
        <v>8.2368285914744092E-3</v>
      </c>
      <c r="R291" s="89" t="s">
        <v>276</v>
      </c>
      <c r="S291" s="89"/>
      <c r="T291">
        <v>9.6</v>
      </c>
      <c r="U291" s="76">
        <v>0.2</v>
      </c>
      <c r="V291">
        <v>9.5</v>
      </c>
      <c r="W291" s="90">
        <v>0.1</v>
      </c>
      <c r="X291" s="90"/>
      <c r="Y291" s="71"/>
      <c r="Z291" s="71"/>
      <c r="AA291" s="71"/>
      <c r="AB291" s="71"/>
      <c r="AC291" s="71"/>
      <c r="AD291" s="71"/>
      <c r="AE291" s="71"/>
      <c r="AF291" s="71"/>
      <c r="AG291" s="82">
        <v>1</v>
      </c>
      <c r="AH291" s="76"/>
      <c r="AI291" s="76"/>
      <c r="AJ291" s="76"/>
      <c r="AK291" s="71">
        <v>0.15</v>
      </c>
      <c r="AL291" s="88">
        <v>3.3848190498164003E-2</v>
      </c>
      <c r="AM291" s="89">
        <f t="shared" si="4"/>
        <v>0.22565460332109336</v>
      </c>
      <c r="AN291" s="78"/>
    </row>
    <row r="292" spans="1:40" x14ac:dyDescent="0.25">
      <c r="A292" t="s">
        <v>44</v>
      </c>
      <c r="B292" t="s">
        <v>45</v>
      </c>
      <c r="C292" s="121" t="s">
        <v>174</v>
      </c>
      <c r="D292" t="s">
        <v>194</v>
      </c>
      <c r="E292" t="s">
        <v>61</v>
      </c>
      <c r="F292">
        <v>1</v>
      </c>
      <c r="G292">
        <v>87</v>
      </c>
      <c r="H292" s="86">
        <v>45964.713056053202</v>
      </c>
      <c r="I292" s="86">
        <v>45964.785234328701</v>
      </c>
      <c r="J292" s="87">
        <v>1.7322786111111099</v>
      </c>
      <c r="K292" s="69" t="s">
        <v>274</v>
      </c>
      <c r="L292" s="69"/>
      <c r="M292" s="71"/>
      <c r="N292" s="71"/>
      <c r="O292" s="71"/>
      <c r="P292" s="71" t="s">
        <v>275</v>
      </c>
      <c r="Q292" s="88">
        <v>5.6466097850297299E-3</v>
      </c>
      <c r="R292" s="89" t="s">
        <v>276</v>
      </c>
      <c r="S292" s="89"/>
      <c r="T292">
        <v>9.3000000000000007</v>
      </c>
      <c r="U292" s="76">
        <v>0.2</v>
      </c>
      <c r="V292">
        <v>9.6</v>
      </c>
      <c r="W292" s="90">
        <v>0.1</v>
      </c>
      <c r="X292" s="90"/>
      <c r="Y292" s="71"/>
      <c r="Z292" s="71"/>
      <c r="AA292" s="71"/>
      <c r="AB292" s="71"/>
      <c r="AC292" s="71"/>
      <c r="AD292" s="71"/>
      <c r="AE292" s="71"/>
      <c r="AF292" s="71"/>
      <c r="AG292" s="82">
        <v>0.2</v>
      </c>
      <c r="AH292" s="76"/>
      <c r="AI292" s="76"/>
      <c r="AJ292" s="76"/>
      <c r="AK292" s="71">
        <v>0.15</v>
      </c>
      <c r="AL292" s="88">
        <v>3.3848190498164003E-2</v>
      </c>
      <c r="AM292" s="89">
        <f t="shared" si="4"/>
        <v>0.22565460332109336</v>
      </c>
      <c r="AN292" s="78"/>
    </row>
    <row r="293" spans="1:40" x14ac:dyDescent="0.25">
      <c r="A293" t="s">
        <v>44</v>
      </c>
      <c r="B293" t="s">
        <v>45</v>
      </c>
      <c r="C293" s="121" t="s">
        <v>174</v>
      </c>
      <c r="D293" t="s">
        <v>194</v>
      </c>
      <c r="E293" t="s">
        <v>61</v>
      </c>
      <c r="F293">
        <v>1</v>
      </c>
      <c r="G293">
        <v>88</v>
      </c>
      <c r="H293" s="86">
        <v>45964.785234328701</v>
      </c>
      <c r="I293" s="86">
        <v>45964.857422928202</v>
      </c>
      <c r="J293" s="87">
        <v>1.73252638888889</v>
      </c>
      <c r="K293" s="69" t="s">
        <v>274</v>
      </c>
      <c r="L293" s="69"/>
      <c r="M293" s="71"/>
      <c r="N293" s="71"/>
      <c r="O293" s="71"/>
      <c r="P293" s="71" t="s">
        <v>275</v>
      </c>
      <c r="Q293" s="88">
        <v>5.5141633041438697E-3</v>
      </c>
      <c r="R293" s="89" t="s">
        <v>276</v>
      </c>
      <c r="S293" s="89"/>
      <c r="T293">
        <v>10.4</v>
      </c>
      <c r="U293" s="76">
        <v>0.2</v>
      </c>
      <c r="V293">
        <v>9.6999999999999993</v>
      </c>
      <c r="W293" s="90">
        <v>0.1</v>
      </c>
      <c r="X293" s="90"/>
      <c r="Y293" s="71"/>
      <c r="Z293" s="71"/>
      <c r="AA293" s="71"/>
      <c r="AB293" s="71"/>
      <c r="AC293" s="71"/>
      <c r="AD293" s="71"/>
      <c r="AE293" s="71"/>
      <c r="AF293" s="71"/>
      <c r="AG293" s="82">
        <v>0.2</v>
      </c>
      <c r="AH293" s="76"/>
      <c r="AI293" s="76"/>
      <c r="AJ293" s="76"/>
      <c r="AK293" s="71">
        <v>0.15</v>
      </c>
      <c r="AL293" s="88">
        <v>3.3848190498164003E-2</v>
      </c>
      <c r="AM293" s="89">
        <f t="shared" si="4"/>
        <v>0.22565460332109336</v>
      </c>
      <c r="AN293" s="78"/>
    </row>
    <row r="294" spans="1:40" x14ac:dyDescent="0.25">
      <c r="A294" t="s">
        <v>44</v>
      </c>
      <c r="B294" t="s">
        <v>45</v>
      </c>
      <c r="C294" s="121" t="s">
        <v>174</v>
      </c>
      <c r="D294" t="s">
        <v>194</v>
      </c>
      <c r="E294" t="s">
        <v>61</v>
      </c>
      <c r="F294">
        <v>1</v>
      </c>
      <c r="G294">
        <v>89</v>
      </c>
      <c r="H294" s="86">
        <v>45964.857422928202</v>
      </c>
      <c r="I294" s="86">
        <v>45964.929601527801</v>
      </c>
      <c r="J294" s="87">
        <v>1.73228638888889</v>
      </c>
      <c r="K294" s="69" t="s">
        <v>274</v>
      </c>
      <c r="L294" s="69"/>
      <c r="M294" s="71"/>
      <c r="N294" s="71"/>
      <c r="O294" s="71"/>
      <c r="P294" s="71" t="s">
        <v>275</v>
      </c>
      <c r="Q294" s="88">
        <v>6.4725665594074196E-3</v>
      </c>
      <c r="R294" s="89" t="s">
        <v>276</v>
      </c>
      <c r="S294" s="89"/>
      <c r="T294">
        <v>11.4</v>
      </c>
      <c r="U294" s="76">
        <v>0.2</v>
      </c>
      <c r="V294">
        <v>9.6999999999999993</v>
      </c>
      <c r="W294" s="90">
        <v>0.1</v>
      </c>
      <c r="X294" s="90"/>
      <c r="Y294" s="71"/>
      <c r="Z294" s="71"/>
      <c r="AA294" s="71"/>
      <c r="AB294" s="71"/>
      <c r="AC294" s="71"/>
      <c r="AD294" s="71"/>
      <c r="AE294" s="71"/>
      <c r="AF294" s="71"/>
      <c r="AG294" s="82">
        <v>0.2</v>
      </c>
      <c r="AH294" s="76"/>
      <c r="AI294" s="76"/>
      <c r="AJ294" s="76"/>
      <c r="AK294" s="71">
        <v>0.15</v>
      </c>
      <c r="AL294" s="88">
        <v>3.3848190498164003E-2</v>
      </c>
      <c r="AM294" s="89">
        <f t="shared" si="4"/>
        <v>0.22565460332109336</v>
      </c>
      <c r="AN294" s="78"/>
    </row>
    <row r="295" spans="1:40" x14ac:dyDescent="0.25">
      <c r="A295" t="s">
        <v>44</v>
      </c>
      <c r="B295" t="s">
        <v>45</v>
      </c>
      <c r="C295" s="121" t="s">
        <v>174</v>
      </c>
      <c r="D295" t="s">
        <v>194</v>
      </c>
      <c r="E295" t="s">
        <v>61</v>
      </c>
      <c r="F295">
        <v>1</v>
      </c>
      <c r="G295">
        <v>90</v>
      </c>
      <c r="H295" s="86">
        <v>45964.929601527801</v>
      </c>
      <c r="I295" s="86">
        <v>45965.001798286998</v>
      </c>
      <c r="J295" s="87">
        <v>1.7327222222222201</v>
      </c>
      <c r="K295" s="69" t="s">
        <v>274</v>
      </c>
      <c r="L295" s="69"/>
      <c r="M295" s="71"/>
      <c r="N295" s="71"/>
      <c r="O295" s="71"/>
      <c r="P295" s="71" t="s">
        <v>275</v>
      </c>
      <c r="Q295" s="88">
        <v>9.1707637614422306E-3</v>
      </c>
      <c r="R295" s="89" t="s">
        <v>276</v>
      </c>
      <c r="S295" s="89"/>
      <c r="T295">
        <v>12</v>
      </c>
      <c r="U295" s="76">
        <v>0.2</v>
      </c>
      <c r="V295">
        <v>9.8000000000000007</v>
      </c>
      <c r="W295" s="90">
        <v>0.1</v>
      </c>
      <c r="X295" s="90"/>
      <c r="Y295" s="71"/>
      <c r="Z295" s="71"/>
      <c r="AA295" s="71"/>
      <c r="AB295" s="71"/>
      <c r="AC295" s="71"/>
      <c r="AD295" s="71"/>
      <c r="AE295" s="71"/>
      <c r="AF295" s="71"/>
      <c r="AG295" s="82">
        <v>0.3</v>
      </c>
      <c r="AH295" s="76"/>
      <c r="AI295" s="76"/>
      <c r="AJ295" s="76"/>
      <c r="AK295" s="71">
        <v>0.15</v>
      </c>
      <c r="AL295" s="88">
        <v>3.3848190498164003E-2</v>
      </c>
      <c r="AM295" s="89">
        <f t="shared" si="4"/>
        <v>0.22565460332109336</v>
      </c>
      <c r="AN295" s="78"/>
    </row>
    <row r="296" spans="1:40" x14ac:dyDescent="0.25">
      <c r="A296" t="s">
        <v>44</v>
      </c>
      <c r="B296" t="s">
        <v>45</v>
      </c>
      <c r="C296" s="121" t="s">
        <v>174</v>
      </c>
      <c r="D296" t="s">
        <v>194</v>
      </c>
      <c r="E296" t="s">
        <v>61</v>
      </c>
      <c r="F296">
        <v>1</v>
      </c>
      <c r="G296">
        <v>91</v>
      </c>
      <c r="H296" s="86">
        <v>45965.001798286998</v>
      </c>
      <c r="I296" s="86">
        <v>45965.073985347197</v>
      </c>
      <c r="J296" s="87">
        <v>1.7324894444444501</v>
      </c>
      <c r="K296" s="69" t="s">
        <v>274</v>
      </c>
      <c r="L296" s="69"/>
      <c r="M296" s="71"/>
      <c r="N296" s="71"/>
      <c r="O296" s="71"/>
      <c r="P296" s="71" t="s">
        <v>275</v>
      </c>
      <c r="Q296" s="88">
        <v>1.2548754303751899E-2</v>
      </c>
      <c r="R296" s="89" t="s">
        <v>276</v>
      </c>
      <c r="S296" s="89"/>
      <c r="T296">
        <v>12.5</v>
      </c>
      <c r="U296" s="76">
        <v>0.2</v>
      </c>
      <c r="V296">
        <v>9.9</v>
      </c>
      <c r="W296" s="90">
        <v>0.1</v>
      </c>
      <c r="X296" s="90"/>
      <c r="Y296" s="71"/>
      <c r="Z296" s="71"/>
      <c r="AA296" s="71"/>
      <c r="AB296" s="71"/>
      <c r="AC296" s="71"/>
      <c r="AD296" s="71"/>
      <c r="AE296" s="71"/>
      <c r="AF296" s="71"/>
      <c r="AG296" s="82">
        <v>0.2</v>
      </c>
      <c r="AH296" s="76"/>
      <c r="AI296" s="76"/>
      <c r="AJ296" s="76"/>
      <c r="AK296" s="71">
        <v>0.15</v>
      </c>
      <c r="AL296" s="88">
        <v>3.3848190498164003E-2</v>
      </c>
      <c r="AM296" s="89">
        <f t="shared" si="4"/>
        <v>0.22565460332109336</v>
      </c>
      <c r="AN296" s="78"/>
    </row>
    <row r="297" spans="1:40" x14ac:dyDescent="0.25">
      <c r="A297" t="s">
        <v>44</v>
      </c>
      <c r="B297" t="s">
        <v>45</v>
      </c>
      <c r="C297" s="121" t="s">
        <v>174</v>
      </c>
      <c r="D297" t="s">
        <v>194</v>
      </c>
      <c r="E297" t="s">
        <v>61</v>
      </c>
      <c r="F297">
        <v>1</v>
      </c>
      <c r="G297">
        <v>92</v>
      </c>
      <c r="H297" s="86">
        <v>45965.073985347197</v>
      </c>
      <c r="I297" s="86">
        <v>45965.146162164398</v>
      </c>
      <c r="J297" s="87">
        <v>1.7322436111111099</v>
      </c>
      <c r="K297" s="69" t="s">
        <v>274</v>
      </c>
      <c r="L297" s="69"/>
      <c r="M297" s="71"/>
      <c r="N297" s="71"/>
      <c r="O297" s="71"/>
      <c r="P297" s="71" t="s">
        <v>275</v>
      </c>
      <c r="Q297" s="88">
        <v>1.93468812102571E-2</v>
      </c>
      <c r="R297" s="89" t="s">
        <v>276</v>
      </c>
      <c r="S297" s="89"/>
      <c r="T297">
        <v>12.6</v>
      </c>
      <c r="U297" s="76">
        <v>0.2</v>
      </c>
      <c r="V297">
        <v>10</v>
      </c>
      <c r="W297" s="90">
        <v>0.1</v>
      </c>
      <c r="X297" s="90"/>
      <c r="Y297" s="71"/>
      <c r="Z297" s="71"/>
      <c r="AA297" s="71"/>
      <c r="AB297" s="71"/>
      <c r="AC297" s="71"/>
      <c r="AD297" s="71"/>
      <c r="AE297" s="71"/>
      <c r="AF297" s="71"/>
      <c r="AG297" s="82">
        <v>0</v>
      </c>
      <c r="AH297" s="76"/>
      <c r="AI297" s="76"/>
      <c r="AJ297" s="76"/>
      <c r="AK297" s="71">
        <v>0.15</v>
      </c>
      <c r="AL297" s="88">
        <v>3.3848190498164003E-2</v>
      </c>
      <c r="AM297" s="89">
        <f t="shared" si="4"/>
        <v>0.22565460332109336</v>
      </c>
      <c r="AN297" s="78"/>
    </row>
    <row r="298" spans="1:40" x14ac:dyDescent="0.25">
      <c r="A298" t="s">
        <v>44</v>
      </c>
      <c r="B298" t="s">
        <v>45</v>
      </c>
      <c r="C298" s="121" t="s">
        <v>174</v>
      </c>
      <c r="D298" t="s">
        <v>194</v>
      </c>
      <c r="E298" t="s">
        <v>61</v>
      </c>
      <c r="F298">
        <v>1</v>
      </c>
      <c r="G298">
        <v>93</v>
      </c>
      <c r="H298" s="86">
        <v>45965.146162164398</v>
      </c>
      <c r="I298" s="86">
        <v>45965.218352141201</v>
      </c>
      <c r="J298" s="87">
        <v>1.7325594444444401</v>
      </c>
      <c r="K298" s="69" t="s">
        <v>274</v>
      </c>
      <c r="L298" s="69"/>
      <c r="M298" s="71"/>
      <c r="N298" s="71"/>
      <c r="O298" s="71"/>
      <c r="P298" s="71" t="s">
        <v>275</v>
      </c>
      <c r="Q298" s="88">
        <v>2.9452293197879301E-2</v>
      </c>
      <c r="R298" s="89" t="s">
        <v>276</v>
      </c>
      <c r="S298" s="89"/>
      <c r="T298">
        <v>12.6</v>
      </c>
      <c r="U298" s="76">
        <v>0.2</v>
      </c>
      <c r="V298">
        <v>10.199999999999999</v>
      </c>
      <c r="W298" s="90">
        <v>0.1</v>
      </c>
      <c r="X298" s="90"/>
      <c r="Y298" s="71"/>
      <c r="Z298" s="71"/>
      <c r="AA298" s="71"/>
      <c r="AB298" s="71"/>
      <c r="AC298" s="71"/>
      <c r="AD298" s="71"/>
      <c r="AE298" s="71"/>
      <c r="AF298" s="71"/>
      <c r="AG298" s="82">
        <v>0.2</v>
      </c>
      <c r="AH298" s="76"/>
      <c r="AI298" s="76"/>
      <c r="AJ298" s="76"/>
      <c r="AK298" s="71">
        <v>0.15</v>
      </c>
      <c r="AL298" s="88">
        <v>3.3848190498164003E-2</v>
      </c>
      <c r="AM298" s="89">
        <f t="shared" si="4"/>
        <v>0.22565460332109336</v>
      </c>
      <c r="AN298" s="78"/>
    </row>
    <row r="299" spans="1:40" x14ac:dyDescent="0.25">
      <c r="A299" t="s">
        <v>44</v>
      </c>
      <c r="B299" t="s">
        <v>45</v>
      </c>
      <c r="C299" s="121" t="s">
        <v>174</v>
      </c>
      <c r="D299" t="s">
        <v>194</v>
      </c>
      <c r="E299" t="s">
        <v>61</v>
      </c>
      <c r="F299">
        <v>1</v>
      </c>
      <c r="G299">
        <v>94</v>
      </c>
      <c r="H299" s="86">
        <v>45965.218352141201</v>
      </c>
      <c r="I299" s="86">
        <v>45965.290537013898</v>
      </c>
      <c r="J299" s="87">
        <v>1.7324369444444501</v>
      </c>
      <c r="K299" s="69" t="s">
        <v>274</v>
      </c>
      <c r="L299" s="69"/>
      <c r="M299" s="71"/>
      <c r="N299" s="71"/>
      <c r="O299" s="71"/>
      <c r="P299" s="71" t="s">
        <v>275</v>
      </c>
      <c r="Q299" s="88">
        <v>2.2041298989431801E-2</v>
      </c>
      <c r="R299" s="89" t="s">
        <v>276</v>
      </c>
      <c r="S299" s="89"/>
      <c r="T299">
        <v>12.5</v>
      </c>
      <c r="U299" s="76">
        <v>0.2</v>
      </c>
      <c r="V299">
        <v>10.3</v>
      </c>
      <c r="W299" s="90">
        <v>0.1</v>
      </c>
      <c r="X299" s="90"/>
      <c r="Y299" s="71"/>
      <c r="Z299" s="71"/>
      <c r="AA299" s="71"/>
      <c r="AB299" s="71"/>
      <c r="AC299" s="71"/>
      <c r="AD299" s="71"/>
      <c r="AE299" s="71"/>
      <c r="AF299" s="71"/>
      <c r="AG299" s="82">
        <v>0</v>
      </c>
      <c r="AH299" s="76"/>
      <c r="AI299" s="76"/>
      <c r="AJ299" s="76"/>
      <c r="AK299" s="71">
        <v>0.15</v>
      </c>
      <c r="AL299" s="88">
        <v>3.3848190498164003E-2</v>
      </c>
      <c r="AM299" s="89">
        <f t="shared" si="4"/>
        <v>0.22565460332109336</v>
      </c>
      <c r="AN299" s="78"/>
    </row>
    <row r="300" spans="1:40" x14ac:dyDescent="0.25">
      <c r="A300" t="s">
        <v>44</v>
      </c>
      <c r="B300" t="s">
        <v>45</v>
      </c>
      <c r="C300" s="121" t="s">
        <v>174</v>
      </c>
      <c r="D300" t="s">
        <v>194</v>
      </c>
      <c r="E300" t="s">
        <v>61</v>
      </c>
      <c r="F300">
        <v>1</v>
      </c>
      <c r="G300">
        <v>95</v>
      </c>
      <c r="H300" s="86">
        <v>45965.290537013898</v>
      </c>
      <c r="I300" s="86">
        <v>45965.362731145797</v>
      </c>
      <c r="J300" s="87">
        <v>1.73265916666667</v>
      </c>
      <c r="K300" s="69" t="s">
        <v>274</v>
      </c>
      <c r="L300" s="69"/>
      <c r="M300" s="71"/>
      <c r="N300" s="71"/>
      <c r="O300" s="71"/>
      <c r="P300" s="71" t="s">
        <v>275</v>
      </c>
      <c r="Q300" s="88">
        <v>2.2687742931924701E-2</v>
      </c>
      <c r="R300" s="89" t="s">
        <v>276</v>
      </c>
      <c r="S300" s="89"/>
      <c r="T300">
        <v>12.4</v>
      </c>
      <c r="U300" s="76">
        <v>0.2</v>
      </c>
      <c r="V300">
        <v>10.4</v>
      </c>
      <c r="W300" s="90">
        <v>0.1</v>
      </c>
      <c r="X300" s="90"/>
      <c r="Y300" s="71"/>
      <c r="Z300" s="71"/>
      <c r="AA300" s="71"/>
      <c r="AB300" s="71"/>
      <c r="AC300" s="71"/>
      <c r="AD300" s="71"/>
      <c r="AE300" s="71"/>
      <c r="AF300" s="71"/>
      <c r="AG300" s="82">
        <v>0</v>
      </c>
      <c r="AH300" s="76"/>
      <c r="AI300" s="76"/>
      <c r="AJ300" s="76"/>
      <c r="AK300" s="71">
        <v>0.15</v>
      </c>
      <c r="AL300" s="88">
        <v>3.3848190498164003E-2</v>
      </c>
      <c r="AM300" s="89">
        <f t="shared" si="4"/>
        <v>0.22565460332109336</v>
      </c>
      <c r="AN300" s="78"/>
    </row>
    <row r="301" spans="1:40" x14ac:dyDescent="0.25">
      <c r="A301" t="s">
        <v>44</v>
      </c>
      <c r="B301" t="s">
        <v>45</v>
      </c>
      <c r="C301" s="121" t="s">
        <v>174</v>
      </c>
      <c r="D301" t="s">
        <v>194</v>
      </c>
      <c r="E301" t="s">
        <v>61</v>
      </c>
      <c r="F301">
        <v>1</v>
      </c>
      <c r="G301">
        <v>96</v>
      </c>
      <c r="H301" s="86">
        <v>45965.362731145797</v>
      </c>
      <c r="I301" s="86">
        <v>45965.434924872701</v>
      </c>
      <c r="J301" s="87">
        <v>1.73264944444444</v>
      </c>
      <c r="K301" s="69" t="s">
        <v>274</v>
      </c>
      <c r="L301" s="69"/>
      <c r="M301" s="71"/>
      <c r="N301" s="71"/>
      <c r="O301" s="71"/>
      <c r="P301" s="71" t="s">
        <v>275</v>
      </c>
      <c r="Q301" s="88">
        <v>2.7816496432477099E-2</v>
      </c>
      <c r="R301" s="89" t="s">
        <v>276</v>
      </c>
      <c r="S301" s="89"/>
      <c r="T301">
        <v>12.6</v>
      </c>
      <c r="U301" s="76">
        <v>0.2</v>
      </c>
      <c r="V301">
        <v>10.5</v>
      </c>
      <c r="W301" s="90">
        <v>0.1</v>
      </c>
      <c r="X301" s="90"/>
      <c r="Y301" s="71"/>
      <c r="Z301" s="71"/>
      <c r="AA301" s="71"/>
      <c r="AB301" s="71"/>
      <c r="AC301" s="71"/>
      <c r="AD301" s="71"/>
      <c r="AE301" s="71"/>
      <c r="AF301" s="71"/>
      <c r="AG301" s="82">
        <v>0.1</v>
      </c>
      <c r="AH301" s="76"/>
      <c r="AI301" s="76"/>
      <c r="AJ301" s="76"/>
      <c r="AK301" s="71">
        <v>0.15</v>
      </c>
      <c r="AL301" s="88">
        <v>3.3848190498164003E-2</v>
      </c>
      <c r="AM301" s="89">
        <f t="shared" si="4"/>
        <v>0.22565460332109336</v>
      </c>
      <c r="AN301" s="78"/>
    </row>
    <row r="302" spans="1:40" x14ac:dyDescent="0.25">
      <c r="A302" t="s">
        <v>44</v>
      </c>
      <c r="B302" t="s">
        <v>45</v>
      </c>
      <c r="C302" s="121" t="s">
        <v>174</v>
      </c>
      <c r="D302" t="s">
        <v>194</v>
      </c>
      <c r="E302" t="s">
        <v>61</v>
      </c>
      <c r="F302">
        <v>1</v>
      </c>
      <c r="G302">
        <v>97</v>
      </c>
      <c r="H302" s="86">
        <v>45965.434924872701</v>
      </c>
      <c r="I302" s="86">
        <v>45965.507111203697</v>
      </c>
      <c r="J302" s="87">
        <v>1.7324719444444501</v>
      </c>
      <c r="K302" s="69" t="s">
        <v>274</v>
      </c>
      <c r="L302" s="69"/>
      <c r="M302" s="71"/>
      <c r="N302" s="71"/>
      <c r="O302" s="71"/>
      <c r="P302" s="71" t="s">
        <v>275</v>
      </c>
      <c r="Q302" s="88">
        <v>3.1672399187405699E-2</v>
      </c>
      <c r="R302" s="89" t="s">
        <v>276</v>
      </c>
      <c r="S302" s="89"/>
      <c r="T302">
        <v>12.9</v>
      </c>
      <c r="U302" s="76">
        <v>0.2</v>
      </c>
      <c r="V302">
        <v>10.5</v>
      </c>
      <c r="W302" s="90">
        <v>0.1</v>
      </c>
      <c r="X302" s="90"/>
      <c r="Y302" s="71"/>
      <c r="Z302" s="71"/>
      <c r="AA302" s="71"/>
      <c r="AB302" s="71"/>
      <c r="AC302" s="71"/>
      <c r="AD302" s="71"/>
      <c r="AE302" s="71"/>
      <c r="AF302" s="71"/>
      <c r="AG302" s="82">
        <v>0</v>
      </c>
      <c r="AH302" s="76"/>
      <c r="AI302" s="76"/>
      <c r="AJ302" s="76"/>
      <c r="AK302" s="71">
        <v>0.15</v>
      </c>
      <c r="AL302" s="88">
        <v>3.3848190498164003E-2</v>
      </c>
      <c r="AM302" s="89">
        <f t="shared" si="4"/>
        <v>0.22565460332109336</v>
      </c>
      <c r="AN302" s="78"/>
    </row>
    <row r="303" spans="1:40" x14ac:dyDescent="0.25">
      <c r="A303" t="s">
        <v>44</v>
      </c>
      <c r="B303" t="s">
        <v>45</v>
      </c>
      <c r="C303" s="121" t="s">
        <v>174</v>
      </c>
      <c r="D303" t="s">
        <v>192</v>
      </c>
      <c r="E303" t="s">
        <v>59</v>
      </c>
      <c r="F303">
        <v>2</v>
      </c>
      <c r="G303">
        <v>1</v>
      </c>
      <c r="H303" s="86">
        <v>45958.5358866319</v>
      </c>
      <c r="I303" s="86">
        <v>45958.6298422338</v>
      </c>
      <c r="J303" s="87">
        <v>2.2549344444444399</v>
      </c>
      <c r="K303" s="69" t="s">
        <v>274</v>
      </c>
      <c r="L303" s="69"/>
      <c r="M303" s="71"/>
      <c r="N303" s="71"/>
      <c r="O303" s="71"/>
      <c r="P303" s="71" t="s">
        <v>275</v>
      </c>
      <c r="Q303" s="88" t="s">
        <v>277</v>
      </c>
      <c r="R303" s="89" t="s">
        <v>276</v>
      </c>
      <c r="S303" s="89"/>
      <c r="T303">
        <v>7.7</v>
      </c>
      <c r="U303" s="76">
        <v>0.2</v>
      </c>
      <c r="V303">
        <v>9.5</v>
      </c>
      <c r="W303" s="90">
        <v>0.1</v>
      </c>
      <c r="X303" s="90"/>
      <c r="Y303" s="71"/>
      <c r="Z303" s="71"/>
      <c r="AA303" s="71"/>
      <c r="AB303" s="71"/>
      <c r="AC303" s="71"/>
      <c r="AD303" s="71"/>
      <c r="AE303" s="71"/>
      <c r="AF303" s="71"/>
      <c r="AG303" s="82">
        <v>0.1</v>
      </c>
      <c r="AH303" s="76"/>
      <c r="AI303" s="76"/>
      <c r="AJ303" s="76"/>
      <c r="AK303" s="71">
        <v>0.15</v>
      </c>
      <c r="AL303" s="88">
        <v>3.4139420030223099E-2</v>
      </c>
      <c r="AM303" s="89">
        <f t="shared" si="4"/>
        <v>0.22759613353482067</v>
      </c>
      <c r="AN303" s="78"/>
    </row>
    <row r="304" spans="1:40" x14ac:dyDescent="0.25">
      <c r="A304" t="s">
        <v>44</v>
      </c>
      <c r="B304" t="s">
        <v>45</v>
      </c>
      <c r="C304" s="121" t="s">
        <v>174</v>
      </c>
      <c r="D304" t="s">
        <v>192</v>
      </c>
      <c r="E304" t="s">
        <v>59</v>
      </c>
      <c r="F304">
        <v>2</v>
      </c>
      <c r="G304">
        <v>2</v>
      </c>
      <c r="H304" s="86">
        <v>45958.6298422338</v>
      </c>
      <c r="I304" s="86">
        <v>45958.727308113397</v>
      </c>
      <c r="J304" s="87">
        <v>2.33918111111111</v>
      </c>
      <c r="K304" s="69" t="s">
        <v>274</v>
      </c>
      <c r="L304" s="69"/>
      <c r="M304" s="71"/>
      <c r="N304" s="71"/>
      <c r="O304" s="71"/>
      <c r="P304" s="71" t="s">
        <v>275</v>
      </c>
      <c r="Q304" s="88" t="s">
        <v>277</v>
      </c>
      <c r="R304" s="89" t="s">
        <v>276</v>
      </c>
      <c r="S304" s="89"/>
      <c r="T304">
        <v>8.4</v>
      </c>
      <c r="U304" s="76">
        <v>0.2</v>
      </c>
      <c r="V304">
        <v>9.6</v>
      </c>
      <c r="W304" s="90">
        <v>0.1</v>
      </c>
      <c r="X304" s="90"/>
      <c r="Y304" s="71"/>
      <c r="Z304" s="71"/>
      <c r="AA304" s="71"/>
      <c r="AB304" s="71"/>
      <c r="AC304" s="71"/>
      <c r="AD304" s="71"/>
      <c r="AE304" s="71"/>
      <c r="AF304" s="71"/>
      <c r="AG304" s="82">
        <v>0</v>
      </c>
      <c r="AH304" s="76"/>
      <c r="AI304" s="76"/>
      <c r="AJ304" s="76"/>
      <c r="AK304" s="71">
        <v>0.15</v>
      </c>
      <c r="AL304" s="88">
        <v>3.4139420030223099E-2</v>
      </c>
      <c r="AM304" s="89">
        <f t="shared" si="4"/>
        <v>0.22759613353482067</v>
      </c>
      <c r="AN304" s="78"/>
    </row>
    <row r="305" spans="1:40" x14ac:dyDescent="0.25">
      <c r="A305" t="s">
        <v>44</v>
      </c>
      <c r="B305" t="s">
        <v>45</v>
      </c>
      <c r="C305" s="121" t="s">
        <v>174</v>
      </c>
      <c r="D305" t="s">
        <v>192</v>
      </c>
      <c r="E305" t="s">
        <v>59</v>
      </c>
      <c r="F305">
        <v>2</v>
      </c>
      <c r="G305">
        <v>3</v>
      </c>
      <c r="H305" s="86">
        <v>45958.727308113397</v>
      </c>
      <c r="I305" s="86">
        <v>45958.799488830999</v>
      </c>
      <c r="J305" s="87">
        <v>1.73233722222222</v>
      </c>
      <c r="K305" s="69" t="s">
        <v>274</v>
      </c>
      <c r="L305" s="69"/>
      <c r="M305" s="71"/>
      <c r="N305" s="71"/>
      <c r="O305" s="71"/>
      <c r="P305" s="71" t="s">
        <v>275</v>
      </c>
      <c r="Q305" s="88">
        <v>2.84868470538471E-2</v>
      </c>
      <c r="R305" s="89" t="s">
        <v>276</v>
      </c>
      <c r="S305" s="89"/>
      <c r="T305">
        <v>6.1</v>
      </c>
      <c r="U305" s="76">
        <v>0.2</v>
      </c>
      <c r="V305">
        <v>9.6999999999999993</v>
      </c>
      <c r="W305" s="90">
        <v>0.1</v>
      </c>
      <c r="X305" s="90"/>
      <c r="Y305" s="71"/>
      <c r="Z305" s="71"/>
      <c r="AA305" s="71"/>
      <c r="AB305" s="71"/>
      <c r="AC305" s="71"/>
      <c r="AD305" s="71"/>
      <c r="AE305" s="71"/>
      <c r="AF305" s="71"/>
      <c r="AG305" s="82">
        <v>0</v>
      </c>
      <c r="AH305" s="76"/>
      <c r="AI305" s="76"/>
      <c r="AJ305" s="76"/>
      <c r="AK305" s="71">
        <v>0.15</v>
      </c>
      <c r="AL305" s="88">
        <v>3.4139420030223099E-2</v>
      </c>
      <c r="AM305" s="89">
        <f t="shared" si="4"/>
        <v>0.22759613353482067</v>
      </c>
      <c r="AN305" s="78"/>
    </row>
    <row r="306" spans="1:40" x14ac:dyDescent="0.25">
      <c r="A306" t="s">
        <v>44</v>
      </c>
      <c r="B306" t="s">
        <v>45</v>
      </c>
      <c r="C306" s="121" t="s">
        <v>174</v>
      </c>
      <c r="D306" t="s">
        <v>192</v>
      </c>
      <c r="E306" t="s">
        <v>59</v>
      </c>
      <c r="F306">
        <v>2</v>
      </c>
      <c r="G306">
        <v>4</v>
      </c>
      <c r="H306" s="86">
        <v>45958.799488830999</v>
      </c>
      <c r="I306" s="86">
        <v>45958.8716705556</v>
      </c>
      <c r="J306" s="87">
        <v>1.73236138888889</v>
      </c>
      <c r="K306" s="69" t="s">
        <v>274</v>
      </c>
      <c r="L306" s="69"/>
      <c r="M306" s="71"/>
      <c r="N306" s="71"/>
      <c r="O306" s="71"/>
      <c r="P306" s="71" t="s">
        <v>275</v>
      </c>
      <c r="Q306" s="88">
        <v>5.1261467015267799E-2</v>
      </c>
      <c r="R306" s="89" t="s">
        <v>276</v>
      </c>
      <c r="S306" s="89"/>
      <c r="T306">
        <v>6.5</v>
      </c>
      <c r="U306" s="76">
        <v>0.2</v>
      </c>
      <c r="V306">
        <v>9.6</v>
      </c>
      <c r="W306" s="90">
        <v>0.1</v>
      </c>
      <c r="X306" s="90"/>
      <c r="Y306" s="71"/>
      <c r="Z306" s="71"/>
      <c r="AA306" s="71"/>
      <c r="AB306" s="71"/>
      <c r="AC306" s="71"/>
      <c r="AD306" s="71"/>
      <c r="AE306" s="71"/>
      <c r="AF306" s="71"/>
      <c r="AG306" s="82">
        <v>0</v>
      </c>
      <c r="AH306" s="76"/>
      <c r="AI306" s="76"/>
      <c r="AJ306" s="76"/>
      <c r="AK306" s="71">
        <v>0.15</v>
      </c>
      <c r="AL306" s="88">
        <v>3.4139420030223099E-2</v>
      </c>
      <c r="AM306" s="89">
        <f t="shared" si="4"/>
        <v>0.22759613353482067</v>
      </c>
      <c r="AN306" s="78"/>
    </row>
    <row r="307" spans="1:40" x14ac:dyDescent="0.25">
      <c r="A307" t="s">
        <v>44</v>
      </c>
      <c r="B307" t="s">
        <v>45</v>
      </c>
      <c r="C307" s="121" t="s">
        <v>174</v>
      </c>
      <c r="D307" t="s">
        <v>192</v>
      </c>
      <c r="E307" t="s">
        <v>59</v>
      </c>
      <c r="F307">
        <v>2</v>
      </c>
      <c r="G307">
        <v>5</v>
      </c>
      <c r="H307" s="86">
        <v>45958.8716705556</v>
      </c>
      <c r="I307" s="86">
        <v>45958.943852604199</v>
      </c>
      <c r="J307" s="87">
        <v>1.7323691666666701</v>
      </c>
      <c r="K307" s="69" t="s">
        <v>274</v>
      </c>
      <c r="L307" s="69"/>
      <c r="M307" s="71"/>
      <c r="N307" s="71"/>
      <c r="O307" s="71"/>
      <c r="P307" s="71" t="s">
        <v>275</v>
      </c>
      <c r="Q307" s="88">
        <v>4.7930114476649799E-2</v>
      </c>
      <c r="R307" s="89" t="s">
        <v>276</v>
      </c>
      <c r="S307" s="89"/>
      <c r="T307">
        <v>6.6</v>
      </c>
      <c r="U307" s="76">
        <v>0.2</v>
      </c>
      <c r="V307">
        <v>9.6</v>
      </c>
      <c r="W307" s="90">
        <v>0.1</v>
      </c>
      <c r="X307" s="90"/>
      <c r="Y307" s="71"/>
      <c r="Z307" s="71"/>
      <c r="AA307" s="71"/>
      <c r="AB307" s="71"/>
      <c r="AC307" s="71"/>
      <c r="AD307" s="71"/>
      <c r="AE307" s="71"/>
      <c r="AF307" s="71"/>
      <c r="AG307" s="82">
        <v>0</v>
      </c>
      <c r="AH307" s="76"/>
      <c r="AI307" s="76"/>
      <c r="AJ307" s="76"/>
      <c r="AK307" s="71">
        <v>0.15</v>
      </c>
      <c r="AL307" s="88">
        <v>3.4139420030223099E-2</v>
      </c>
      <c r="AM307" s="89">
        <f t="shared" si="4"/>
        <v>0.22759613353482067</v>
      </c>
      <c r="AN307" s="78"/>
    </row>
    <row r="308" spans="1:40" x14ac:dyDescent="0.25">
      <c r="A308" t="s">
        <v>44</v>
      </c>
      <c r="B308" t="s">
        <v>45</v>
      </c>
      <c r="C308" s="121" t="s">
        <v>174</v>
      </c>
      <c r="D308" t="s">
        <v>192</v>
      </c>
      <c r="E308" t="s">
        <v>59</v>
      </c>
      <c r="F308">
        <v>2</v>
      </c>
      <c r="G308">
        <v>6</v>
      </c>
      <c r="H308" s="86">
        <v>45958.943852604199</v>
      </c>
      <c r="I308" s="86">
        <v>45959.0160294792</v>
      </c>
      <c r="J308" s="87">
        <v>1.732245</v>
      </c>
      <c r="K308" s="69" t="s">
        <v>274</v>
      </c>
      <c r="L308" s="69"/>
      <c r="M308" s="71"/>
      <c r="N308" s="71"/>
      <c r="O308" s="71"/>
      <c r="P308" s="71" t="s">
        <v>275</v>
      </c>
      <c r="Q308" s="88">
        <v>4.0685562552987699E-2</v>
      </c>
      <c r="R308" s="89" t="s">
        <v>276</v>
      </c>
      <c r="S308" s="89"/>
      <c r="T308">
        <v>6.7</v>
      </c>
      <c r="U308" s="76">
        <v>0.2</v>
      </c>
      <c r="V308">
        <v>9.6</v>
      </c>
      <c r="W308" s="90">
        <v>0.1</v>
      </c>
      <c r="X308" s="90"/>
      <c r="Y308" s="71"/>
      <c r="Z308" s="71"/>
      <c r="AA308" s="71"/>
      <c r="AB308" s="71"/>
      <c r="AC308" s="71"/>
      <c r="AD308" s="71"/>
      <c r="AE308" s="71"/>
      <c r="AF308" s="71"/>
      <c r="AG308" s="82">
        <v>0</v>
      </c>
      <c r="AH308" s="76"/>
      <c r="AI308" s="76"/>
      <c r="AJ308" s="76"/>
      <c r="AK308" s="71">
        <v>0.15</v>
      </c>
      <c r="AL308" s="88">
        <v>3.4139420030223099E-2</v>
      </c>
      <c r="AM308" s="89">
        <f t="shared" si="4"/>
        <v>0.22759613353482067</v>
      </c>
      <c r="AN308" s="78"/>
    </row>
    <row r="309" spans="1:40" x14ac:dyDescent="0.25">
      <c r="A309" t="s">
        <v>44</v>
      </c>
      <c r="B309" t="s">
        <v>45</v>
      </c>
      <c r="C309" s="121" t="s">
        <v>174</v>
      </c>
      <c r="D309" t="s">
        <v>192</v>
      </c>
      <c r="E309" t="s">
        <v>59</v>
      </c>
      <c r="F309">
        <v>2</v>
      </c>
      <c r="G309">
        <v>7</v>
      </c>
      <c r="H309" s="86">
        <v>45959.0160294792</v>
      </c>
      <c r="I309" s="86">
        <v>45959.088229201399</v>
      </c>
      <c r="J309" s="87">
        <v>1.7327933333333301</v>
      </c>
      <c r="K309" s="69" t="s">
        <v>274</v>
      </c>
      <c r="L309" s="69"/>
      <c r="M309" s="71"/>
      <c r="N309" s="71"/>
      <c r="O309" s="71"/>
      <c r="P309" s="71" t="s">
        <v>275</v>
      </c>
      <c r="Q309" s="88">
        <v>5.1238199151058803E-2</v>
      </c>
      <c r="R309" s="89" t="s">
        <v>276</v>
      </c>
      <c r="S309" s="89"/>
      <c r="T309">
        <v>6.9</v>
      </c>
      <c r="U309" s="76">
        <v>0.2</v>
      </c>
      <c r="V309">
        <v>9.5</v>
      </c>
      <c r="W309" s="90">
        <v>0.1</v>
      </c>
      <c r="X309" s="90"/>
      <c r="Y309" s="71"/>
      <c r="Z309" s="71"/>
      <c r="AA309" s="71"/>
      <c r="AB309" s="71"/>
      <c r="AC309" s="71"/>
      <c r="AD309" s="71"/>
      <c r="AE309" s="71"/>
      <c r="AF309" s="71"/>
      <c r="AG309" s="82">
        <v>0</v>
      </c>
      <c r="AH309" s="76"/>
      <c r="AI309" s="76"/>
      <c r="AJ309" s="76"/>
      <c r="AK309" s="71">
        <v>0.15</v>
      </c>
      <c r="AL309" s="88">
        <v>3.4139420030223099E-2</v>
      </c>
      <c r="AM309" s="89">
        <f t="shared" si="4"/>
        <v>0.22759613353482067</v>
      </c>
      <c r="AN309" s="78"/>
    </row>
    <row r="310" spans="1:40" x14ac:dyDescent="0.25">
      <c r="A310" t="s">
        <v>44</v>
      </c>
      <c r="B310" t="s">
        <v>45</v>
      </c>
      <c r="C310" s="121" t="s">
        <v>174</v>
      </c>
      <c r="D310" t="s">
        <v>192</v>
      </c>
      <c r="E310" t="s">
        <v>59</v>
      </c>
      <c r="F310">
        <v>2</v>
      </c>
      <c r="G310">
        <v>8</v>
      </c>
      <c r="H310" s="86">
        <v>45959.088229201399</v>
      </c>
      <c r="I310" s="86">
        <v>45959.160406226903</v>
      </c>
      <c r="J310" s="87">
        <v>1.7322486111111099</v>
      </c>
      <c r="K310" s="69" t="s">
        <v>274</v>
      </c>
      <c r="L310" s="69"/>
      <c r="M310" s="71"/>
      <c r="N310" s="71"/>
      <c r="O310" s="71"/>
      <c r="P310" s="71" t="s">
        <v>275</v>
      </c>
      <c r="Q310" s="88">
        <v>3.53921848310563E-2</v>
      </c>
      <c r="R310" s="89" t="s">
        <v>276</v>
      </c>
      <c r="S310" s="89"/>
      <c r="T310">
        <v>6.3</v>
      </c>
      <c r="U310" s="76">
        <v>0.2</v>
      </c>
      <c r="V310">
        <v>9.5</v>
      </c>
      <c r="W310" s="90">
        <v>0.1</v>
      </c>
      <c r="X310" s="90"/>
      <c r="Y310" s="71"/>
      <c r="Z310" s="71"/>
      <c r="AA310" s="71"/>
      <c r="AB310" s="71"/>
      <c r="AC310" s="71"/>
      <c r="AD310" s="71"/>
      <c r="AE310" s="71"/>
      <c r="AF310" s="71"/>
      <c r="AG310" s="82">
        <v>0</v>
      </c>
      <c r="AH310" s="76"/>
      <c r="AI310" s="76"/>
      <c r="AJ310" s="76"/>
      <c r="AK310" s="71">
        <v>0.15</v>
      </c>
      <c r="AL310" s="88">
        <v>3.4139420030223099E-2</v>
      </c>
      <c r="AM310" s="89">
        <f t="shared" si="4"/>
        <v>0.22759613353482067</v>
      </c>
      <c r="AN310" s="78"/>
    </row>
    <row r="311" spans="1:40" x14ac:dyDescent="0.25">
      <c r="A311" t="s">
        <v>44</v>
      </c>
      <c r="B311" t="s">
        <v>45</v>
      </c>
      <c r="C311" s="121" t="s">
        <v>174</v>
      </c>
      <c r="D311" t="s">
        <v>192</v>
      </c>
      <c r="E311" t="s">
        <v>59</v>
      </c>
      <c r="F311">
        <v>2</v>
      </c>
      <c r="G311">
        <v>9</v>
      </c>
      <c r="H311" s="86">
        <v>45959.160406226903</v>
      </c>
      <c r="I311" s="86">
        <v>45959.2325893866</v>
      </c>
      <c r="J311" s="87">
        <v>1.73239583333333</v>
      </c>
      <c r="K311" s="69" t="s">
        <v>274</v>
      </c>
      <c r="L311" s="69"/>
      <c r="M311" s="71"/>
      <c r="N311" s="71"/>
      <c r="O311" s="71"/>
      <c r="P311" s="71" t="s">
        <v>275</v>
      </c>
      <c r="Q311" s="88">
        <v>3.5968987203387301E-2</v>
      </c>
      <c r="R311" s="89" t="s">
        <v>276</v>
      </c>
      <c r="S311" s="89"/>
      <c r="T311">
        <v>5.4</v>
      </c>
      <c r="U311" s="76">
        <v>0.2</v>
      </c>
      <c r="V311">
        <v>9.5</v>
      </c>
      <c r="W311" s="90">
        <v>0.1</v>
      </c>
      <c r="X311" s="90"/>
      <c r="Y311" s="71"/>
      <c r="Z311" s="71"/>
      <c r="AA311" s="71"/>
      <c r="AB311" s="71"/>
      <c r="AC311" s="71"/>
      <c r="AD311" s="71"/>
      <c r="AE311" s="71"/>
      <c r="AF311" s="71"/>
      <c r="AG311" s="82">
        <v>0</v>
      </c>
      <c r="AH311" s="76"/>
      <c r="AI311" s="76"/>
      <c r="AJ311" s="76"/>
      <c r="AK311" s="71">
        <v>0.15</v>
      </c>
      <c r="AL311" s="88">
        <v>3.4139420030223099E-2</v>
      </c>
      <c r="AM311" s="89">
        <f t="shared" si="4"/>
        <v>0.22759613353482067</v>
      </c>
      <c r="AN311" s="78"/>
    </row>
    <row r="312" spans="1:40" x14ac:dyDescent="0.25">
      <c r="A312" t="s">
        <v>44</v>
      </c>
      <c r="B312" t="s">
        <v>45</v>
      </c>
      <c r="C312" s="121" t="s">
        <v>174</v>
      </c>
      <c r="D312" t="s">
        <v>192</v>
      </c>
      <c r="E312" t="s">
        <v>59</v>
      </c>
      <c r="F312">
        <v>2</v>
      </c>
      <c r="G312">
        <v>10</v>
      </c>
      <c r="H312" s="86">
        <v>45959.2325893866</v>
      </c>
      <c r="I312" s="86">
        <v>45959.304767638903</v>
      </c>
      <c r="J312" s="87">
        <v>1.7322780555555599</v>
      </c>
      <c r="K312" s="69" t="s">
        <v>274</v>
      </c>
      <c r="L312" s="69"/>
      <c r="M312" s="71"/>
      <c r="N312" s="71"/>
      <c r="O312" s="71"/>
      <c r="P312" s="71" t="s">
        <v>275</v>
      </c>
      <c r="Q312" s="88">
        <v>3.1790304745472502E-2</v>
      </c>
      <c r="R312" s="89" t="s">
        <v>276</v>
      </c>
      <c r="S312" s="89"/>
      <c r="T312">
        <v>7.2</v>
      </c>
      <c r="U312" s="76">
        <v>0.2</v>
      </c>
      <c r="V312">
        <v>9.4</v>
      </c>
      <c r="W312" s="90">
        <v>0.1</v>
      </c>
      <c r="X312" s="90"/>
      <c r="Y312" s="71"/>
      <c r="Z312" s="71"/>
      <c r="AA312" s="71"/>
      <c r="AB312" s="71"/>
      <c r="AC312" s="71"/>
      <c r="AD312" s="71"/>
      <c r="AE312" s="71"/>
      <c r="AF312" s="71"/>
      <c r="AG312" s="82">
        <v>0</v>
      </c>
      <c r="AH312" s="76"/>
      <c r="AI312" s="76"/>
      <c r="AJ312" s="76"/>
      <c r="AK312" s="71">
        <v>0.15</v>
      </c>
      <c r="AL312" s="88">
        <v>3.4139420030223099E-2</v>
      </c>
      <c r="AM312" s="89">
        <f t="shared" si="4"/>
        <v>0.22759613353482067</v>
      </c>
      <c r="AN312" s="78"/>
    </row>
    <row r="313" spans="1:40" x14ac:dyDescent="0.25">
      <c r="A313" t="s">
        <v>44</v>
      </c>
      <c r="B313" t="s">
        <v>45</v>
      </c>
      <c r="C313" s="121" t="s">
        <v>174</v>
      </c>
      <c r="D313" t="s">
        <v>192</v>
      </c>
      <c r="E313" t="s">
        <v>59</v>
      </c>
      <c r="F313">
        <v>2</v>
      </c>
      <c r="G313">
        <v>11</v>
      </c>
      <c r="H313" s="86">
        <v>45959.304767638903</v>
      </c>
      <c r="I313" s="86">
        <v>45959.3769575232</v>
      </c>
      <c r="J313" s="87">
        <v>1.7325572222222201</v>
      </c>
      <c r="K313" s="69" t="s">
        <v>274</v>
      </c>
      <c r="L313" s="69"/>
      <c r="M313" s="71"/>
      <c r="N313" s="71"/>
      <c r="O313" s="71"/>
      <c r="P313" s="71" t="s">
        <v>275</v>
      </c>
      <c r="Q313" s="88">
        <v>3.8079254301047701E-2</v>
      </c>
      <c r="R313" s="89" t="s">
        <v>276</v>
      </c>
      <c r="S313" s="89"/>
      <c r="T313">
        <v>7.6</v>
      </c>
      <c r="U313" s="76">
        <v>0.2</v>
      </c>
      <c r="V313">
        <v>9.4</v>
      </c>
      <c r="W313" s="90">
        <v>0.1</v>
      </c>
      <c r="X313" s="90"/>
      <c r="Y313" s="71"/>
      <c r="Z313" s="71"/>
      <c r="AA313" s="71"/>
      <c r="AB313" s="71"/>
      <c r="AC313" s="71"/>
      <c r="AD313" s="71"/>
      <c r="AE313" s="71"/>
      <c r="AF313" s="71"/>
      <c r="AG313" s="82">
        <v>0.3</v>
      </c>
      <c r="AH313" s="76"/>
      <c r="AI313" s="76"/>
      <c r="AJ313" s="76"/>
      <c r="AK313" s="71">
        <v>0.15</v>
      </c>
      <c r="AL313" s="88">
        <v>3.4139420030223099E-2</v>
      </c>
      <c r="AM313" s="89">
        <f t="shared" si="4"/>
        <v>0.22759613353482067</v>
      </c>
      <c r="AN313" s="78"/>
    </row>
    <row r="314" spans="1:40" x14ac:dyDescent="0.25">
      <c r="A314" t="s">
        <v>44</v>
      </c>
      <c r="B314" t="s">
        <v>45</v>
      </c>
      <c r="C314" s="121" t="s">
        <v>174</v>
      </c>
      <c r="D314" t="s">
        <v>192</v>
      </c>
      <c r="E314" t="s">
        <v>59</v>
      </c>
      <c r="F314">
        <v>2</v>
      </c>
      <c r="G314">
        <v>12</v>
      </c>
      <c r="H314" s="86">
        <v>45959.3769575232</v>
      </c>
      <c r="I314" s="86">
        <v>45959.449132465299</v>
      </c>
      <c r="J314" s="87">
        <v>1.7321986111111101</v>
      </c>
      <c r="K314" s="69" t="s">
        <v>274</v>
      </c>
      <c r="L314" s="69"/>
      <c r="M314" s="71"/>
      <c r="N314" s="71"/>
      <c r="O314" s="71"/>
      <c r="P314" s="71" t="s">
        <v>275</v>
      </c>
      <c r="Q314" s="88">
        <v>7.5399637209357606E-2</v>
      </c>
      <c r="R314" s="89" t="s">
        <v>276</v>
      </c>
      <c r="S314" s="89"/>
      <c r="T314">
        <v>8.6</v>
      </c>
      <c r="U314" s="76">
        <v>0.2</v>
      </c>
      <c r="V314">
        <v>9.4</v>
      </c>
      <c r="W314" s="90">
        <v>0.1</v>
      </c>
      <c r="X314" s="90"/>
      <c r="Y314" s="71"/>
      <c r="Z314" s="71"/>
      <c r="AA314" s="71"/>
      <c r="AB314" s="71"/>
      <c r="AC314" s="71"/>
      <c r="AD314" s="71"/>
      <c r="AE314" s="71"/>
      <c r="AF314" s="71"/>
      <c r="AG314" s="82">
        <v>1.6</v>
      </c>
      <c r="AH314" s="76"/>
      <c r="AI314" s="76"/>
      <c r="AJ314" s="76"/>
      <c r="AK314" s="71">
        <v>0.15</v>
      </c>
      <c r="AL314" s="88">
        <v>3.4139420030223099E-2</v>
      </c>
      <c r="AM314" s="89">
        <f t="shared" si="4"/>
        <v>0.22759613353482067</v>
      </c>
      <c r="AN314" s="78"/>
    </row>
    <row r="315" spans="1:40" x14ac:dyDescent="0.25">
      <c r="A315" t="s">
        <v>44</v>
      </c>
      <c r="B315" t="s">
        <v>45</v>
      </c>
      <c r="C315" s="121" t="s">
        <v>174</v>
      </c>
      <c r="D315" t="s">
        <v>192</v>
      </c>
      <c r="E315" t="s">
        <v>59</v>
      </c>
      <c r="F315">
        <v>2</v>
      </c>
      <c r="G315">
        <v>13</v>
      </c>
      <c r="H315" s="86">
        <v>45959.449132465299</v>
      </c>
      <c r="I315" s="86">
        <v>45959.521324618101</v>
      </c>
      <c r="J315" s="87">
        <v>1.73261166666667</v>
      </c>
      <c r="K315" s="69" t="s">
        <v>274</v>
      </c>
      <c r="L315" s="69"/>
      <c r="M315" s="71"/>
      <c r="N315" s="71"/>
      <c r="O315" s="71"/>
      <c r="P315" s="71" t="s">
        <v>275</v>
      </c>
      <c r="Q315" s="88">
        <v>0.101044642416555</v>
      </c>
      <c r="R315" s="89" t="s">
        <v>276</v>
      </c>
      <c r="S315" s="89"/>
      <c r="T315">
        <v>10.4</v>
      </c>
      <c r="U315" s="76">
        <v>0.2</v>
      </c>
      <c r="V315">
        <v>9.4</v>
      </c>
      <c r="W315" s="90">
        <v>0.1</v>
      </c>
      <c r="X315" s="90"/>
      <c r="Y315" s="71"/>
      <c r="Z315" s="71"/>
      <c r="AA315" s="71"/>
      <c r="AB315" s="71"/>
      <c r="AC315" s="71"/>
      <c r="AD315" s="71"/>
      <c r="AE315" s="71"/>
      <c r="AF315" s="71"/>
      <c r="AG315" s="82">
        <v>0</v>
      </c>
      <c r="AH315" s="76"/>
      <c r="AI315" s="76"/>
      <c r="AJ315" s="76"/>
      <c r="AK315" s="71">
        <v>0.15</v>
      </c>
      <c r="AL315" s="88">
        <v>3.4139420030223099E-2</v>
      </c>
      <c r="AM315" s="89">
        <f t="shared" si="4"/>
        <v>0.22759613353482067</v>
      </c>
      <c r="AN315" s="78"/>
    </row>
    <row r="316" spans="1:40" x14ac:dyDescent="0.25">
      <c r="A316" t="s">
        <v>44</v>
      </c>
      <c r="B316" t="s">
        <v>45</v>
      </c>
      <c r="C316" s="121" t="s">
        <v>174</v>
      </c>
      <c r="D316" t="s">
        <v>192</v>
      </c>
      <c r="E316" t="s">
        <v>59</v>
      </c>
      <c r="F316">
        <v>2</v>
      </c>
      <c r="G316">
        <v>14</v>
      </c>
      <c r="H316" s="86">
        <v>45959.521324618101</v>
      </c>
      <c r="I316" s="86">
        <v>45959.593513564803</v>
      </c>
      <c r="J316" s="87">
        <v>1.73253472222222</v>
      </c>
      <c r="K316" s="69" t="s">
        <v>274</v>
      </c>
      <c r="L316" s="69"/>
      <c r="M316" s="71"/>
      <c r="N316" s="71"/>
      <c r="O316" s="71"/>
      <c r="P316" s="71" t="s">
        <v>275</v>
      </c>
      <c r="Q316" s="88">
        <v>4.5960895535392003E-2</v>
      </c>
      <c r="R316" s="89" t="s">
        <v>276</v>
      </c>
      <c r="S316" s="89"/>
      <c r="T316">
        <v>9.4</v>
      </c>
      <c r="U316" s="76">
        <v>0.2</v>
      </c>
      <c r="V316">
        <v>9.6</v>
      </c>
      <c r="W316" s="90">
        <v>0.1</v>
      </c>
      <c r="X316" s="90"/>
      <c r="Y316" s="71"/>
      <c r="Z316" s="71"/>
      <c r="AA316" s="71"/>
      <c r="AB316" s="71"/>
      <c r="AC316" s="71"/>
      <c r="AD316" s="71"/>
      <c r="AE316" s="71"/>
      <c r="AF316" s="71"/>
      <c r="AG316" s="82">
        <v>0.2</v>
      </c>
      <c r="AH316" s="76"/>
      <c r="AI316" s="76"/>
      <c r="AJ316" s="76"/>
      <c r="AK316" s="71">
        <v>0.15</v>
      </c>
      <c r="AL316" s="88">
        <v>3.4139420030223099E-2</v>
      </c>
      <c r="AM316" s="89">
        <f t="shared" si="4"/>
        <v>0.22759613353482067</v>
      </c>
      <c r="AN316" s="78"/>
    </row>
    <row r="317" spans="1:40" x14ac:dyDescent="0.25">
      <c r="A317" t="s">
        <v>44</v>
      </c>
      <c r="B317" t="s">
        <v>45</v>
      </c>
      <c r="C317" s="121" t="s">
        <v>174</v>
      </c>
      <c r="D317" t="s">
        <v>192</v>
      </c>
      <c r="E317" t="s">
        <v>59</v>
      </c>
      <c r="F317">
        <v>2</v>
      </c>
      <c r="G317">
        <v>15</v>
      </c>
      <c r="H317" s="86">
        <v>45959.593513564803</v>
      </c>
      <c r="I317" s="86">
        <v>45959.665691620401</v>
      </c>
      <c r="J317" s="87">
        <v>1.73227333333333</v>
      </c>
      <c r="K317" s="69" t="s">
        <v>274</v>
      </c>
      <c r="L317" s="69"/>
      <c r="M317" s="71"/>
      <c r="N317" s="71"/>
      <c r="O317" s="71"/>
      <c r="P317" s="71" t="s">
        <v>275</v>
      </c>
      <c r="Q317" s="88">
        <v>3.68501063673548E-2</v>
      </c>
      <c r="R317" s="89" t="s">
        <v>276</v>
      </c>
      <c r="S317" s="89"/>
      <c r="T317">
        <v>9.3000000000000007</v>
      </c>
      <c r="U317" s="76">
        <v>0.2</v>
      </c>
      <c r="V317">
        <v>9.6999999999999993</v>
      </c>
      <c r="W317" s="90">
        <v>0.1</v>
      </c>
      <c r="X317" s="90"/>
      <c r="Y317" s="71"/>
      <c r="Z317" s="71"/>
      <c r="AA317" s="71"/>
      <c r="AB317" s="71"/>
      <c r="AC317" s="71"/>
      <c r="AD317" s="71"/>
      <c r="AE317" s="71"/>
      <c r="AF317" s="71"/>
      <c r="AG317" s="82">
        <v>0.6</v>
      </c>
      <c r="AH317" s="76"/>
      <c r="AI317" s="76"/>
      <c r="AJ317" s="76"/>
      <c r="AK317" s="71">
        <v>0.15</v>
      </c>
      <c r="AL317" s="88">
        <v>3.4139420030223099E-2</v>
      </c>
      <c r="AM317" s="89">
        <f t="shared" si="4"/>
        <v>0.22759613353482067</v>
      </c>
      <c r="AN317" s="78"/>
    </row>
    <row r="318" spans="1:40" x14ac:dyDescent="0.25">
      <c r="A318" t="s">
        <v>44</v>
      </c>
      <c r="B318" t="s">
        <v>45</v>
      </c>
      <c r="C318" s="121" t="s">
        <v>174</v>
      </c>
      <c r="D318" t="s">
        <v>192</v>
      </c>
      <c r="E318" t="s">
        <v>59</v>
      </c>
      <c r="F318">
        <v>2</v>
      </c>
      <c r="G318">
        <v>16</v>
      </c>
      <c r="H318" s="86">
        <v>45959.665691620401</v>
      </c>
      <c r="I318" s="86">
        <v>45959.737875613399</v>
      </c>
      <c r="J318" s="87">
        <v>1.7324158333333299</v>
      </c>
      <c r="K318" s="69" t="s">
        <v>274</v>
      </c>
      <c r="L318" s="69"/>
      <c r="M318" s="71"/>
      <c r="N318" s="71"/>
      <c r="O318" s="71"/>
      <c r="P318" s="71" t="s">
        <v>275</v>
      </c>
      <c r="Q318" s="88">
        <v>3.0944815335511501E-2</v>
      </c>
      <c r="R318" s="89" t="s">
        <v>276</v>
      </c>
      <c r="S318" s="89"/>
      <c r="T318">
        <v>9.1999999999999993</v>
      </c>
      <c r="U318" s="76">
        <v>0.2</v>
      </c>
      <c r="V318">
        <v>9.8000000000000007</v>
      </c>
      <c r="W318" s="90">
        <v>0.1</v>
      </c>
      <c r="X318" s="90"/>
      <c r="Y318" s="71"/>
      <c r="Z318" s="71"/>
      <c r="AA318" s="71"/>
      <c r="AB318" s="71"/>
      <c r="AC318" s="71"/>
      <c r="AD318" s="71"/>
      <c r="AE318" s="71"/>
      <c r="AF318" s="71"/>
      <c r="AG318" s="82">
        <v>0</v>
      </c>
      <c r="AH318" s="76"/>
      <c r="AI318" s="76"/>
      <c r="AJ318" s="76"/>
      <c r="AK318" s="71">
        <v>0.15</v>
      </c>
      <c r="AL318" s="88">
        <v>3.4139420030223099E-2</v>
      </c>
      <c r="AM318" s="89">
        <f t="shared" si="4"/>
        <v>0.22759613353482067</v>
      </c>
      <c r="AN318" s="78"/>
    </row>
    <row r="319" spans="1:40" x14ac:dyDescent="0.25">
      <c r="A319" t="s">
        <v>44</v>
      </c>
      <c r="B319" t="s">
        <v>45</v>
      </c>
      <c r="C319" s="121" t="s">
        <v>174</v>
      </c>
      <c r="D319" t="s">
        <v>192</v>
      </c>
      <c r="E319" t="s">
        <v>59</v>
      </c>
      <c r="F319">
        <v>2</v>
      </c>
      <c r="G319">
        <v>17</v>
      </c>
      <c r="H319" s="86">
        <v>45959.737875613399</v>
      </c>
      <c r="I319" s="86">
        <v>45959.810064224497</v>
      </c>
      <c r="J319" s="87">
        <v>1.7325266666666701</v>
      </c>
      <c r="K319" s="69" t="s">
        <v>274</v>
      </c>
      <c r="L319" s="69"/>
      <c r="M319" s="71"/>
      <c r="N319" s="71"/>
      <c r="O319" s="71"/>
      <c r="P319" s="71" t="s">
        <v>275</v>
      </c>
      <c r="Q319" s="88">
        <v>3.7098987754082699E-2</v>
      </c>
      <c r="R319" s="89" t="s">
        <v>276</v>
      </c>
      <c r="S319" s="89"/>
      <c r="T319">
        <v>9</v>
      </c>
      <c r="U319" s="76">
        <v>0.2</v>
      </c>
      <c r="V319">
        <v>9.9</v>
      </c>
      <c r="W319" s="90">
        <v>0.1</v>
      </c>
      <c r="X319" s="90"/>
      <c r="Y319" s="71"/>
      <c r="Z319" s="71"/>
      <c r="AA319" s="71"/>
      <c r="AB319" s="71"/>
      <c r="AC319" s="71"/>
      <c r="AD319" s="71"/>
      <c r="AE319" s="71"/>
      <c r="AF319" s="71"/>
      <c r="AG319" s="82">
        <v>0</v>
      </c>
      <c r="AH319" s="76"/>
      <c r="AI319" s="76"/>
      <c r="AJ319" s="76"/>
      <c r="AK319" s="71">
        <v>0.15</v>
      </c>
      <c r="AL319" s="88">
        <v>3.4139420030223099E-2</v>
      </c>
      <c r="AM319" s="89">
        <f t="shared" si="4"/>
        <v>0.22759613353482067</v>
      </c>
      <c r="AN319" s="78"/>
    </row>
    <row r="320" spans="1:40" x14ac:dyDescent="0.25">
      <c r="A320" t="s">
        <v>44</v>
      </c>
      <c r="B320" t="s">
        <v>45</v>
      </c>
      <c r="C320" s="121" t="s">
        <v>174</v>
      </c>
      <c r="D320" t="s">
        <v>192</v>
      </c>
      <c r="E320" t="s">
        <v>59</v>
      </c>
      <c r="F320">
        <v>2</v>
      </c>
      <c r="G320">
        <v>18</v>
      </c>
      <c r="H320" s="86">
        <v>45959.810064224497</v>
      </c>
      <c r="I320" s="86">
        <v>45959.882257094898</v>
      </c>
      <c r="J320" s="87">
        <v>1.7326288888888901</v>
      </c>
      <c r="K320" s="69" t="s">
        <v>274</v>
      </c>
      <c r="L320" s="69"/>
      <c r="M320" s="71"/>
      <c r="N320" s="71"/>
      <c r="O320" s="71"/>
      <c r="P320" s="71" t="s">
        <v>275</v>
      </c>
      <c r="Q320" s="88">
        <v>3.3403009621780798E-2</v>
      </c>
      <c r="R320" s="89" t="s">
        <v>276</v>
      </c>
      <c r="S320" s="89"/>
      <c r="T320">
        <v>8.8000000000000007</v>
      </c>
      <c r="U320" s="76">
        <v>0.2</v>
      </c>
      <c r="V320">
        <v>9.9</v>
      </c>
      <c r="W320" s="90">
        <v>0.1</v>
      </c>
      <c r="X320" s="90"/>
      <c r="Y320" s="71"/>
      <c r="Z320" s="71"/>
      <c r="AA320" s="71"/>
      <c r="AB320" s="71"/>
      <c r="AC320" s="71"/>
      <c r="AD320" s="71"/>
      <c r="AE320" s="71"/>
      <c r="AF320" s="71"/>
      <c r="AG320" s="82">
        <v>0.1</v>
      </c>
      <c r="AH320" s="76"/>
      <c r="AI320" s="76"/>
      <c r="AJ320" s="76"/>
      <c r="AK320" s="71">
        <v>0.15</v>
      </c>
      <c r="AL320" s="88">
        <v>3.4139420030223099E-2</v>
      </c>
      <c r="AM320" s="89">
        <f t="shared" si="4"/>
        <v>0.22759613353482067</v>
      </c>
      <c r="AN320" s="78"/>
    </row>
    <row r="321" spans="1:40" x14ac:dyDescent="0.25">
      <c r="A321" t="s">
        <v>44</v>
      </c>
      <c r="B321" t="s">
        <v>45</v>
      </c>
      <c r="C321" s="121" t="s">
        <v>174</v>
      </c>
      <c r="D321" t="s">
        <v>192</v>
      </c>
      <c r="E321" t="s">
        <v>59</v>
      </c>
      <c r="F321">
        <v>2</v>
      </c>
      <c r="G321">
        <v>19</v>
      </c>
      <c r="H321" s="86">
        <v>45959.882257094898</v>
      </c>
      <c r="I321" s="86">
        <v>45959.954435995402</v>
      </c>
      <c r="J321" s="87">
        <v>1.73229361111111</v>
      </c>
      <c r="K321" s="69" t="s">
        <v>274</v>
      </c>
      <c r="L321" s="69"/>
      <c r="M321" s="71"/>
      <c r="N321" s="71"/>
      <c r="O321" s="71"/>
      <c r="P321" s="71" t="s">
        <v>275</v>
      </c>
      <c r="Q321" s="88">
        <v>3.2110467469525297E-2</v>
      </c>
      <c r="R321" s="89" t="s">
        <v>276</v>
      </c>
      <c r="S321" s="89"/>
      <c r="T321">
        <v>9</v>
      </c>
      <c r="U321" s="76">
        <v>0.2</v>
      </c>
      <c r="V321">
        <v>9.9</v>
      </c>
      <c r="W321" s="90">
        <v>0.1</v>
      </c>
      <c r="X321" s="90"/>
      <c r="Y321" s="71"/>
      <c r="Z321" s="71"/>
      <c r="AA321" s="71"/>
      <c r="AB321" s="71"/>
      <c r="AC321" s="71"/>
      <c r="AD321" s="71"/>
      <c r="AE321" s="71"/>
      <c r="AF321" s="71"/>
      <c r="AG321" s="82">
        <v>0.1</v>
      </c>
      <c r="AH321" s="76"/>
      <c r="AI321" s="76"/>
      <c r="AJ321" s="76"/>
      <c r="AK321" s="71">
        <v>0.15</v>
      </c>
      <c r="AL321" s="88">
        <v>3.4139420030223099E-2</v>
      </c>
      <c r="AM321" s="89">
        <f t="shared" si="4"/>
        <v>0.22759613353482067</v>
      </c>
      <c r="AN321" s="78"/>
    </row>
    <row r="322" spans="1:40" x14ac:dyDescent="0.25">
      <c r="A322" t="s">
        <v>44</v>
      </c>
      <c r="B322" t="s">
        <v>45</v>
      </c>
      <c r="C322" s="121" t="s">
        <v>174</v>
      </c>
      <c r="D322" t="s">
        <v>192</v>
      </c>
      <c r="E322" t="s">
        <v>59</v>
      </c>
      <c r="F322">
        <v>2</v>
      </c>
      <c r="G322">
        <v>20</v>
      </c>
      <c r="H322" s="86">
        <v>45959.954435995402</v>
      </c>
      <c r="I322" s="86">
        <v>45960.026622314799</v>
      </c>
      <c r="J322" s="87">
        <v>1.73247166666667</v>
      </c>
      <c r="K322" s="69" t="s">
        <v>274</v>
      </c>
      <c r="L322" s="69"/>
      <c r="M322" s="71"/>
      <c r="N322" s="71"/>
      <c r="O322" s="71"/>
      <c r="P322" s="71" t="s">
        <v>275</v>
      </c>
      <c r="Q322" s="88">
        <v>3.3350721604577603E-2</v>
      </c>
      <c r="R322" s="89" t="s">
        <v>276</v>
      </c>
      <c r="S322" s="89"/>
      <c r="T322">
        <v>8.8000000000000007</v>
      </c>
      <c r="U322" s="76">
        <v>0.2</v>
      </c>
      <c r="V322">
        <v>9.9</v>
      </c>
      <c r="W322" s="90">
        <v>0.1</v>
      </c>
      <c r="X322" s="90"/>
      <c r="Y322" s="71"/>
      <c r="Z322" s="71"/>
      <c r="AA322" s="71"/>
      <c r="AB322" s="71"/>
      <c r="AC322" s="71"/>
      <c r="AD322" s="71"/>
      <c r="AE322" s="71"/>
      <c r="AF322" s="71"/>
      <c r="AG322" s="82">
        <v>1</v>
      </c>
      <c r="AH322" s="76"/>
      <c r="AI322" s="76"/>
      <c r="AJ322" s="76"/>
      <c r="AK322" s="71">
        <v>0.15</v>
      </c>
      <c r="AL322" s="88">
        <v>3.4139420030223099E-2</v>
      </c>
      <c r="AM322" s="89">
        <f t="shared" si="4"/>
        <v>0.22759613353482067</v>
      </c>
      <c r="AN322" s="78"/>
    </row>
    <row r="323" spans="1:40" x14ac:dyDescent="0.25">
      <c r="A323" t="s">
        <v>44</v>
      </c>
      <c r="B323" t="s">
        <v>45</v>
      </c>
      <c r="C323" s="121" t="s">
        <v>174</v>
      </c>
      <c r="D323" t="s">
        <v>192</v>
      </c>
      <c r="E323" t="s">
        <v>59</v>
      </c>
      <c r="F323">
        <v>2</v>
      </c>
      <c r="G323">
        <v>21</v>
      </c>
      <c r="H323" s="86">
        <v>45960.026622314799</v>
      </c>
      <c r="I323" s="86">
        <v>45960.098818078703</v>
      </c>
      <c r="J323" s="87">
        <v>1.7326983333333299</v>
      </c>
      <c r="K323" s="69" t="s">
        <v>274</v>
      </c>
      <c r="L323" s="69"/>
      <c r="M323" s="71"/>
      <c r="N323" s="71"/>
      <c r="O323" s="71"/>
      <c r="P323" s="71" t="s">
        <v>275</v>
      </c>
      <c r="Q323" s="88">
        <v>3.3368785314256702E-2</v>
      </c>
      <c r="R323" s="89" t="s">
        <v>276</v>
      </c>
      <c r="S323" s="89"/>
      <c r="T323">
        <v>8.6999999999999993</v>
      </c>
      <c r="U323" s="76">
        <v>0.2</v>
      </c>
      <c r="V323">
        <v>9.9</v>
      </c>
      <c r="W323" s="90">
        <v>0.1</v>
      </c>
      <c r="X323" s="90"/>
      <c r="Y323" s="71"/>
      <c r="Z323" s="71"/>
      <c r="AA323" s="71"/>
      <c r="AB323" s="71"/>
      <c r="AC323" s="71"/>
      <c r="AD323" s="71"/>
      <c r="AE323" s="71"/>
      <c r="AF323" s="71"/>
      <c r="AG323" s="82">
        <v>1.7</v>
      </c>
      <c r="AH323" s="76"/>
      <c r="AI323" s="76"/>
      <c r="AJ323" s="76"/>
      <c r="AK323" s="71">
        <v>0.15</v>
      </c>
      <c r="AL323" s="88">
        <v>3.4139420030223099E-2</v>
      </c>
      <c r="AM323" s="89">
        <f t="shared" si="4"/>
        <v>0.22759613353482067</v>
      </c>
      <c r="AN323" s="78"/>
    </row>
    <row r="324" spans="1:40" x14ac:dyDescent="0.25">
      <c r="A324" t="s">
        <v>44</v>
      </c>
      <c r="B324" t="s">
        <v>45</v>
      </c>
      <c r="C324" s="121" t="s">
        <v>174</v>
      </c>
      <c r="D324" t="s">
        <v>192</v>
      </c>
      <c r="E324" t="s">
        <v>59</v>
      </c>
      <c r="F324">
        <v>2</v>
      </c>
      <c r="G324">
        <v>22</v>
      </c>
      <c r="H324" s="86">
        <v>45960.098818078703</v>
      </c>
      <c r="I324" s="86">
        <v>45960.170989583297</v>
      </c>
      <c r="J324" s="87">
        <v>1.7321161111111101</v>
      </c>
      <c r="K324" s="69" t="s">
        <v>274</v>
      </c>
      <c r="L324" s="69"/>
      <c r="M324" s="71"/>
      <c r="N324" s="71"/>
      <c r="O324" s="71"/>
      <c r="P324" s="71" t="s">
        <v>275</v>
      </c>
      <c r="Q324" s="88">
        <v>3.2625260431752699E-2</v>
      </c>
      <c r="R324" s="89" t="s">
        <v>276</v>
      </c>
      <c r="S324" s="89"/>
      <c r="T324">
        <v>8.6999999999999993</v>
      </c>
      <c r="U324" s="76">
        <v>0.2</v>
      </c>
      <c r="V324">
        <v>9.9</v>
      </c>
      <c r="W324" s="90">
        <v>0.1</v>
      </c>
      <c r="X324" s="90"/>
      <c r="Y324" s="71"/>
      <c r="Z324" s="71"/>
      <c r="AA324" s="71"/>
      <c r="AB324" s="71"/>
      <c r="AC324" s="71"/>
      <c r="AD324" s="71"/>
      <c r="AE324" s="71"/>
      <c r="AF324" s="71"/>
      <c r="AG324" s="82">
        <v>1.3</v>
      </c>
      <c r="AH324" s="76"/>
      <c r="AI324" s="76"/>
      <c r="AJ324" s="76"/>
      <c r="AK324" s="71">
        <v>0.15</v>
      </c>
      <c r="AL324" s="88">
        <v>3.4139420030223099E-2</v>
      </c>
      <c r="AM324" s="89">
        <f t="shared" si="4"/>
        <v>0.22759613353482067</v>
      </c>
      <c r="AN324" s="78"/>
    </row>
    <row r="325" spans="1:40" x14ac:dyDescent="0.25">
      <c r="A325" t="s">
        <v>44</v>
      </c>
      <c r="B325" t="s">
        <v>45</v>
      </c>
      <c r="C325" s="121" t="s">
        <v>174</v>
      </c>
      <c r="D325" t="s">
        <v>192</v>
      </c>
      <c r="E325" t="s">
        <v>59</v>
      </c>
      <c r="F325">
        <v>2</v>
      </c>
      <c r="G325">
        <v>23</v>
      </c>
      <c r="H325" s="86">
        <v>45960.170989583297</v>
      </c>
      <c r="I325" s="86">
        <v>45960.243175324104</v>
      </c>
      <c r="J325" s="87">
        <v>1.7324577777777801</v>
      </c>
      <c r="K325" s="69" t="s">
        <v>274</v>
      </c>
      <c r="L325" s="69"/>
      <c r="M325" s="71"/>
      <c r="N325" s="71"/>
      <c r="O325" s="71"/>
      <c r="P325" s="71" t="s">
        <v>275</v>
      </c>
      <c r="Q325" s="88">
        <v>3.3541218839251097E-2</v>
      </c>
      <c r="R325" s="89" t="s">
        <v>276</v>
      </c>
      <c r="S325" s="89"/>
      <c r="T325">
        <v>8.6999999999999993</v>
      </c>
      <c r="U325" s="76">
        <v>0.2</v>
      </c>
      <c r="V325">
        <v>9.8000000000000007</v>
      </c>
      <c r="W325" s="90">
        <v>0.1</v>
      </c>
      <c r="X325" s="90"/>
      <c r="Y325" s="71"/>
      <c r="Z325" s="71"/>
      <c r="AA325" s="71"/>
      <c r="AB325" s="71"/>
      <c r="AC325" s="71"/>
      <c r="AD325" s="71"/>
      <c r="AE325" s="71"/>
      <c r="AF325" s="71"/>
      <c r="AG325" s="82">
        <v>3</v>
      </c>
      <c r="AH325" s="76"/>
      <c r="AI325" s="76"/>
      <c r="AJ325" s="76"/>
      <c r="AK325" s="71">
        <v>0.15</v>
      </c>
      <c r="AL325" s="88">
        <v>3.4139420030223099E-2</v>
      </c>
      <c r="AM325" s="89">
        <f t="shared" ref="AM325:AM388" si="5">AL325/AK325</f>
        <v>0.22759613353482067</v>
      </c>
      <c r="AN325" s="78"/>
    </row>
    <row r="326" spans="1:40" x14ac:dyDescent="0.25">
      <c r="A326" t="s">
        <v>44</v>
      </c>
      <c r="B326" t="s">
        <v>45</v>
      </c>
      <c r="C326" s="121" t="s">
        <v>174</v>
      </c>
      <c r="D326" t="s">
        <v>192</v>
      </c>
      <c r="E326" t="s">
        <v>59</v>
      </c>
      <c r="F326">
        <v>2</v>
      </c>
      <c r="G326">
        <v>24</v>
      </c>
      <c r="H326" s="86">
        <v>45960.243175324104</v>
      </c>
      <c r="I326" s="86">
        <v>45960.3153642014</v>
      </c>
      <c r="J326" s="87">
        <v>1.73253305555556</v>
      </c>
      <c r="K326" s="69" t="s">
        <v>274</v>
      </c>
      <c r="L326" s="69"/>
      <c r="M326" s="71"/>
      <c r="N326" s="71"/>
      <c r="O326" s="71"/>
      <c r="P326" s="71" t="s">
        <v>275</v>
      </c>
      <c r="Q326" s="88">
        <v>3.6080134108752403E-2</v>
      </c>
      <c r="R326" s="89" t="s">
        <v>276</v>
      </c>
      <c r="S326" s="89"/>
      <c r="T326">
        <v>8.6</v>
      </c>
      <c r="U326" s="76">
        <v>0.2</v>
      </c>
      <c r="V326">
        <v>9.8000000000000007</v>
      </c>
      <c r="W326" s="90">
        <v>0.1</v>
      </c>
      <c r="X326" s="90"/>
      <c r="Y326" s="71"/>
      <c r="Z326" s="71"/>
      <c r="AA326" s="71"/>
      <c r="AB326" s="71"/>
      <c r="AC326" s="71"/>
      <c r="AD326" s="71"/>
      <c r="AE326" s="71"/>
      <c r="AF326" s="71"/>
      <c r="AG326" s="82">
        <v>1.2</v>
      </c>
      <c r="AH326" s="76"/>
      <c r="AI326" s="76"/>
      <c r="AJ326" s="76"/>
      <c r="AK326" s="71">
        <v>0.15</v>
      </c>
      <c r="AL326" s="88">
        <v>3.4139420030223099E-2</v>
      </c>
      <c r="AM326" s="89">
        <f t="shared" si="5"/>
        <v>0.22759613353482067</v>
      </c>
      <c r="AN326" s="78"/>
    </row>
    <row r="327" spans="1:40" x14ac:dyDescent="0.25">
      <c r="A327" t="s">
        <v>44</v>
      </c>
      <c r="B327" t="s">
        <v>45</v>
      </c>
      <c r="C327" s="121" t="s">
        <v>174</v>
      </c>
      <c r="D327" t="s">
        <v>192</v>
      </c>
      <c r="E327" t="s">
        <v>59</v>
      </c>
      <c r="F327">
        <v>2</v>
      </c>
      <c r="G327">
        <v>25</v>
      </c>
      <c r="H327" s="86">
        <v>45960.3153642014</v>
      </c>
      <c r="I327" s="86">
        <v>45960.387551736101</v>
      </c>
      <c r="J327" s="87">
        <v>1.73250083333333</v>
      </c>
      <c r="K327" s="69" t="s">
        <v>274</v>
      </c>
      <c r="L327" s="69"/>
      <c r="M327" s="71"/>
      <c r="N327" s="71"/>
      <c r="O327" s="71"/>
      <c r="P327" s="71" t="s">
        <v>275</v>
      </c>
      <c r="Q327" s="88">
        <v>4.4877691887374102E-2</v>
      </c>
      <c r="R327" s="89" t="s">
        <v>276</v>
      </c>
      <c r="S327" s="89"/>
      <c r="T327">
        <v>8.1</v>
      </c>
      <c r="U327" s="76">
        <v>0.2</v>
      </c>
      <c r="V327">
        <v>9.8000000000000007</v>
      </c>
      <c r="W327" s="90">
        <v>0.1</v>
      </c>
      <c r="X327" s="90"/>
      <c r="Y327" s="71"/>
      <c r="Z327" s="71"/>
      <c r="AA327" s="71"/>
      <c r="AB327" s="71"/>
      <c r="AC327" s="71"/>
      <c r="AD327" s="71"/>
      <c r="AE327" s="71"/>
      <c r="AF327" s="71"/>
      <c r="AG327" s="82">
        <v>0.3</v>
      </c>
      <c r="AH327" s="76"/>
      <c r="AI327" s="76"/>
      <c r="AJ327" s="76"/>
      <c r="AK327" s="71">
        <v>0.15</v>
      </c>
      <c r="AL327" s="88">
        <v>3.4139420030223099E-2</v>
      </c>
      <c r="AM327" s="89">
        <f t="shared" si="5"/>
        <v>0.22759613353482067</v>
      </c>
      <c r="AN327" s="78"/>
    </row>
    <row r="328" spans="1:40" x14ac:dyDescent="0.25">
      <c r="A328" t="s">
        <v>44</v>
      </c>
      <c r="B328" t="s">
        <v>45</v>
      </c>
      <c r="C328" s="121" t="s">
        <v>174</v>
      </c>
      <c r="D328" t="s">
        <v>192</v>
      </c>
      <c r="E328" t="s">
        <v>59</v>
      </c>
      <c r="F328">
        <v>2</v>
      </c>
      <c r="G328">
        <v>26</v>
      </c>
      <c r="H328" s="86">
        <v>45960.387551736101</v>
      </c>
      <c r="I328" s="86">
        <v>45960.459727743102</v>
      </c>
      <c r="J328" s="87">
        <v>1.73222416666667</v>
      </c>
      <c r="K328" s="69" t="s">
        <v>274</v>
      </c>
      <c r="L328" s="69"/>
      <c r="M328" s="71"/>
      <c r="N328" s="71"/>
      <c r="O328" s="71"/>
      <c r="P328" s="71" t="s">
        <v>275</v>
      </c>
      <c r="Q328" s="88">
        <v>5.4743660333860203E-2</v>
      </c>
      <c r="R328" s="89" t="s">
        <v>276</v>
      </c>
      <c r="S328" s="89"/>
      <c r="T328">
        <v>8</v>
      </c>
      <c r="U328" s="76">
        <v>0.2</v>
      </c>
      <c r="V328">
        <v>9.8000000000000007</v>
      </c>
      <c r="W328" s="90">
        <v>0.1</v>
      </c>
      <c r="X328" s="90"/>
      <c r="Y328" s="71"/>
      <c r="Z328" s="71"/>
      <c r="AA328" s="71"/>
      <c r="AB328" s="71"/>
      <c r="AC328" s="71"/>
      <c r="AD328" s="71"/>
      <c r="AE328" s="71"/>
      <c r="AF328" s="71"/>
      <c r="AG328" s="82">
        <v>0.5</v>
      </c>
      <c r="AH328" s="76"/>
      <c r="AI328" s="76"/>
      <c r="AJ328" s="76"/>
      <c r="AK328" s="71">
        <v>0.15</v>
      </c>
      <c r="AL328" s="88">
        <v>3.4139420030223099E-2</v>
      </c>
      <c r="AM328" s="89">
        <f t="shared" si="5"/>
        <v>0.22759613353482067</v>
      </c>
      <c r="AN328" s="78"/>
    </row>
    <row r="329" spans="1:40" x14ac:dyDescent="0.25">
      <c r="A329" t="s">
        <v>44</v>
      </c>
      <c r="B329" t="s">
        <v>45</v>
      </c>
      <c r="C329" s="121" t="s">
        <v>174</v>
      </c>
      <c r="D329" t="s">
        <v>192</v>
      </c>
      <c r="E329" t="s">
        <v>59</v>
      </c>
      <c r="F329">
        <v>2</v>
      </c>
      <c r="G329">
        <v>27</v>
      </c>
      <c r="H329" s="86">
        <v>45960.459727743102</v>
      </c>
      <c r="I329" s="86">
        <v>45960.5319315046</v>
      </c>
      <c r="J329" s="87">
        <v>1.7328902777777799</v>
      </c>
      <c r="K329" s="69" t="s">
        <v>274</v>
      </c>
      <c r="L329" s="69"/>
      <c r="M329" s="71"/>
      <c r="N329" s="71"/>
      <c r="O329" s="71"/>
      <c r="P329" s="71" t="s">
        <v>275</v>
      </c>
      <c r="Q329" s="88">
        <v>0.12032751223791301</v>
      </c>
      <c r="R329" s="89" t="s">
        <v>276</v>
      </c>
      <c r="S329" s="89"/>
      <c r="T329">
        <v>8.1</v>
      </c>
      <c r="U329" s="76">
        <v>0.2</v>
      </c>
      <c r="V329">
        <v>9.8000000000000007</v>
      </c>
      <c r="W329" s="90">
        <v>0.1</v>
      </c>
      <c r="X329" s="90"/>
      <c r="Y329" s="71"/>
      <c r="Z329" s="71"/>
      <c r="AA329" s="71"/>
      <c r="AB329" s="71"/>
      <c r="AC329" s="71"/>
      <c r="AD329" s="71"/>
      <c r="AE329" s="71"/>
      <c r="AF329" s="71"/>
      <c r="AG329" s="82">
        <v>0</v>
      </c>
      <c r="AH329" s="76"/>
      <c r="AI329" s="76"/>
      <c r="AJ329" s="76"/>
      <c r="AK329" s="71">
        <v>0.15</v>
      </c>
      <c r="AL329" s="88">
        <v>3.4139420030223099E-2</v>
      </c>
      <c r="AM329" s="89">
        <f t="shared" si="5"/>
        <v>0.22759613353482067</v>
      </c>
      <c r="AN329" s="78"/>
    </row>
    <row r="330" spans="1:40" x14ac:dyDescent="0.25">
      <c r="A330" t="s">
        <v>44</v>
      </c>
      <c r="B330" t="s">
        <v>45</v>
      </c>
      <c r="C330" s="121" t="s">
        <v>174</v>
      </c>
      <c r="D330" t="s">
        <v>192</v>
      </c>
      <c r="E330" t="s">
        <v>59</v>
      </c>
      <c r="F330">
        <v>2</v>
      </c>
      <c r="G330">
        <v>28</v>
      </c>
      <c r="H330" s="86">
        <v>45960.5319315046</v>
      </c>
      <c r="I330" s="86">
        <v>45960.604106238403</v>
      </c>
      <c r="J330" s="87">
        <v>1.73219361111111</v>
      </c>
      <c r="K330" s="69" t="s">
        <v>274</v>
      </c>
      <c r="L330" s="69"/>
      <c r="M330" s="71"/>
      <c r="N330" s="71"/>
      <c r="O330" s="71"/>
      <c r="P330" s="71" t="s">
        <v>275</v>
      </c>
      <c r="Q330" s="88">
        <v>0.15130310851255099</v>
      </c>
      <c r="R330" s="89" t="s">
        <v>276</v>
      </c>
      <c r="S330" s="89"/>
      <c r="T330">
        <v>11</v>
      </c>
      <c r="U330" s="76">
        <v>0.2</v>
      </c>
      <c r="V330">
        <v>9.8000000000000007</v>
      </c>
      <c r="W330" s="90">
        <v>0.1</v>
      </c>
      <c r="X330" s="90"/>
      <c r="Y330" s="71"/>
      <c r="Z330" s="71"/>
      <c r="AA330" s="71"/>
      <c r="AB330" s="71"/>
      <c r="AC330" s="71"/>
      <c r="AD330" s="71"/>
      <c r="AE330" s="71"/>
      <c r="AF330" s="71"/>
      <c r="AG330" s="82">
        <v>0</v>
      </c>
      <c r="AH330" s="76"/>
      <c r="AI330" s="76"/>
      <c r="AJ330" s="76"/>
      <c r="AK330" s="71">
        <v>0.15</v>
      </c>
      <c r="AL330" s="88">
        <v>3.4139420030223099E-2</v>
      </c>
      <c r="AM330" s="89">
        <f t="shared" si="5"/>
        <v>0.22759613353482067</v>
      </c>
      <c r="AN330" s="78"/>
    </row>
    <row r="331" spans="1:40" x14ac:dyDescent="0.25">
      <c r="A331" t="s">
        <v>44</v>
      </c>
      <c r="B331" t="s">
        <v>45</v>
      </c>
      <c r="C331" s="121" t="s">
        <v>174</v>
      </c>
      <c r="D331" t="s">
        <v>192</v>
      </c>
      <c r="E331" t="s">
        <v>59</v>
      </c>
      <c r="F331">
        <v>2</v>
      </c>
      <c r="G331">
        <v>29</v>
      </c>
      <c r="H331" s="86">
        <v>45960.604106238403</v>
      </c>
      <c r="I331" s="86">
        <v>45960.676294733799</v>
      </c>
      <c r="J331" s="87">
        <v>1.7325238888888901</v>
      </c>
      <c r="K331" s="69" t="s">
        <v>274</v>
      </c>
      <c r="L331" s="69"/>
      <c r="M331" s="71"/>
      <c r="N331" s="71"/>
      <c r="O331" s="71"/>
      <c r="P331" s="71" t="s">
        <v>275</v>
      </c>
      <c r="Q331" s="88">
        <v>0.104080043215396</v>
      </c>
      <c r="R331" s="89" t="s">
        <v>276</v>
      </c>
      <c r="S331" s="89"/>
      <c r="T331">
        <v>10.6</v>
      </c>
      <c r="U331" s="76">
        <v>0.2</v>
      </c>
      <c r="V331">
        <v>9.9</v>
      </c>
      <c r="W331" s="90">
        <v>0.1</v>
      </c>
      <c r="X331" s="90"/>
      <c r="Y331" s="71"/>
      <c r="Z331" s="71"/>
      <c r="AA331" s="71"/>
      <c r="AB331" s="71"/>
      <c r="AC331" s="71"/>
      <c r="AD331" s="71"/>
      <c r="AE331" s="71"/>
      <c r="AF331" s="71"/>
      <c r="AG331" s="82">
        <v>0</v>
      </c>
      <c r="AH331" s="76"/>
      <c r="AI331" s="76"/>
      <c r="AJ331" s="76"/>
      <c r="AK331" s="71">
        <v>0.15</v>
      </c>
      <c r="AL331" s="88">
        <v>3.4139420030223099E-2</v>
      </c>
      <c r="AM331" s="89">
        <f t="shared" si="5"/>
        <v>0.22759613353482067</v>
      </c>
      <c r="AN331" s="78"/>
    </row>
    <row r="332" spans="1:40" x14ac:dyDescent="0.25">
      <c r="A332" t="s">
        <v>44</v>
      </c>
      <c r="B332" t="s">
        <v>45</v>
      </c>
      <c r="C332" s="121" t="s">
        <v>174</v>
      </c>
      <c r="D332" t="s">
        <v>192</v>
      </c>
      <c r="E332" t="s">
        <v>59</v>
      </c>
      <c r="F332">
        <v>2</v>
      </c>
      <c r="G332">
        <v>30</v>
      </c>
      <c r="H332" s="86">
        <v>45960.676294733799</v>
      </c>
      <c r="I332" s="86">
        <v>45960.7484756829</v>
      </c>
      <c r="J332" s="87">
        <v>1.73234277777778</v>
      </c>
      <c r="K332" s="69" t="s">
        <v>274</v>
      </c>
      <c r="L332" s="69"/>
      <c r="M332" s="71"/>
      <c r="N332" s="71"/>
      <c r="O332" s="71"/>
      <c r="P332" s="71" t="s">
        <v>275</v>
      </c>
      <c r="Q332" s="88">
        <v>6.9477682257432505E-2</v>
      </c>
      <c r="R332" s="89" t="s">
        <v>276</v>
      </c>
      <c r="S332" s="89"/>
      <c r="T332">
        <v>7</v>
      </c>
      <c r="U332" s="76">
        <v>0.2</v>
      </c>
      <c r="V332">
        <v>10</v>
      </c>
      <c r="W332" s="90">
        <v>0.1</v>
      </c>
      <c r="X332" s="90"/>
      <c r="Y332" s="71"/>
      <c r="Z332" s="71"/>
      <c r="AA332" s="71"/>
      <c r="AB332" s="71"/>
      <c r="AC332" s="71"/>
      <c r="AD332" s="71"/>
      <c r="AE332" s="71"/>
      <c r="AF332" s="71"/>
      <c r="AG332" s="82">
        <v>0</v>
      </c>
      <c r="AH332" s="76"/>
      <c r="AI332" s="76"/>
      <c r="AJ332" s="76"/>
      <c r="AK332" s="71">
        <v>0.15</v>
      </c>
      <c r="AL332" s="88">
        <v>3.4139420030223099E-2</v>
      </c>
      <c r="AM332" s="89">
        <f t="shared" si="5"/>
        <v>0.22759613353482067</v>
      </c>
      <c r="AN332" s="78"/>
    </row>
    <row r="333" spans="1:40" x14ac:dyDescent="0.25">
      <c r="A333" t="s">
        <v>44</v>
      </c>
      <c r="B333" t="s">
        <v>45</v>
      </c>
      <c r="C333" s="121" t="s">
        <v>174</v>
      </c>
      <c r="D333" t="s">
        <v>192</v>
      </c>
      <c r="E333" t="s">
        <v>59</v>
      </c>
      <c r="F333">
        <v>2</v>
      </c>
      <c r="G333">
        <v>31</v>
      </c>
      <c r="H333" s="86">
        <v>45960.7484756829</v>
      </c>
      <c r="I333" s="86">
        <v>45960.820651990703</v>
      </c>
      <c r="J333" s="87">
        <v>1.7322313888888901</v>
      </c>
      <c r="K333" s="69" t="s">
        <v>274</v>
      </c>
      <c r="L333" s="69"/>
      <c r="M333" s="71"/>
      <c r="N333" s="71"/>
      <c r="O333" s="71"/>
      <c r="P333" s="71" t="s">
        <v>275</v>
      </c>
      <c r="Q333" s="88">
        <v>7.2552784267998799E-2</v>
      </c>
      <c r="R333" s="89" t="s">
        <v>276</v>
      </c>
      <c r="S333" s="89"/>
      <c r="T333">
        <v>3.1</v>
      </c>
      <c r="U333" s="76">
        <v>0.2</v>
      </c>
      <c r="V333">
        <v>9.9</v>
      </c>
      <c r="W333" s="90">
        <v>0.1</v>
      </c>
      <c r="X333" s="90"/>
      <c r="Y333" s="71"/>
      <c r="Z333" s="71"/>
      <c r="AA333" s="71"/>
      <c r="AB333" s="71"/>
      <c r="AC333" s="71"/>
      <c r="AD333" s="71"/>
      <c r="AE333" s="71"/>
      <c r="AF333" s="71"/>
      <c r="AG333" s="82">
        <v>0</v>
      </c>
      <c r="AH333" s="76"/>
      <c r="AI333" s="76"/>
      <c r="AJ333" s="76"/>
      <c r="AK333" s="71">
        <v>0.15</v>
      </c>
      <c r="AL333" s="88">
        <v>3.4139420030223099E-2</v>
      </c>
      <c r="AM333" s="89">
        <f t="shared" si="5"/>
        <v>0.22759613353482067</v>
      </c>
      <c r="AN333" s="78"/>
    </row>
    <row r="334" spans="1:40" x14ac:dyDescent="0.25">
      <c r="A334" t="s">
        <v>44</v>
      </c>
      <c r="B334" t="s">
        <v>45</v>
      </c>
      <c r="C334" s="121" t="s">
        <v>174</v>
      </c>
      <c r="D334" t="s">
        <v>192</v>
      </c>
      <c r="E334" t="s">
        <v>59</v>
      </c>
      <c r="F334">
        <v>2</v>
      </c>
      <c r="G334">
        <v>32</v>
      </c>
      <c r="H334" s="86">
        <v>45960.820651990703</v>
      </c>
      <c r="I334" s="86">
        <v>45960.892834872699</v>
      </c>
      <c r="J334" s="87">
        <v>1.73238916666667</v>
      </c>
      <c r="K334" s="69" t="s">
        <v>274</v>
      </c>
      <c r="L334" s="69"/>
      <c r="M334" s="71"/>
      <c r="N334" s="71"/>
      <c r="O334" s="71"/>
      <c r="P334" s="71" t="s">
        <v>275</v>
      </c>
      <c r="Q334" s="88">
        <v>7.8758268052922104E-2</v>
      </c>
      <c r="R334" s="89" t="s">
        <v>276</v>
      </c>
      <c r="S334" s="89"/>
      <c r="T334">
        <v>3.1</v>
      </c>
      <c r="U334" s="76">
        <v>0.2</v>
      </c>
      <c r="V334">
        <v>9.6999999999999993</v>
      </c>
      <c r="W334" s="90">
        <v>0.1</v>
      </c>
      <c r="X334" s="90"/>
      <c r="Y334" s="71"/>
      <c r="Z334" s="71"/>
      <c r="AA334" s="71"/>
      <c r="AB334" s="71"/>
      <c r="AC334" s="71"/>
      <c r="AD334" s="71"/>
      <c r="AE334" s="71"/>
      <c r="AF334" s="71"/>
      <c r="AG334" s="82">
        <v>0</v>
      </c>
      <c r="AH334" s="76"/>
      <c r="AI334" s="76"/>
      <c r="AJ334" s="76"/>
      <c r="AK334" s="71">
        <v>0.15</v>
      </c>
      <c r="AL334" s="88">
        <v>3.4139420030223099E-2</v>
      </c>
      <c r="AM334" s="89">
        <f t="shared" si="5"/>
        <v>0.22759613353482067</v>
      </c>
      <c r="AN334" s="78"/>
    </row>
    <row r="335" spans="1:40" x14ac:dyDescent="0.25">
      <c r="A335" t="s">
        <v>44</v>
      </c>
      <c r="B335" t="s">
        <v>45</v>
      </c>
      <c r="C335" s="121" t="s">
        <v>174</v>
      </c>
      <c r="D335" t="s">
        <v>192</v>
      </c>
      <c r="E335" t="s">
        <v>59</v>
      </c>
      <c r="F335">
        <v>2</v>
      </c>
      <c r="G335">
        <v>33</v>
      </c>
      <c r="H335" s="86">
        <v>45960.892834872699</v>
      </c>
      <c r="I335" s="86">
        <v>45960.965031446802</v>
      </c>
      <c r="J335" s="87">
        <v>1.73271777777778</v>
      </c>
      <c r="K335" s="69" t="s">
        <v>274</v>
      </c>
      <c r="L335" s="69"/>
      <c r="M335" s="71"/>
      <c r="N335" s="71"/>
      <c r="O335" s="71"/>
      <c r="P335" s="71" t="s">
        <v>275</v>
      </c>
      <c r="Q335" s="88">
        <v>7.9115655165680199E-2</v>
      </c>
      <c r="R335" s="89" t="s">
        <v>276</v>
      </c>
      <c r="S335" s="89"/>
      <c r="T335">
        <v>3.4</v>
      </c>
      <c r="U335" s="76">
        <v>0.2</v>
      </c>
      <c r="V335">
        <v>9.6</v>
      </c>
      <c r="W335" s="90">
        <v>0.1</v>
      </c>
      <c r="X335" s="90"/>
      <c r="Y335" s="71"/>
      <c r="Z335" s="71"/>
      <c r="AA335" s="71"/>
      <c r="AB335" s="71"/>
      <c r="AC335" s="71"/>
      <c r="AD335" s="71"/>
      <c r="AE335" s="71"/>
      <c r="AF335" s="71"/>
      <c r="AG335" s="82">
        <v>0</v>
      </c>
      <c r="AH335" s="76"/>
      <c r="AI335" s="76"/>
      <c r="AJ335" s="76"/>
      <c r="AK335" s="71">
        <v>0.15</v>
      </c>
      <c r="AL335" s="88">
        <v>3.4139420030223099E-2</v>
      </c>
      <c r="AM335" s="89">
        <f t="shared" si="5"/>
        <v>0.22759613353482067</v>
      </c>
      <c r="AN335" s="78"/>
    </row>
    <row r="336" spans="1:40" x14ac:dyDescent="0.25">
      <c r="A336" t="s">
        <v>44</v>
      </c>
      <c r="B336" t="s">
        <v>45</v>
      </c>
      <c r="C336" s="121" t="s">
        <v>174</v>
      </c>
      <c r="D336" t="s">
        <v>192</v>
      </c>
      <c r="E336" t="s">
        <v>59</v>
      </c>
      <c r="F336">
        <v>2</v>
      </c>
      <c r="G336">
        <v>34</v>
      </c>
      <c r="H336" s="86">
        <v>45960.965031446802</v>
      </c>
      <c r="I336" s="86">
        <v>45961.037200590297</v>
      </c>
      <c r="J336" s="87">
        <v>1.7320594444444399</v>
      </c>
      <c r="K336" s="69" t="s">
        <v>274</v>
      </c>
      <c r="L336" s="69"/>
      <c r="M336" s="71"/>
      <c r="N336" s="71"/>
      <c r="O336" s="71"/>
      <c r="P336" s="71" t="s">
        <v>275</v>
      </c>
      <c r="Q336" s="88">
        <v>7.7930322378971004E-2</v>
      </c>
      <c r="R336" s="89" t="s">
        <v>276</v>
      </c>
      <c r="S336" s="89"/>
      <c r="T336">
        <v>2.7</v>
      </c>
      <c r="U336" s="76">
        <v>0.2</v>
      </c>
      <c r="V336">
        <v>9.3000000000000007</v>
      </c>
      <c r="W336" s="90">
        <v>0.1</v>
      </c>
      <c r="X336" s="90"/>
      <c r="Y336" s="71"/>
      <c r="Z336" s="71"/>
      <c r="AA336" s="71"/>
      <c r="AB336" s="71"/>
      <c r="AC336" s="71"/>
      <c r="AD336" s="71"/>
      <c r="AE336" s="71"/>
      <c r="AF336" s="71"/>
      <c r="AG336" s="82">
        <v>0</v>
      </c>
      <c r="AH336" s="76"/>
      <c r="AI336" s="76"/>
      <c r="AJ336" s="76"/>
      <c r="AK336" s="71">
        <v>0.15</v>
      </c>
      <c r="AL336" s="88">
        <v>3.4139420030223099E-2</v>
      </c>
      <c r="AM336" s="89">
        <f t="shared" si="5"/>
        <v>0.22759613353482067</v>
      </c>
      <c r="AN336" s="78"/>
    </row>
    <row r="337" spans="1:40" x14ac:dyDescent="0.25">
      <c r="A337" t="s">
        <v>44</v>
      </c>
      <c r="B337" t="s">
        <v>45</v>
      </c>
      <c r="C337" s="121" t="s">
        <v>174</v>
      </c>
      <c r="D337" t="s">
        <v>192</v>
      </c>
      <c r="E337" t="s">
        <v>59</v>
      </c>
      <c r="F337">
        <v>2</v>
      </c>
      <c r="G337">
        <v>35</v>
      </c>
      <c r="H337" s="86">
        <v>45961.037200590297</v>
      </c>
      <c r="I337" s="86">
        <v>45961.1093899306</v>
      </c>
      <c r="J337" s="87">
        <v>1.7325441666666701</v>
      </c>
      <c r="K337" s="69" t="s">
        <v>274</v>
      </c>
      <c r="L337" s="69"/>
      <c r="M337" s="71"/>
      <c r="N337" s="71"/>
      <c r="O337" s="71"/>
      <c r="P337" s="71" t="s">
        <v>275</v>
      </c>
      <c r="Q337" s="88">
        <v>8.2062313024878999E-2</v>
      </c>
      <c r="R337" s="89" t="s">
        <v>276</v>
      </c>
      <c r="S337" s="89"/>
      <c r="T337">
        <v>3.4</v>
      </c>
      <c r="U337" s="76">
        <v>0.2</v>
      </c>
      <c r="V337">
        <v>9.1</v>
      </c>
      <c r="W337" s="90">
        <v>0.1</v>
      </c>
      <c r="X337" s="90"/>
      <c r="Y337" s="71"/>
      <c r="Z337" s="71"/>
      <c r="AA337" s="71"/>
      <c r="AB337" s="71"/>
      <c r="AC337" s="71"/>
      <c r="AD337" s="71"/>
      <c r="AE337" s="71"/>
      <c r="AF337" s="71"/>
      <c r="AG337" s="82">
        <v>0</v>
      </c>
      <c r="AH337" s="76"/>
      <c r="AI337" s="76"/>
      <c r="AJ337" s="76"/>
      <c r="AK337" s="71">
        <v>0.15</v>
      </c>
      <c r="AL337" s="88">
        <v>3.4139420030223099E-2</v>
      </c>
      <c r="AM337" s="89">
        <f t="shared" si="5"/>
        <v>0.22759613353482067</v>
      </c>
      <c r="AN337" s="78"/>
    </row>
    <row r="338" spans="1:40" x14ac:dyDescent="0.25">
      <c r="A338" t="s">
        <v>44</v>
      </c>
      <c r="B338" t="s">
        <v>45</v>
      </c>
      <c r="C338" s="121" t="s">
        <v>174</v>
      </c>
      <c r="D338" t="s">
        <v>192</v>
      </c>
      <c r="E338" t="s">
        <v>59</v>
      </c>
      <c r="F338">
        <v>2</v>
      </c>
      <c r="G338">
        <v>36</v>
      </c>
      <c r="H338" s="86">
        <v>45961.1093899306</v>
      </c>
      <c r="I338" s="86">
        <v>45961.181576469899</v>
      </c>
      <c r="J338" s="87">
        <v>1.7324769444444501</v>
      </c>
      <c r="K338" s="69" t="s">
        <v>274</v>
      </c>
      <c r="L338" s="69"/>
      <c r="M338" s="71"/>
      <c r="N338" s="71"/>
      <c r="O338" s="71"/>
      <c r="P338" s="71" t="s">
        <v>275</v>
      </c>
      <c r="Q338" s="88">
        <v>9.1281742628837703E-2</v>
      </c>
      <c r="R338" s="89" t="s">
        <v>276</v>
      </c>
      <c r="S338" s="89"/>
      <c r="T338">
        <v>4.5999999999999996</v>
      </c>
      <c r="U338" s="76">
        <v>0.2</v>
      </c>
      <c r="V338">
        <v>9</v>
      </c>
      <c r="W338" s="90">
        <v>0.1</v>
      </c>
      <c r="X338" s="90"/>
      <c r="Y338" s="71"/>
      <c r="Z338" s="71"/>
      <c r="AA338" s="71"/>
      <c r="AB338" s="71"/>
      <c r="AC338" s="71"/>
      <c r="AD338" s="71"/>
      <c r="AE338" s="71"/>
      <c r="AF338" s="71"/>
      <c r="AG338" s="82">
        <v>0</v>
      </c>
      <c r="AH338" s="76"/>
      <c r="AI338" s="76"/>
      <c r="AJ338" s="76"/>
      <c r="AK338" s="71">
        <v>0.15</v>
      </c>
      <c r="AL338" s="88">
        <v>3.4139420030223099E-2</v>
      </c>
      <c r="AM338" s="89">
        <f t="shared" si="5"/>
        <v>0.22759613353482067</v>
      </c>
      <c r="AN338" s="78"/>
    </row>
    <row r="339" spans="1:40" x14ac:dyDescent="0.25">
      <c r="A339" t="s">
        <v>44</v>
      </c>
      <c r="B339" t="s">
        <v>45</v>
      </c>
      <c r="C339" s="121" t="s">
        <v>174</v>
      </c>
      <c r="D339" t="s">
        <v>192</v>
      </c>
      <c r="E339" t="s">
        <v>59</v>
      </c>
      <c r="F339">
        <v>2</v>
      </c>
      <c r="G339">
        <v>37</v>
      </c>
      <c r="H339" s="86">
        <v>45961.181576469899</v>
      </c>
      <c r="I339" s="86">
        <v>45961.253753263903</v>
      </c>
      <c r="J339" s="87">
        <v>1.7322430555555599</v>
      </c>
      <c r="K339" s="69" t="s">
        <v>274</v>
      </c>
      <c r="L339" s="69"/>
      <c r="M339" s="71"/>
      <c r="N339" s="71"/>
      <c r="O339" s="71"/>
      <c r="P339" s="71" t="s">
        <v>275</v>
      </c>
      <c r="Q339" s="88">
        <v>9.0457830529019595E-2</v>
      </c>
      <c r="R339" s="89" t="s">
        <v>276</v>
      </c>
      <c r="S339" s="89"/>
      <c r="T339">
        <v>4.2</v>
      </c>
      <c r="U339" s="76">
        <v>0.2</v>
      </c>
      <c r="V339">
        <v>9</v>
      </c>
      <c r="W339" s="90">
        <v>0.1</v>
      </c>
      <c r="X339" s="90"/>
      <c r="Y339" s="71"/>
      <c r="Z339" s="71"/>
      <c r="AA339" s="71"/>
      <c r="AB339" s="71"/>
      <c r="AC339" s="71"/>
      <c r="AD339" s="71"/>
      <c r="AE339" s="71"/>
      <c r="AF339" s="71"/>
      <c r="AG339" s="82">
        <v>0</v>
      </c>
      <c r="AH339" s="76"/>
      <c r="AI339" s="76"/>
      <c r="AJ339" s="76"/>
      <c r="AK339" s="71">
        <v>0.15</v>
      </c>
      <c r="AL339" s="88">
        <v>3.4139420030223099E-2</v>
      </c>
      <c r="AM339" s="89">
        <f t="shared" si="5"/>
        <v>0.22759613353482067</v>
      </c>
      <c r="AN339" s="78"/>
    </row>
    <row r="340" spans="1:40" x14ac:dyDescent="0.25">
      <c r="A340" t="s">
        <v>44</v>
      </c>
      <c r="B340" t="s">
        <v>45</v>
      </c>
      <c r="C340" s="121" t="s">
        <v>174</v>
      </c>
      <c r="D340" t="s">
        <v>192</v>
      </c>
      <c r="E340" t="s">
        <v>59</v>
      </c>
      <c r="F340">
        <v>2</v>
      </c>
      <c r="G340">
        <v>38</v>
      </c>
      <c r="H340" s="86">
        <v>45961.253753263903</v>
      </c>
      <c r="I340" s="86">
        <v>45961.3259342245</v>
      </c>
      <c r="J340" s="87">
        <v>1.7323430555555599</v>
      </c>
      <c r="K340" s="69" t="s">
        <v>274</v>
      </c>
      <c r="L340" s="69"/>
      <c r="M340" s="71"/>
      <c r="N340" s="71"/>
      <c r="O340" s="71"/>
      <c r="P340" s="71" t="s">
        <v>275</v>
      </c>
      <c r="Q340" s="88">
        <v>8.6733518947947993E-2</v>
      </c>
      <c r="R340" s="89" t="s">
        <v>276</v>
      </c>
      <c r="S340" s="89"/>
      <c r="T340">
        <v>3.9</v>
      </c>
      <c r="U340" s="76">
        <v>0.2</v>
      </c>
      <c r="V340">
        <v>8.9</v>
      </c>
      <c r="W340" s="90">
        <v>0.1</v>
      </c>
      <c r="X340" s="90"/>
      <c r="Y340" s="71"/>
      <c r="Z340" s="71"/>
      <c r="AA340" s="71"/>
      <c r="AB340" s="71"/>
      <c r="AC340" s="71"/>
      <c r="AD340" s="71"/>
      <c r="AE340" s="71"/>
      <c r="AF340" s="71"/>
      <c r="AG340" s="82">
        <v>0</v>
      </c>
      <c r="AH340" s="76"/>
      <c r="AI340" s="76"/>
      <c r="AJ340" s="76"/>
      <c r="AK340" s="71">
        <v>0.15</v>
      </c>
      <c r="AL340" s="88">
        <v>3.4139420030223099E-2</v>
      </c>
      <c r="AM340" s="89">
        <f t="shared" si="5"/>
        <v>0.22759613353482067</v>
      </c>
      <c r="AN340" s="78"/>
    </row>
    <row r="341" spans="1:40" x14ac:dyDescent="0.25">
      <c r="A341" t="s">
        <v>44</v>
      </c>
      <c r="B341" t="s">
        <v>45</v>
      </c>
      <c r="C341" s="121" t="s">
        <v>174</v>
      </c>
      <c r="D341" t="s">
        <v>192</v>
      </c>
      <c r="E341" t="s">
        <v>59</v>
      </c>
      <c r="F341">
        <v>2</v>
      </c>
      <c r="G341">
        <v>39</v>
      </c>
      <c r="H341" s="86">
        <v>45961.3259342245</v>
      </c>
      <c r="I341" s="86">
        <v>45961.398124455998</v>
      </c>
      <c r="J341" s="87">
        <v>1.7325655555555599</v>
      </c>
      <c r="K341" s="69" t="s">
        <v>274</v>
      </c>
      <c r="L341" s="69"/>
      <c r="M341" s="71"/>
      <c r="N341" s="71"/>
      <c r="O341" s="71"/>
      <c r="P341" s="71" t="s">
        <v>275</v>
      </c>
      <c r="Q341" s="88">
        <v>7.6206360669894405E-2</v>
      </c>
      <c r="R341" s="89" t="s">
        <v>276</v>
      </c>
      <c r="S341" s="89"/>
      <c r="T341">
        <v>4.7</v>
      </c>
      <c r="U341" s="76">
        <v>0.2</v>
      </c>
      <c r="V341">
        <v>8.8000000000000007</v>
      </c>
      <c r="W341" s="90">
        <v>0.1</v>
      </c>
      <c r="X341" s="90"/>
      <c r="Y341" s="71"/>
      <c r="Z341" s="71"/>
      <c r="AA341" s="71"/>
      <c r="AB341" s="71"/>
      <c r="AC341" s="71"/>
      <c r="AD341" s="71"/>
      <c r="AE341" s="71"/>
      <c r="AF341" s="71"/>
      <c r="AG341" s="82">
        <v>0</v>
      </c>
      <c r="AH341" s="76"/>
      <c r="AI341" s="76"/>
      <c r="AJ341" s="76"/>
      <c r="AK341" s="71">
        <v>0.15</v>
      </c>
      <c r="AL341" s="88">
        <v>3.4139420030223099E-2</v>
      </c>
      <c r="AM341" s="89">
        <f t="shared" si="5"/>
        <v>0.22759613353482067</v>
      </c>
      <c r="AN341" s="78"/>
    </row>
    <row r="342" spans="1:40" x14ac:dyDescent="0.25">
      <c r="A342" t="s">
        <v>44</v>
      </c>
      <c r="B342" t="s">
        <v>45</v>
      </c>
      <c r="C342" s="121" t="s">
        <v>174</v>
      </c>
      <c r="D342" t="s">
        <v>192</v>
      </c>
      <c r="E342" t="s">
        <v>59</v>
      </c>
      <c r="F342">
        <v>2</v>
      </c>
      <c r="G342">
        <v>40</v>
      </c>
      <c r="H342" s="86">
        <v>45961.398124455998</v>
      </c>
      <c r="I342" s="86">
        <v>45961.470311053199</v>
      </c>
      <c r="J342" s="87">
        <v>1.73247833333333</v>
      </c>
      <c r="K342" s="69" t="s">
        <v>274</v>
      </c>
      <c r="L342" s="69"/>
      <c r="M342" s="71"/>
      <c r="N342" s="71"/>
      <c r="O342" s="71"/>
      <c r="P342" s="71" t="s">
        <v>275</v>
      </c>
      <c r="Q342" s="88">
        <v>0.110115736003815</v>
      </c>
      <c r="R342" s="89" t="s">
        <v>276</v>
      </c>
      <c r="S342" s="89"/>
      <c r="T342">
        <v>7.3</v>
      </c>
      <c r="U342" s="76">
        <v>0.2</v>
      </c>
      <c r="V342">
        <v>8.6999999999999993</v>
      </c>
      <c r="W342" s="90">
        <v>0.1</v>
      </c>
      <c r="X342" s="90"/>
      <c r="Y342" s="71"/>
      <c r="Z342" s="71"/>
      <c r="AA342" s="71"/>
      <c r="AB342" s="71"/>
      <c r="AC342" s="71"/>
      <c r="AD342" s="71"/>
      <c r="AE342" s="71"/>
      <c r="AF342" s="71"/>
      <c r="AG342" s="82">
        <v>0</v>
      </c>
      <c r="AH342" s="76"/>
      <c r="AI342" s="76"/>
      <c r="AJ342" s="76"/>
      <c r="AK342" s="71">
        <v>0.15</v>
      </c>
      <c r="AL342" s="88">
        <v>3.4139420030223099E-2</v>
      </c>
      <c r="AM342" s="89">
        <f t="shared" si="5"/>
        <v>0.22759613353482067</v>
      </c>
      <c r="AN342" s="78"/>
    </row>
    <row r="343" spans="1:40" x14ac:dyDescent="0.25">
      <c r="A343" t="s">
        <v>44</v>
      </c>
      <c r="B343" t="s">
        <v>45</v>
      </c>
      <c r="C343" s="121" t="s">
        <v>174</v>
      </c>
      <c r="D343" t="s">
        <v>192</v>
      </c>
      <c r="E343" t="s">
        <v>59</v>
      </c>
      <c r="F343">
        <v>2</v>
      </c>
      <c r="G343">
        <v>41</v>
      </c>
      <c r="H343" s="86">
        <v>45961.470311053199</v>
      </c>
      <c r="I343" s="86">
        <v>45961.542482361103</v>
      </c>
      <c r="J343" s="87">
        <v>1.7321113888888899</v>
      </c>
      <c r="K343" s="69" t="s">
        <v>274</v>
      </c>
      <c r="L343" s="69"/>
      <c r="M343" s="71"/>
      <c r="N343" s="71"/>
      <c r="O343" s="71"/>
      <c r="P343" s="71" t="s">
        <v>275</v>
      </c>
      <c r="Q343" s="88">
        <v>0.15618378868001101</v>
      </c>
      <c r="R343" s="89" t="s">
        <v>276</v>
      </c>
      <c r="S343" s="89"/>
      <c r="T343">
        <v>9.5</v>
      </c>
      <c r="U343" s="76">
        <v>0.2</v>
      </c>
      <c r="V343">
        <v>8.6999999999999993</v>
      </c>
      <c r="W343" s="90">
        <v>0.1</v>
      </c>
      <c r="X343" s="90"/>
      <c r="Y343" s="71"/>
      <c r="Z343" s="71"/>
      <c r="AA343" s="71"/>
      <c r="AB343" s="71"/>
      <c r="AC343" s="71"/>
      <c r="AD343" s="71"/>
      <c r="AE343" s="71"/>
      <c r="AF343" s="71"/>
      <c r="AG343" s="82">
        <v>0</v>
      </c>
      <c r="AH343" s="76"/>
      <c r="AI343" s="76"/>
      <c r="AJ343" s="76"/>
      <c r="AK343" s="71">
        <v>0.15</v>
      </c>
      <c r="AL343" s="88">
        <v>3.4139420030223099E-2</v>
      </c>
      <c r="AM343" s="89">
        <f t="shared" si="5"/>
        <v>0.22759613353482067</v>
      </c>
      <c r="AN343" s="78"/>
    </row>
    <row r="344" spans="1:40" x14ac:dyDescent="0.25">
      <c r="A344" t="s">
        <v>44</v>
      </c>
      <c r="B344" t="s">
        <v>45</v>
      </c>
      <c r="C344" s="121" t="s">
        <v>174</v>
      </c>
      <c r="D344" t="s">
        <v>192</v>
      </c>
      <c r="E344" t="s">
        <v>59</v>
      </c>
      <c r="F344">
        <v>2</v>
      </c>
      <c r="G344">
        <v>42</v>
      </c>
      <c r="H344" s="86">
        <v>45961.542482361103</v>
      </c>
      <c r="I344" s="86">
        <v>45961.614684479202</v>
      </c>
      <c r="J344" s="87">
        <v>1.7328508333333299</v>
      </c>
      <c r="K344" s="69" t="s">
        <v>274</v>
      </c>
      <c r="L344" s="69"/>
      <c r="M344" s="71"/>
      <c r="N344" s="71"/>
      <c r="O344" s="71"/>
      <c r="P344" s="71" t="s">
        <v>275</v>
      </c>
      <c r="Q344" s="88">
        <v>0.12883446077105401</v>
      </c>
      <c r="R344" s="89" t="s">
        <v>276</v>
      </c>
      <c r="S344" s="89"/>
      <c r="T344">
        <v>10.5</v>
      </c>
      <c r="U344" s="76">
        <v>0.2</v>
      </c>
      <c r="V344">
        <v>8.9</v>
      </c>
      <c r="W344" s="90">
        <v>0.1</v>
      </c>
      <c r="X344" s="90"/>
      <c r="Y344" s="71"/>
      <c r="Z344" s="71"/>
      <c r="AA344" s="71"/>
      <c r="AB344" s="71"/>
      <c r="AC344" s="71"/>
      <c r="AD344" s="71"/>
      <c r="AE344" s="71"/>
      <c r="AF344" s="71"/>
      <c r="AG344" s="82">
        <v>0</v>
      </c>
      <c r="AH344" s="76"/>
      <c r="AI344" s="76"/>
      <c r="AJ344" s="76"/>
      <c r="AK344" s="71">
        <v>0.15</v>
      </c>
      <c r="AL344" s="88">
        <v>3.4139420030223099E-2</v>
      </c>
      <c r="AM344" s="89">
        <f t="shared" si="5"/>
        <v>0.22759613353482067</v>
      </c>
      <c r="AN344" s="78"/>
    </row>
    <row r="345" spans="1:40" x14ac:dyDescent="0.25">
      <c r="A345" t="s">
        <v>44</v>
      </c>
      <c r="B345" t="s">
        <v>45</v>
      </c>
      <c r="C345" s="121" t="s">
        <v>174</v>
      </c>
      <c r="D345" t="s">
        <v>192</v>
      </c>
      <c r="E345" t="s">
        <v>59</v>
      </c>
      <c r="F345">
        <v>2</v>
      </c>
      <c r="G345">
        <v>43</v>
      </c>
      <c r="H345" s="86">
        <v>45961.614684479202</v>
      </c>
      <c r="I345" s="86">
        <v>45961.686850555598</v>
      </c>
      <c r="J345" s="87">
        <v>1.73198583333333</v>
      </c>
      <c r="K345" s="69" t="s">
        <v>274</v>
      </c>
      <c r="L345" s="69"/>
      <c r="M345" s="71"/>
      <c r="N345" s="71"/>
      <c r="O345" s="71"/>
      <c r="P345" s="71" t="s">
        <v>275</v>
      </c>
      <c r="Q345" s="88">
        <v>0.101378451693522</v>
      </c>
      <c r="R345" s="89" t="s">
        <v>276</v>
      </c>
      <c r="S345" s="89"/>
      <c r="T345">
        <v>9.9</v>
      </c>
      <c r="U345" s="76">
        <v>0.2</v>
      </c>
      <c r="V345">
        <v>9.1</v>
      </c>
      <c r="W345" s="90">
        <v>0.1</v>
      </c>
      <c r="X345" s="90"/>
      <c r="Y345" s="71"/>
      <c r="Z345" s="71"/>
      <c r="AA345" s="71"/>
      <c r="AB345" s="71"/>
      <c r="AC345" s="71"/>
      <c r="AD345" s="71"/>
      <c r="AE345" s="71"/>
      <c r="AF345" s="71"/>
      <c r="AG345" s="82">
        <v>0</v>
      </c>
      <c r="AH345" s="76"/>
      <c r="AI345" s="76"/>
      <c r="AJ345" s="76"/>
      <c r="AK345" s="71">
        <v>0.15</v>
      </c>
      <c r="AL345" s="88">
        <v>3.4139420030223099E-2</v>
      </c>
      <c r="AM345" s="89">
        <f t="shared" si="5"/>
        <v>0.22759613353482067</v>
      </c>
      <c r="AN345" s="78"/>
    </row>
    <row r="346" spans="1:40" x14ac:dyDescent="0.25">
      <c r="A346" t="s">
        <v>44</v>
      </c>
      <c r="B346" t="s">
        <v>45</v>
      </c>
      <c r="C346" s="121" t="s">
        <v>174</v>
      </c>
      <c r="D346" t="s">
        <v>192</v>
      </c>
      <c r="E346" t="s">
        <v>59</v>
      </c>
      <c r="F346">
        <v>2</v>
      </c>
      <c r="G346">
        <v>44</v>
      </c>
      <c r="H346" s="86">
        <v>45961.686850555598</v>
      </c>
      <c r="I346" s="86">
        <v>45961.7590397569</v>
      </c>
      <c r="J346" s="87">
        <v>1.7325408333333301</v>
      </c>
      <c r="K346" s="69" t="s">
        <v>274</v>
      </c>
      <c r="L346" s="69"/>
      <c r="M346" s="71"/>
      <c r="N346" s="71"/>
      <c r="O346" s="71"/>
      <c r="P346" s="71" t="s">
        <v>275</v>
      </c>
      <c r="Q346" s="88">
        <v>5.4674913812544003E-2</v>
      </c>
      <c r="R346" s="89" t="s">
        <v>276</v>
      </c>
      <c r="S346" s="89"/>
      <c r="T346">
        <v>8.6999999999999993</v>
      </c>
      <c r="U346" s="76">
        <v>0.2</v>
      </c>
      <c r="V346">
        <v>9.1999999999999993</v>
      </c>
      <c r="W346" s="90">
        <v>0.1</v>
      </c>
      <c r="X346" s="90"/>
      <c r="Y346" s="71"/>
      <c r="Z346" s="71"/>
      <c r="AA346" s="71"/>
      <c r="AB346" s="71"/>
      <c r="AC346" s="71"/>
      <c r="AD346" s="71"/>
      <c r="AE346" s="71"/>
      <c r="AF346" s="71"/>
      <c r="AG346" s="82">
        <v>0</v>
      </c>
      <c r="AH346" s="76"/>
      <c r="AI346" s="76"/>
      <c r="AJ346" s="76"/>
      <c r="AK346" s="71">
        <v>0.15</v>
      </c>
      <c r="AL346" s="88">
        <v>3.4139420030223099E-2</v>
      </c>
      <c r="AM346" s="89">
        <f t="shared" si="5"/>
        <v>0.22759613353482067</v>
      </c>
      <c r="AN346" s="78"/>
    </row>
    <row r="347" spans="1:40" x14ac:dyDescent="0.25">
      <c r="A347" t="s">
        <v>44</v>
      </c>
      <c r="B347" t="s">
        <v>45</v>
      </c>
      <c r="C347" s="121" t="s">
        <v>174</v>
      </c>
      <c r="D347" t="s">
        <v>192</v>
      </c>
      <c r="E347" t="s">
        <v>59</v>
      </c>
      <c r="F347">
        <v>2</v>
      </c>
      <c r="G347">
        <v>45</v>
      </c>
      <c r="H347" s="86">
        <v>45961.7590397569</v>
      </c>
      <c r="I347" s="86">
        <v>45961.831218761603</v>
      </c>
      <c r="J347" s="87">
        <v>1.7322961111111099</v>
      </c>
      <c r="K347" s="69" t="s">
        <v>274</v>
      </c>
      <c r="L347" s="69"/>
      <c r="M347" s="71"/>
      <c r="N347" s="71"/>
      <c r="O347" s="71"/>
      <c r="P347" s="71" t="s">
        <v>275</v>
      </c>
      <c r="Q347" s="88">
        <v>5.0356579216215197E-2</v>
      </c>
      <c r="R347" s="89" t="s">
        <v>276</v>
      </c>
      <c r="S347" s="89"/>
      <c r="T347">
        <v>7.5</v>
      </c>
      <c r="U347" s="76">
        <v>0.2</v>
      </c>
      <c r="V347">
        <v>9.3000000000000007</v>
      </c>
      <c r="W347" s="90">
        <v>0.1</v>
      </c>
      <c r="X347" s="90"/>
      <c r="Y347" s="71"/>
      <c r="Z347" s="71"/>
      <c r="AA347" s="71"/>
      <c r="AB347" s="71"/>
      <c r="AC347" s="71"/>
      <c r="AD347" s="71"/>
      <c r="AE347" s="71"/>
      <c r="AF347" s="71"/>
      <c r="AG347" s="82">
        <v>0</v>
      </c>
      <c r="AH347" s="76"/>
      <c r="AI347" s="76"/>
      <c r="AJ347" s="76"/>
      <c r="AK347" s="71">
        <v>0.15</v>
      </c>
      <c r="AL347" s="88">
        <v>3.4139420030223099E-2</v>
      </c>
      <c r="AM347" s="89">
        <f t="shared" si="5"/>
        <v>0.22759613353482067</v>
      </c>
      <c r="AN347" s="78"/>
    </row>
    <row r="348" spans="1:40" x14ac:dyDescent="0.25">
      <c r="A348" t="s">
        <v>44</v>
      </c>
      <c r="B348" t="s">
        <v>45</v>
      </c>
      <c r="C348" s="121" t="s">
        <v>174</v>
      </c>
      <c r="D348" t="s">
        <v>192</v>
      </c>
      <c r="E348" t="s">
        <v>59</v>
      </c>
      <c r="F348">
        <v>2</v>
      </c>
      <c r="G348">
        <v>46</v>
      </c>
      <c r="H348" s="86">
        <v>45961.831218761603</v>
      </c>
      <c r="I348" s="86">
        <v>45961.903406354199</v>
      </c>
      <c r="J348" s="87">
        <v>1.7325022222222199</v>
      </c>
      <c r="K348" s="69" t="s">
        <v>274</v>
      </c>
      <c r="L348" s="69"/>
      <c r="M348" s="71"/>
      <c r="N348" s="71"/>
      <c r="O348" s="71"/>
      <c r="P348" s="71" t="s">
        <v>275</v>
      </c>
      <c r="Q348" s="88">
        <v>5.90112343568047E-2</v>
      </c>
      <c r="R348" s="89" t="s">
        <v>276</v>
      </c>
      <c r="S348" s="89"/>
      <c r="T348">
        <v>7.9</v>
      </c>
      <c r="U348" s="76">
        <v>0.2</v>
      </c>
      <c r="V348">
        <v>9.3000000000000007</v>
      </c>
      <c r="W348" s="90">
        <v>0.1</v>
      </c>
      <c r="X348" s="90"/>
      <c r="Y348" s="71"/>
      <c r="Z348" s="71"/>
      <c r="AA348" s="71"/>
      <c r="AB348" s="71"/>
      <c r="AC348" s="71"/>
      <c r="AD348" s="71"/>
      <c r="AE348" s="71"/>
      <c r="AF348" s="71"/>
      <c r="AG348" s="82">
        <v>0</v>
      </c>
      <c r="AH348" s="76"/>
      <c r="AI348" s="76"/>
      <c r="AJ348" s="76"/>
      <c r="AK348" s="71">
        <v>0.15</v>
      </c>
      <c r="AL348" s="88">
        <v>3.4139420030223099E-2</v>
      </c>
      <c r="AM348" s="89">
        <f t="shared" si="5"/>
        <v>0.22759613353482067</v>
      </c>
      <c r="AN348" s="78"/>
    </row>
    <row r="349" spans="1:40" x14ac:dyDescent="0.25">
      <c r="A349" t="s">
        <v>44</v>
      </c>
      <c r="B349" t="s">
        <v>45</v>
      </c>
      <c r="C349" s="121" t="s">
        <v>174</v>
      </c>
      <c r="D349" t="s">
        <v>192</v>
      </c>
      <c r="E349" t="s">
        <v>59</v>
      </c>
      <c r="F349">
        <v>2</v>
      </c>
      <c r="G349">
        <v>47</v>
      </c>
      <c r="H349" s="86">
        <v>45961.903406354199</v>
      </c>
      <c r="I349" s="86">
        <v>45961.975589363399</v>
      </c>
      <c r="J349" s="87">
        <v>1.7323922222222199</v>
      </c>
      <c r="K349" s="69" t="s">
        <v>274</v>
      </c>
      <c r="L349" s="69"/>
      <c r="M349" s="71"/>
      <c r="N349" s="71"/>
      <c r="O349" s="71"/>
      <c r="P349" s="71" t="s">
        <v>275</v>
      </c>
      <c r="Q349" s="88">
        <v>5.5712101917782503E-2</v>
      </c>
      <c r="R349" s="89" t="s">
        <v>276</v>
      </c>
      <c r="S349" s="89"/>
      <c r="T349">
        <v>7.9</v>
      </c>
      <c r="U349" s="76">
        <v>0.2</v>
      </c>
      <c r="V349">
        <v>9.1999999999999993</v>
      </c>
      <c r="W349" s="90">
        <v>0.1</v>
      </c>
      <c r="X349" s="90"/>
      <c r="Y349" s="71"/>
      <c r="Z349" s="71"/>
      <c r="AA349" s="71"/>
      <c r="AB349" s="71"/>
      <c r="AC349" s="71"/>
      <c r="AD349" s="71"/>
      <c r="AE349" s="71"/>
      <c r="AF349" s="71"/>
      <c r="AG349" s="82">
        <v>0</v>
      </c>
      <c r="AH349" s="76"/>
      <c r="AI349" s="76"/>
      <c r="AJ349" s="76"/>
      <c r="AK349" s="71">
        <v>0.15</v>
      </c>
      <c r="AL349" s="88">
        <v>3.4139420030223099E-2</v>
      </c>
      <c r="AM349" s="89">
        <f t="shared" si="5"/>
        <v>0.22759613353482067</v>
      </c>
      <c r="AN349" s="78"/>
    </row>
    <row r="350" spans="1:40" x14ac:dyDescent="0.25">
      <c r="A350" t="s">
        <v>44</v>
      </c>
      <c r="B350" t="s">
        <v>45</v>
      </c>
      <c r="C350" s="121" t="s">
        <v>174</v>
      </c>
      <c r="D350" t="s">
        <v>192</v>
      </c>
      <c r="E350" t="s">
        <v>59</v>
      </c>
      <c r="F350">
        <v>2</v>
      </c>
      <c r="G350">
        <v>48</v>
      </c>
      <c r="H350" s="86">
        <v>45961.975589363399</v>
      </c>
      <c r="I350" s="86">
        <v>45962.047786979201</v>
      </c>
      <c r="J350" s="87">
        <v>1.73274277777778</v>
      </c>
      <c r="K350" s="69" t="s">
        <v>274</v>
      </c>
      <c r="L350" s="69"/>
      <c r="M350" s="71"/>
      <c r="N350" s="71"/>
      <c r="O350" s="71"/>
      <c r="P350" s="71" t="s">
        <v>275</v>
      </c>
      <c r="Q350" s="88">
        <v>4.6180691757380203E-2</v>
      </c>
      <c r="R350" s="89" t="s">
        <v>276</v>
      </c>
      <c r="S350" s="89"/>
      <c r="T350">
        <v>8.1</v>
      </c>
      <c r="U350" s="76">
        <v>0.2</v>
      </c>
      <c r="V350">
        <v>9.1999999999999993</v>
      </c>
      <c r="W350" s="90">
        <v>0.1</v>
      </c>
      <c r="X350" s="90"/>
      <c r="Y350" s="71"/>
      <c r="Z350" s="71"/>
      <c r="AA350" s="71"/>
      <c r="AB350" s="71"/>
      <c r="AC350" s="71"/>
      <c r="AD350" s="71"/>
      <c r="AE350" s="71"/>
      <c r="AF350" s="71"/>
      <c r="AG350" s="82">
        <v>0.4</v>
      </c>
      <c r="AH350" s="76"/>
      <c r="AI350" s="76"/>
      <c r="AJ350" s="76"/>
      <c r="AK350" s="71">
        <v>0.15</v>
      </c>
      <c r="AL350" s="88">
        <v>3.4139420030223099E-2</v>
      </c>
      <c r="AM350" s="89">
        <f t="shared" si="5"/>
        <v>0.22759613353482067</v>
      </c>
      <c r="AN350" s="78"/>
    </row>
    <row r="351" spans="1:40" x14ac:dyDescent="0.25">
      <c r="A351" t="s">
        <v>44</v>
      </c>
      <c r="B351" t="s">
        <v>45</v>
      </c>
      <c r="C351" s="121" t="s">
        <v>174</v>
      </c>
      <c r="D351" t="s">
        <v>192</v>
      </c>
      <c r="E351" t="s">
        <v>59</v>
      </c>
      <c r="F351">
        <v>2</v>
      </c>
      <c r="G351">
        <v>49</v>
      </c>
      <c r="H351" s="86">
        <v>45962.047786979201</v>
      </c>
      <c r="I351" s="86">
        <v>45962.119961851902</v>
      </c>
      <c r="J351" s="87">
        <v>1.7321969444444401</v>
      </c>
      <c r="K351" s="69" t="s">
        <v>274</v>
      </c>
      <c r="L351" s="69"/>
      <c r="M351" s="71"/>
      <c r="N351" s="71"/>
      <c r="O351" s="71"/>
      <c r="P351" s="71" t="s">
        <v>275</v>
      </c>
      <c r="Q351" s="88">
        <v>5.3840248925323297E-2</v>
      </c>
      <c r="R351" s="89" t="s">
        <v>276</v>
      </c>
      <c r="S351" s="89"/>
      <c r="T351">
        <v>8.1999999999999993</v>
      </c>
      <c r="U351" s="76">
        <v>0.2</v>
      </c>
      <c r="V351">
        <v>9.1999999999999993</v>
      </c>
      <c r="W351" s="90">
        <v>0.1</v>
      </c>
      <c r="X351" s="90"/>
      <c r="Y351" s="71"/>
      <c r="Z351" s="71"/>
      <c r="AA351" s="71"/>
      <c r="AB351" s="71"/>
      <c r="AC351" s="71"/>
      <c r="AD351" s="71"/>
      <c r="AE351" s="71"/>
      <c r="AF351" s="71"/>
      <c r="AG351" s="82">
        <v>0</v>
      </c>
      <c r="AH351" s="76"/>
      <c r="AI351" s="76"/>
      <c r="AJ351" s="76"/>
      <c r="AK351" s="71">
        <v>0.15</v>
      </c>
      <c r="AL351" s="88">
        <v>3.4139420030223099E-2</v>
      </c>
      <c r="AM351" s="89">
        <f t="shared" si="5"/>
        <v>0.22759613353482067</v>
      </c>
      <c r="AN351" s="78"/>
    </row>
    <row r="352" spans="1:40" x14ac:dyDescent="0.25">
      <c r="A352" t="s">
        <v>44</v>
      </c>
      <c r="B352" t="s">
        <v>45</v>
      </c>
      <c r="C352" s="121" t="s">
        <v>174</v>
      </c>
      <c r="D352" t="s">
        <v>192</v>
      </c>
      <c r="E352" t="s">
        <v>59</v>
      </c>
      <c r="F352">
        <v>2</v>
      </c>
      <c r="G352">
        <v>50</v>
      </c>
      <c r="H352" s="86">
        <v>45962.119961851902</v>
      </c>
      <c r="I352" s="86">
        <v>45962.192155995399</v>
      </c>
      <c r="J352" s="87">
        <v>1.7326594444444401</v>
      </c>
      <c r="K352" s="69" t="s">
        <v>274</v>
      </c>
      <c r="L352" s="69"/>
      <c r="M352" s="71"/>
      <c r="N352" s="71"/>
      <c r="O352" s="71"/>
      <c r="P352" s="71" t="s">
        <v>275</v>
      </c>
      <c r="Q352" s="88">
        <v>5.18461349409935E-2</v>
      </c>
      <c r="R352" s="89" t="s">
        <v>276</v>
      </c>
      <c r="S352" s="89"/>
      <c r="T352">
        <v>8</v>
      </c>
      <c r="U352" s="76">
        <v>0.2</v>
      </c>
      <c r="V352">
        <v>9.1999999999999993</v>
      </c>
      <c r="W352" s="90">
        <v>0.1</v>
      </c>
      <c r="X352" s="90"/>
      <c r="Y352" s="71"/>
      <c r="Z352" s="71"/>
      <c r="AA352" s="71"/>
      <c r="AB352" s="71"/>
      <c r="AC352" s="71"/>
      <c r="AD352" s="71"/>
      <c r="AE352" s="71"/>
      <c r="AF352" s="71"/>
      <c r="AG352" s="82">
        <v>0</v>
      </c>
      <c r="AH352" s="76"/>
      <c r="AI352" s="76"/>
      <c r="AJ352" s="76"/>
      <c r="AK352" s="71">
        <v>0.15</v>
      </c>
      <c r="AL352" s="88">
        <v>3.4139420030223099E-2</v>
      </c>
      <c r="AM352" s="89">
        <f t="shared" si="5"/>
        <v>0.22759613353482067</v>
      </c>
      <c r="AN352" s="78"/>
    </row>
    <row r="353" spans="1:40" x14ac:dyDescent="0.25">
      <c r="A353" t="s">
        <v>44</v>
      </c>
      <c r="B353" t="s">
        <v>45</v>
      </c>
      <c r="C353" s="121" t="s">
        <v>174</v>
      </c>
      <c r="D353" t="s">
        <v>192</v>
      </c>
      <c r="E353" t="s">
        <v>59</v>
      </c>
      <c r="F353">
        <v>2</v>
      </c>
      <c r="G353">
        <v>51</v>
      </c>
      <c r="H353" s="86">
        <v>45962.192155995399</v>
      </c>
      <c r="I353" s="86">
        <v>45962.2643464352</v>
      </c>
      <c r="J353" s="87">
        <v>1.7325705555555599</v>
      </c>
      <c r="K353" s="69" t="s">
        <v>274</v>
      </c>
      <c r="L353" s="69"/>
      <c r="M353" s="71"/>
      <c r="N353" s="71"/>
      <c r="O353" s="71"/>
      <c r="P353" s="71" t="s">
        <v>275</v>
      </c>
      <c r="Q353" s="88">
        <v>4.9618841067663101E-2</v>
      </c>
      <c r="R353" s="89" t="s">
        <v>276</v>
      </c>
      <c r="S353" s="89"/>
      <c r="T353">
        <v>8</v>
      </c>
      <c r="U353" s="76">
        <v>0.2</v>
      </c>
      <c r="V353">
        <v>9.1999999999999993</v>
      </c>
      <c r="W353" s="90">
        <v>0.1</v>
      </c>
      <c r="X353" s="90"/>
      <c r="Y353" s="71"/>
      <c r="Z353" s="71"/>
      <c r="AA353" s="71"/>
      <c r="AB353" s="71"/>
      <c r="AC353" s="71"/>
      <c r="AD353" s="71"/>
      <c r="AE353" s="71"/>
      <c r="AF353" s="71"/>
      <c r="AG353" s="82">
        <v>0</v>
      </c>
      <c r="AH353" s="76"/>
      <c r="AI353" s="76"/>
      <c r="AJ353" s="76"/>
      <c r="AK353" s="71">
        <v>0.15</v>
      </c>
      <c r="AL353" s="88">
        <v>3.4139420030223099E-2</v>
      </c>
      <c r="AM353" s="89">
        <f t="shared" si="5"/>
        <v>0.22759613353482067</v>
      </c>
      <c r="AN353" s="78"/>
    </row>
    <row r="354" spans="1:40" x14ac:dyDescent="0.25">
      <c r="A354" t="s">
        <v>44</v>
      </c>
      <c r="B354" t="s">
        <v>45</v>
      </c>
      <c r="C354" s="121" t="s">
        <v>174</v>
      </c>
      <c r="D354" t="s">
        <v>192</v>
      </c>
      <c r="E354" t="s">
        <v>59</v>
      </c>
      <c r="F354">
        <v>2</v>
      </c>
      <c r="G354">
        <v>52</v>
      </c>
      <c r="H354" s="86">
        <v>45962.2643464352</v>
      </c>
      <c r="I354" s="86">
        <v>45962.336521608799</v>
      </c>
      <c r="J354" s="87">
        <v>1.7322041666666701</v>
      </c>
      <c r="K354" s="69" t="s">
        <v>274</v>
      </c>
      <c r="L354" s="69"/>
      <c r="M354" s="71"/>
      <c r="N354" s="71"/>
      <c r="O354" s="71"/>
      <c r="P354" s="71" t="s">
        <v>275</v>
      </c>
      <c r="Q354" s="88">
        <v>3.5548274651523E-2</v>
      </c>
      <c r="R354" s="89" t="s">
        <v>276</v>
      </c>
      <c r="S354" s="89"/>
      <c r="T354">
        <v>7.5</v>
      </c>
      <c r="U354" s="76">
        <v>0.2</v>
      </c>
      <c r="V354">
        <v>9.1999999999999993</v>
      </c>
      <c r="W354" s="90">
        <v>0.1</v>
      </c>
      <c r="X354" s="90"/>
      <c r="Y354" s="71"/>
      <c r="Z354" s="71"/>
      <c r="AA354" s="71"/>
      <c r="AB354" s="71"/>
      <c r="AC354" s="71"/>
      <c r="AD354" s="71"/>
      <c r="AE354" s="71"/>
      <c r="AF354" s="71"/>
      <c r="AG354" s="82">
        <v>0</v>
      </c>
      <c r="AH354" s="76"/>
      <c r="AI354" s="76"/>
      <c r="AJ354" s="76"/>
      <c r="AK354" s="71">
        <v>0.15</v>
      </c>
      <c r="AL354" s="88">
        <v>3.4139420030223099E-2</v>
      </c>
      <c r="AM354" s="89">
        <f t="shared" si="5"/>
        <v>0.22759613353482067</v>
      </c>
      <c r="AN354" s="78"/>
    </row>
    <row r="355" spans="1:40" x14ac:dyDescent="0.25">
      <c r="A355" t="s">
        <v>44</v>
      </c>
      <c r="B355" t="s">
        <v>45</v>
      </c>
      <c r="C355" s="121" t="s">
        <v>174</v>
      </c>
      <c r="D355" t="s">
        <v>192</v>
      </c>
      <c r="E355" t="s">
        <v>59</v>
      </c>
      <c r="F355">
        <v>2</v>
      </c>
      <c r="G355">
        <v>53</v>
      </c>
      <c r="H355" s="86">
        <v>45962.336521608799</v>
      </c>
      <c r="I355" s="86">
        <v>45962.408720185202</v>
      </c>
      <c r="J355" s="87">
        <v>1.73276583333333</v>
      </c>
      <c r="K355" s="69" t="s">
        <v>274</v>
      </c>
      <c r="L355" s="69"/>
      <c r="M355" s="71"/>
      <c r="N355" s="71"/>
      <c r="O355" s="71"/>
      <c r="P355" s="71" t="s">
        <v>275</v>
      </c>
      <c r="Q355" s="88">
        <v>4.2496200596134799E-2</v>
      </c>
      <c r="R355" s="89" t="s">
        <v>276</v>
      </c>
      <c r="S355" s="89"/>
      <c r="T355">
        <v>7.6</v>
      </c>
      <c r="U355" s="76">
        <v>0.2</v>
      </c>
      <c r="V355">
        <v>9.1999999999999993</v>
      </c>
      <c r="W355" s="90">
        <v>0.1</v>
      </c>
      <c r="X355" s="90"/>
      <c r="Y355" s="71"/>
      <c r="Z355" s="71"/>
      <c r="AA355" s="71"/>
      <c r="AB355" s="71"/>
      <c r="AC355" s="71"/>
      <c r="AD355" s="71"/>
      <c r="AE355" s="71"/>
      <c r="AF355" s="71"/>
      <c r="AG355" s="82">
        <v>0</v>
      </c>
      <c r="AH355" s="76"/>
      <c r="AI355" s="76"/>
      <c r="AJ355" s="76"/>
      <c r="AK355" s="71">
        <v>0.15</v>
      </c>
      <c r="AL355" s="88">
        <v>3.4139420030223099E-2</v>
      </c>
      <c r="AM355" s="89">
        <f t="shared" si="5"/>
        <v>0.22759613353482067</v>
      </c>
      <c r="AN355" s="78"/>
    </row>
    <row r="356" spans="1:40" x14ac:dyDescent="0.25">
      <c r="A356" t="s">
        <v>44</v>
      </c>
      <c r="B356" t="s">
        <v>45</v>
      </c>
      <c r="C356" s="121" t="s">
        <v>174</v>
      </c>
      <c r="D356" t="s">
        <v>192</v>
      </c>
      <c r="E356" t="s">
        <v>59</v>
      </c>
      <c r="F356">
        <v>2</v>
      </c>
      <c r="G356">
        <v>54</v>
      </c>
      <c r="H356" s="86">
        <v>45962.408720185202</v>
      </c>
      <c r="I356" s="86">
        <v>45962.480894849497</v>
      </c>
      <c r="J356" s="87">
        <v>1.73219194444444</v>
      </c>
      <c r="K356" s="69" t="s">
        <v>274</v>
      </c>
      <c r="L356" s="69"/>
      <c r="M356" s="71"/>
      <c r="N356" s="71"/>
      <c r="O356" s="71"/>
      <c r="P356" s="71" t="s">
        <v>275</v>
      </c>
      <c r="Q356" s="88">
        <v>8.3911621511019094E-2</v>
      </c>
      <c r="R356" s="89" t="s">
        <v>276</v>
      </c>
      <c r="S356" s="89"/>
      <c r="T356">
        <v>9.6999999999999993</v>
      </c>
      <c r="U356" s="76">
        <v>0.2</v>
      </c>
      <c r="V356">
        <v>9.1999999999999993</v>
      </c>
      <c r="W356" s="90">
        <v>0.1</v>
      </c>
      <c r="X356" s="90"/>
      <c r="Y356" s="71"/>
      <c r="Z356" s="71"/>
      <c r="AA356" s="71"/>
      <c r="AB356" s="71"/>
      <c r="AC356" s="71"/>
      <c r="AD356" s="71"/>
      <c r="AE356" s="71"/>
      <c r="AF356" s="71"/>
      <c r="AG356" s="82">
        <v>0</v>
      </c>
      <c r="AH356" s="76"/>
      <c r="AI356" s="76"/>
      <c r="AJ356" s="76"/>
      <c r="AK356" s="71">
        <v>0.15</v>
      </c>
      <c r="AL356" s="88">
        <v>3.4139420030223099E-2</v>
      </c>
      <c r="AM356" s="89">
        <f t="shared" si="5"/>
        <v>0.22759613353482067</v>
      </c>
      <c r="AN356" s="78"/>
    </row>
    <row r="357" spans="1:40" x14ac:dyDescent="0.25">
      <c r="A357" t="s">
        <v>44</v>
      </c>
      <c r="B357" t="s">
        <v>45</v>
      </c>
      <c r="C357" s="121" t="s">
        <v>174</v>
      </c>
      <c r="D357" t="s">
        <v>192</v>
      </c>
      <c r="E357" t="s">
        <v>59</v>
      </c>
      <c r="F357">
        <v>2</v>
      </c>
      <c r="G357">
        <v>55</v>
      </c>
      <c r="H357" s="86">
        <v>45962.480894849497</v>
      </c>
      <c r="I357" s="86">
        <v>45962.553082094899</v>
      </c>
      <c r="J357" s="87">
        <v>1.7324938888888901</v>
      </c>
      <c r="K357" s="69" t="s">
        <v>274</v>
      </c>
      <c r="L357" s="69"/>
      <c r="M357" s="71"/>
      <c r="N357" s="71"/>
      <c r="O357" s="71"/>
      <c r="P357" s="71" t="s">
        <v>275</v>
      </c>
      <c r="Q357" s="88">
        <v>6.4477771601578707E-2</v>
      </c>
      <c r="R357" s="89" t="s">
        <v>276</v>
      </c>
      <c r="S357" s="89"/>
      <c r="T357">
        <v>10.9</v>
      </c>
      <c r="U357" s="76">
        <v>0.2</v>
      </c>
      <c r="V357">
        <v>9.1999999999999993</v>
      </c>
      <c r="W357" s="90">
        <v>0.1</v>
      </c>
      <c r="X357" s="90"/>
      <c r="Y357" s="71"/>
      <c r="Z357" s="71"/>
      <c r="AA357" s="71"/>
      <c r="AB357" s="71"/>
      <c r="AC357" s="71"/>
      <c r="AD357" s="71"/>
      <c r="AE357" s="71"/>
      <c r="AF357" s="71"/>
      <c r="AG357" s="82">
        <v>0</v>
      </c>
      <c r="AH357" s="76"/>
      <c r="AI357" s="76"/>
      <c r="AJ357" s="76"/>
      <c r="AK357" s="71">
        <v>0.15</v>
      </c>
      <c r="AL357" s="88">
        <v>3.4139420030223099E-2</v>
      </c>
      <c r="AM357" s="89">
        <f t="shared" si="5"/>
        <v>0.22759613353482067</v>
      </c>
      <c r="AN357" s="78"/>
    </row>
    <row r="358" spans="1:40" x14ac:dyDescent="0.25">
      <c r="A358" t="s">
        <v>44</v>
      </c>
      <c r="B358" t="s">
        <v>45</v>
      </c>
      <c r="C358" s="121" t="s">
        <v>174</v>
      </c>
      <c r="D358" t="s">
        <v>192</v>
      </c>
      <c r="E358" t="s">
        <v>59</v>
      </c>
      <c r="F358">
        <v>2</v>
      </c>
      <c r="G358">
        <v>56</v>
      </c>
      <c r="H358" s="86">
        <v>45962.553082094899</v>
      </c>
      <c r="I358" s="86">
        <v>45962.625273009297</v>
      </c>
      <c r="J358" s="87">
        <v>1.7325819444444399</v>
      </c>
      <c r="K358" s="69" t="s">
        <v>274</v>
      </c>
      <c r="L358" s="69"/>
      <c r="M358" s="71"/>
      <c r="N358" s="71"/>
      <c r="O358" s="71"/>
      <c r="P358" s="71" t="s">
        <v>275</v>
      </c>
      <c r="Q358" s="88">
        <v>4.0529691576108397E-2</v>
      </c>
      <c r="R358" s="89" t="s">
        <v>276</v>
      </c>
      <c r="S358" s="89"/>
      <c r="T358">
        <v>10.7</v>
      </c>
      <c r="U358" s="76">
        <v>0.2</v>
      </c>
      <c r="V358">
        <v>9.3000000000000007</v>
      </c>
      <c r="W358" s="90">
        <v>0.1</v>
      </c>
      <c r="X358" s="90"/>
      <c r="Y358" s="71"/>
      <c r="Z358" s="71"/>
      <c r="AA358" s="71"/>
      <c r="AB358" s="71"/>
      <c r="AC358" s="71"/>
      <c r="AD358" s="71"/>
      <c r="AE358" s="71"/>
      <c r="AF358" s="71"/>
      <c r="AG358" s="82">
        <v>0.1</v>
      </c>
      <c r="AH358" s="76"/>
      <c r="AI358" s="76"/>
      <c r="AJ358" s="76"/>
      <c r="AK358" s="71">
        <v>0.15</v>
      </c>
      <c r="AL358" s="88">
        <v>3.4139420030223099E-2</v>
      </c>
      <c r="AM358" s="89">
        <f t="shared" si="5"/>
        <v>0.22759613353482067</v>
      </c>
      <c r="AN358" s="78"/>
    </row>
    <row r="359" spans="1:40" x14ac:dyDescent="0.25">
      <c r="A359" t="s">
        <v>44</v>
      </c>
      <c r="B359" t="s">
        <v>45</v>
      </c>
      <c r="C359" s="121" t="s">
        <v>174</v>
      </c>
      <c r="D359" t="s">
        <v>192</v>
      </c>
      <c r="E359" t="s">
        <v>59</v>
      </c>
      <c r="F359">
        <v>2</v>
      </c>
      <c r="G359">
        <v>57</v>
      </c>
      <c r="H359" s="86">
        <v>45962.625273009297</v>
      </c>
      <c r="I359" s="86">
        <v>45962.697453321802</v>
      </c>
      <c r="J359" s="87">
        <v>1.7323275</v>
      </c>
      <c r="K359" s="69" t="s">
        <v>274</v>
      </c>
      <c r="L359" s="69"/>
      <c r="M359" s="71"/>
      <c r="N359" s="71"/>
      <c r="O359" s="71"/>
      <c r="P359" s="71" t="s">
        <v>275</v>
      </c>
      <c r="Q359" s="88">
        <v>3.5869248352403099E-2</v>
      </c>
      <c r="R359" s="89" t="s">
        <v>276</v>
      </c>
      <c r="S359" s="89"/>
      <c r="T359">
        <v>10.7</v>
      </c>
      <c r="U359" s="76">
        <v>0.2</v>
      </c>
      <c r="V359">
        <v>9.5</v>
      </c>
      <c r="W359" s="90">
        <v>0.1</v>
      </c>
      <c r="X359" s="90"/>
      <c r="Y359" s="71"/>
      <c r="Z359" s="71"/>
      <c r="AA359" s="71"/>
      <c r="AB359" s="71"/>
      <c r="AC359" s="71"/>
      <c r="AD359" s="71"/>
      <c r="AE359" s="71"/>
      <c r="AF359" s="71"/>
      <c r="AG359" s="82">
        <v>0.3</v>
      </c>
      <c r="AH359" s="76"/>
      <c r="AI359" s="76"/>
      <c r="AJ359" s="76"/>
      <c r="AK359" s="71">
        <v>0.15</v>
      </c>
      <c r="AL359" s="88">
        <v>3.4139420030223099E-2</v>
      </c>
      <c r="AM359" s="89">
        <f t="shared" si="5"/>
        <v>0.22759613353482067</v>
      </c>
      <c r="AN359" s="78"/>
    </row>
    <row r="360" spans="1:40" x14ac:dyDescent="0.25">
      <c r="A360" t="s">
        <v>44</v>
      </c>
      <c r="B360" t="s">
        <v>45</v>
      </c>
      <c r="C360" s="121" t="s">
        <v>174</v>
      </c>
      <c r="D360" t="s">
        <v>192</v>
      </c>
      <c r="E360" t="s">
        <v>59</v>
      </c>
      <c r="F360">
        <v>2</v>
      </c>
      <c r="G360">
        <v>58</v>
      </c>
      <c r="H360" s="86">
        <v>45962.697453321802</v>
      </c>
      <c r="I360" s="86">
        <v>45962.769637916703</v>
      </c>
      <c r="J360" s="87">
        <v>1.73243027777778</v>
      </c>
      <c r="K360" s="69" t="s">
        <v>274</v>
      </c>
      <c r="L360" s="69"/>
      <c r="M360" s="71"/>
      <c r="N360" s="71"/>
      <c r="O360" s="71"/>
      <c r="P360" s="71" t="s">
        <v>275</v>
      </c>
      <c r="Q360" s="88">
        <v>2.5330301603673101E-2</v>
      </c>
      <c r="R360" s="89" t="s">
        <v>276</v>
      </c>
      <c r="S360" s="89"/>
      <c r="T360">
        <v>10.6</v>
      </c>
      <c r="U360" s="76">
        <v>0.2</v>
      </c>
      <c r="V360">
        <v>9.6</v>
      </c>
      <c r="W360" s="90">
        <v>0.1</v>
      </c>
      <c r="X360" s="90"/>
      <c r="Y360" s="71"/>
      <c r="Z360" s="71"/>
      <c r="AA360" s="71"/>
      <c r="AB360" s="71"/>
      <c r="AC360" s="71"/>
      <c r="AD360" s="71"/>
      <c r="AE360" s="71"/>
      <c r="AF360" s="71"/>
      <c r="AG360" s="82">
        <v>1.7</v>
      </c>
      <c r="AH360" s="76"/>
      <c r="AI360" s="76"/>
      <c r="AJ360" s="76"/>
      <c r="AK360" s="71">
        <v>0.15</v>
      </c>
      <c r="AL360" s="88">
        <v>3.4139420030223099E-2</v>
      </c>
      <c r="AM360" s="89">
        <f t="shared" si="5"/>
        <v>0.22759613353482067</v>
      </c>
      <c r="AN360" s="78"/>
    </row>
    <row r="361" spans="1:40" x14ac:dyDescent="0.25">
      <c r="A361" t="s">
        <v>44</v>
      </c>
      <c r="B361" t="s">
        <v>45</v>
      </c>
      <c r="C361" s="121" t="s">
        <v>174</v>
      </c>
      <c r="D361" t="s">
        <v>192</v>
      </c>
      <c r="E361" t="s">
        <v>59</v>
      </c>
      <c r="F361">
        <v>2</v>
      </c>
      <c r="G361">
        <v>59</v>
      </c>
      <c r="H361" s="86">
        <v>45962.769637916703</v>
      </c>
      <c r="I361" s="86">
        <v>45962.841813240702</v>
      </c>
      <c r="J361" s="87">
        <v>1.73220777777778</v>
      </c>
      <c r="K361" s="69" t="s">
        <v>274</v>
      </c>
      <c r="L361" s="69"/>
      <c r="M361" s="71"/>
      <c r="N361" s="71"/>
      <c r="O361" s="71"/>
      <c r="P361" s="71" t="s">
        <v>275</v>
      </c>
      <c r="Q361" s="88">
        <v>2.6123923882825299E-2</v>
      </c>
      <c r="R361" s="89" t="s">
        <v>276</v>
      </c>
      <c r="S361" s="89"/>
      <c r="T361">
        <v>10.6</v>
      </c>
      <c r="U361" s="76">
        <v>0.2</v>
      </c>
      <c r="V361">
        <v>9.6999999999999993</v>
      </c>
      <c r="W361" s="90">
        <v>0.1</v>
      </c>
      <c r="X361" s="90"/>
      <c r="Y361" s="71"/>
      <c r="Z361" s="71"/>
      <c r="AA361" s="71"/>
      <c r="AB361" s="71"/>
      <c r="AC361" s="71"/>
      <c r="AD361" s="71"/>
      <c r="AE361" s="71"/>
      <c r="AF361" s="71"/>
      <c r="AG361" s="82">
        <v>0.4</v>
      </c>
      <c r="AH361" s="76"/>
      <c r="AI361" s="76"/>
      <c r="AJ361" s="76"/>
      <c r="AK361" s="71">
        <v>0.15</v>
      </c>
      <c r="AL361" s="88">
        <v>3.4139420030223099E-2</v>
      </c>
      <c r="AM361" s="89">
        <f t="shared" si="5"/>
        <v>0.22759613353482067</v>
      </c>
      <c r="AN361" s="78"/>
    </row>
    <row r="362" spans="1:40" x14ac:dyDescent="0.25">
      <c r="A362" t="s">
        <v>44</v>
      </c>
      <c r="B362" t="s">
        <v>45</v>
      </c>
      <c r="C362" s="121" t="s">
        <v>174</v>
      </c>
      <c r="D362" t="s">
        <v>192</v>
      </c>
      <c r="E362" t="s">
        <v>59</v>
      </c>
      <c r="F362">
        <v>2</v>
      </c>
      <c r="G362">
        <v>60</v>
      </c>
      <c r="H362" s="86">
        <v>45962.841813240702</v>
      </c>
      <c r="I362" s="86">
        <v>45962.914004780097</v>
      </c>
      <c r="J362" s="87">
        <v>1.73259694444444</v>
      </c>
      <c r="K362" s="69" t="s">
        <v>274</v>
      </c>
      <c r="L362" s="69"/>
      <c r="M362" s="71"/>
      <c r="N362" s="71"/>
      <c r="O362" s="71"/>
      <c r="P362" s="71" t="s">
        <v>275</v>
      </c>
      <c r="Q362" s="88">
        <v>2.9861052282905299E-2</v>
      </c>
      <c r="R362" s="89" t="s">
        <v>276</v>
      </c>
      <c r="S362" s="89"/>
      <c r="T362">
        <v>10.4</v>
      </c>
      <c r="U362" s="76">
        <v>0.2</v>
      </c>
      <c r="V362">
        <v>9.6999999999999993</v>
      </c>
      <c r="W362" s="90">
        <v>0.1</v>
      </c>
      <c r="X362" s="90"/>
      <c r="Y362" s="71"/>
      <c r="Z362" s="71"/>
      <c r="AA362" s="71"/>
      <c r="AB362" s="71"/>
      <c r="AC362" s="71"/>
      <c r="AD362" s="71"/>
      <c r="AE362" s="71"/>
      <c r="AF362" s="71"/>
      <c r="AG362" s="82">
        <v>0</v>
      </c>
      <c r="AH362" s="76"/>
      <c r="AI362" s="76"/>
      <c r="AJ362" s="76"/>
      <c r="AK362" s="71">
        <v>0.15</v>
      </c>
      <c r="AL362" s="88">
        <v>3.4139420030223099E-2</v>
      </c>
      <c r="AM362" s="89">
        <f t="shared" si="5"/>
        <v>0.22759613353482067</v>
      </c>
      <c r="AN362" s="78"/>
    </row>
    <row r="363" spans="1:40" x14ac:dyDescent="0.25">
      <c r="A363" t="s">
        <v>44</v>
      </c>
      <c r="B363" t="s">
        <v>45</v>
      </c>
      <c r="C363" s="121" t="s">
        <v>174</v>
      </c>
      <c r="D363" t="s">
        <v>192</v>
      </c>
      <c r="E363" t="s">
        <v>59</v>
      </c>
      <c r="F363">
        <v>2</v>
      </c>
      <c r="G363">
        <v>61</v>
      </c>
      <c r="H363" s="86">
        <v>45962.914004780097</v>
      </c>
      <c r="I363" s="86">
        <v>45962.986197152801</v>
      </c>
      <c r="J363" s="87">
        <v>1.7326169444444499</v>
      </c>
      <c r="K363" s="69" t="s">
        <v>274</v>
      </c>
      <c r="L363" s="69"/>
      <c r="M363" s="71"/>
      <c r="N363" s="71"/>
      <c r="O363" s="71"/>
      <c r="P363" s="71" t="s">
        <v>275</v>
      </c>
      <c r="Q363" s="88">
        <v>3.0514279435881302E-2</v>
      </c>
      <c r="R363" s="89" t="s">
        <v>276</v>
      </c>
      <c r="S363" s="89"/>
      <c r="T363">
        <v>10</v>
      </c>
      <c r="U363" s="76">
        <v>0.2</v>
      </c>
      <c r="V363">
        <v>9.8000000000000007</v>
      </c>
      <c r="W363" s="90">
        <v>0.1</v>
      </c>
      <c r="X363" s="90"/>
      <c r="Y363" s="71"/>
      <c r="Z363" s="71"/>
      <c r="AA363" s="71"/>
      <c r="AB363" s="71"/>
      <c r="AC363" s="71"/>
      <c r="AD363" s="71"/>
      <c r="AE363" s="71"/>
      <c r="AF363" s="71"/>
      <c r="AG363" s="82">
        <v>0.2</v>
      </c>
      <c r="AH363" s="76"/>
      <c r="AI363" s="76"/>
      <c r="AJ363" s="76"/>
      <c r="AK363" s="71">
        <v>0.15</v>
      </c>
      <c r="AL363" s="88">
        <v>3.4139420030223099E-2</v>
      </c>
      <c r="AM363" s="89">
        <f t="shared" si="5"/>
        <v>0.22759613353482067</v>
      </c>
      <c r="AN363" s="78"/>
    </row>
    <row r="364" spans="1:40" x14ac:dyDescent="0.25">
      <c r="A364" t="s">
        <v>44</v>
      </c>
      <c r="B364" t="s">
        <v>45</v>
      </c>
      <c r="C364" s="121" t="s">
        <v>174</v>
      </c>
      <c r="D364" t="s">
        <v>192</v>
      </c>
      <c r="E364" t="s">
        <v>59</v>
      </c>
      <c r="F364">
        <v>2</v>
      </c>
      <c r="G364">
        <v>62</v>
      </c>
      <c r="H364" s="86">
        <v>45962.986197152801</v>
      </c>
      <c r="I364" s="86">
        <v>45963.058373460699</v>
      </c>
      <c r="J364" s="87">
        <v>1.7322313888888901</v>
      </c>
      <c r="K364" s="69" t="s">
        <v>274</v>
      </c>
      <c r="L364" s="69"/>
      <c r="M364" s="71"/>
      <c r="N364" s="71"/>
      <c r="O364" s="71"/>
      <c r="P364" s="71" t="s">
        <v>275</v>
      </c>
      <c r="Q364" s="88">
        <v>2.1086010417035801E-2</v>
      </c>
      <c r="R364" s="89" t="s">
        <v>276</v>
      </c>
      <c r="S364" s="89"/>
      <c r="T364">
        <v>9.1</v>
      </c>
      <c r="U364" s="76">
        <v>0.2</v>
      </c>
      <c r="V364">
        <v>9.8000000000000007</v>
      </c>
      <c r="W364" s="90">
        <v>0.1</v>
      </c>
      <c r="X364" s="90"/>
      <c r="Y364" s="71"/>
      <c r="Z364" s="71"/>
      <c r="AA364" s="71"/>
      <c r="AB364" s="71"/>
      <c r="AC364" s="71"/>
      <c r="AD364" s="71"/>
      <c r="AE364" s="71"/>
      <c r="AF364" s="71"/>
      <c r="AG364" s="82">
        <v>0</v>
      </c>
      <c r="AH364" s="76"/>
      <c r="AI364" s="76"/>
      <c r="AJ364" s="76"/>
      <c r="AK364" s="71">
        <v>0.15</v>
      </c>
      <c r="AL364" s="88">
        <v>3.4139420030223099E-2</v>
      </c>
      <c r="AM364" s="89">
        <f t="shared" si="5"/>
        <v>0.22759613353482067</v>
      </c>
      <c r="AN364" s="78"/>
    </row>
    <row r="365" spans="1:40" x14ac:dyDescent="0.25">
      <c r="A365" t="s">
        <v>44</v>
      </c>
      <c r="B365" t="s">
        <v>45</v>
      </c>
      <c r="C365" s="121" t="s">
        <v>174</v>
      </c>
      <c r="D365" t="s">
        <v>192</v>
      </c>
      <c r="E365" t="s">
        <v>59</v>
      </c>
      <c r="F365">
        <v>2</v>
      </c>
      <c r="G365">
        <v>63</v>
      </c>
      <c r="H365" s="86">
        <v>45963.058373460699</v>
      </c>
      <c r="I365" s="86">
        <v>45963.1305556597</v>
      </c>
      <c r="J365" s="87">
        <v>1.73237277777778</v>
      </c>
      <c r="K365" s="69" t="s">
        <v>274</v>
      </c>
      <c r="L365" s="69"/>
      <c r="M365" s="71"/>
      <c r="N365" s="71"/>
      <c r="O365" s="71"/>
      <c r="P365" s="71" t="s">
        <v>275</v>
      </c>
      <c r="Q365" s="88">
        <v>1.8755776978337701E-2</v>
      </c>
      <c r="R365" s="89" t="s">
        <v>276</v>
      </c>
      <c r="S365" s="89"/>
      <c r="T365">
        <v>8.6999999999999993</v>
      </c>
      <c r="U365" s="76">
        <v>0.2</v>
      </c>
      <c r="V365">
        <v>9.8000000000000007</v>
      </c>
      <c r="W365" s="90">
        <v>0.1</v>
      </c>
      <c r="X365" s="90"/>
      <c r="Y365" s="71"/>
      <c r="Z365" s="71"/>
      <c r="AA365" s="71"/>
      <c r="AB365" s="71"/>
      <c r="AC365" s="71"/>
      <c r="AD365" s="71"/>
      <c r="AE365" s="71"/>
      <c r="AF365" s="71"/>
      <c r="AG365" s="82">
        <v>0.1</v>
      </c>
      <c r="AH365" s="76"/>
      <c r="AI365" s="76"/>
      <c r="AJ365" s="76"/>
      <c r="AK365" s="71">
        <v>0.15</v>
      </c>
      <c r="AL365" s="88">
        <v>3.4139420030223099E-2</v>
      </c>
      <c r="AM365" s="89">
        <f t="shared" si="5"/>
        <v>0.22759613353482067</v>
      </c>
      <c r="AN365" s="78"/>
    </row>
    <row r="366" spans="1:40" x14ac:dyDescent="0.25">
      <c r="A366" t="s">
        <v>44</v>
      </c>
      <c r="B366" t="s">
        <v>45</v>
      </c>
      <c r="C366" s="121" t="s">
        <v>174</v>
      </c>
      <c r="D366" t="s">
        <v>192</v>
      </c>
      <c r="E366" t="s">
        <v>59</v>
      </c>
      <c r="F366">
        <v>2</v>
      </c>
      <c r="G366">
        <v>64</v>
      </c>
      <c r="H366" s="86">
        <v>45963.1305556597</v>
      </c>
      <c r="I366" s="86">
        <v>45963.202742638903</v>
      </c>
      <c r="J366" s="87">
        <v>1.7324875</v>
      </c>
      <c r="K366" s="69" t="s">
        <v>274</v>
      </c>
      <c r="L366" s="69"/>
      <c r="M366" s="71"/>
      <c r="N366" s="71"/>
      <c r="O366" s="71"/>
      <c r="P366" s="71" t="s">
        <v>275</v>
      </c>
      <c r="Q366" s="88">
        <v>1.7417308685817701E-2</v>
      </c>
      <c r="R366" s="89" t="s">
        <v>276</v>
      </c>
      <c r="S366" s="89"/>
      <c r="T366">
        <v>8.1</v>
      </c>
      <c r="U366" s="76">
        <v>0.2</v>
      </c>
      <c r="V366">
        <v>9.6999999999999993</v>
      </c>
      <c r="W366" s="90">
        <v>0.1</v>
      </c>
      <c r="X366" s="90"/>
      <c r="Y366" s="71"/>
      <c r="Z366" s="71"/>
      <c r="AA366" s="71"/>
      <c r="AB366" s="71"/>
      <c r="AC366" s="71"/>
      <c r="AD366" s="71"/>
      <c r="AE366" s="71"/>
      <c r="AF366" s="71"/>
      <c r="AG366" s="82">
        <v>0</v>
      </c>
      <c r="AH366" s="76"/>
      <c r="AI366" s="76"/>
      <c r="AJ366" s="76"/>
      <c r="AK366" s="71">
        <v>0.15</v>
      </c>
      <c r="AL366" s="88">
        <v>3.4139420030223099E-2</v>
      </c>
      <c r="AM366" s="89">
        <f t="shared" si="5"/>
        <v>0.22759613353482067</v>
      </c>
      <c r="AN366" s="78"/>
    </row>
    <row r="367" spans="1:40" x14ac:dyDescent="0.25">
      <c r="A367" t="s">
        <v>44</v>
      </c>
      <c r="B367" t="s">
        <v>45</v>
      </c>
      <c r="C367" s="121" t="s">
        <v>174</v>
      </c>
      <c r="D367" t="s">
        <v>192</v>
      </c>
      <c r="E367" t="s">
        <v>59</v>
      </c>
      <c r="F367">
        <v>2</v>
      </c>
      <c r="G367">
        <v>65</v>
      </c>
      <c r="H367" s="86">
        <v>45963.202742638903</v>
      </c>
      <c r="I367" s="86">
        <v>45963.274914756897</v>
      </c>
      <c r="J367" s="87">
        <v>1.7321308333333301</v>
      </c>
      <c r="K367" s="69" t="s">
        <v>274</v>
      </c>
      <c r="L367" s="69"/>
      <c r="M367" s="71"/>
      <c r="N367" s="71"/>
      <c r="O367" s="71"/>
      <c r="P367" s="71" t="s">
        <v>275</v>
      </c>
      <c r="Q367" s="88">
        <v>1.69059011625175E-2</v>
      </c>
      <c r="R367" s="89" t="s">
        <v>276</v>
      </c>
      <c r="S367" s="89"/>
      <c r="T367">
        <v>8.1999999999999993</v>
      </c>
      <c r="U367" s="76">
        <v>0.2</v>
      </c>
      <c r="V367">
        <v>9.6999999999999993</v>
      </c>
      <c r="W367" s="90">
        <v>0.1</v>
      </c>
      <c r="X367" s="90"/>
      <c r="Y367" s="71"/>
      <c r="Z367" s="71"/>
      <c r="AA367" s="71"/>
      <c r="AB367" s="71"/>
      <c r="AC367" s="71"/>
      <c r="AD367" s="71"/>
      <c r="AE367" s="71"/>
      <c r="AF367" s="71"/>
      <c r="AG367" s="82">
        <v>0</v>
      </c>
      <c r="AH367" s="76"/>
      <c r="AI367" s="76"/>
      <c r="AJ367" s="76"/>
      <c r="AK367" s="71">
        <v>0.15</v>
      </c>
      <c r="AL367" s="88">
        <v>3.4139420030223099E-2</v>
      </c>
      <c r="AM367" s="89">
        <f t="shared" si="5"/>
        <v>0.22759613353482067</v>
      </c>
      <c r="AN367" s="78"/>
    </row>
    <row r="368" spans="1:40" x14ac:dyDescent="0.25">
      <c r="A368" t="s">
        <v>44</v>
      </c>
      <c r="B368" t="s">
        <v>45</v>
      </c>
      <c r="C368" s="121" t="s">
        <v>174</v>
      </c>
      <c r="D368" t="s">
        <v>192</v>
      </c>
      <c r="E368" t="s">
        <v>59</v>
      </c>
      <c r="F368">
        <v>2</v>
      </c>
      <c r="G368">
        <v>66</v>
      </c>
      <c r="H368" s="86">
        <v>45963.274914756897</v>
      </c>
      <c r="I368" s="86">
        <v>45963.347103275497</v>
      </c>
      <c r="J368" s="87">
        <v>1.7325244444444401</v>
      </c>
      <c r="K368" s="69" t="s">
        <v>274</v>
      </c>
      <c r="L368" s="69"/>
      <c r="M368" s="71"/>
      <c r="N368" s="71"/>
      <c r="O368" s="71"/>
      <c r="P368" s="71" t="s">
        <v>275</v>
      </c>
      <c r="Q368" s="88">
        <v>1.6945926518434198E-2</v>
      </c>
      <c r="R368" s="89" t="s">
        <v>276</v>
      </c>
      <c r="S368" s="89"/>
      <c r="T368">
        <v>8.9</v>
      </c>
      <c r="U368" s="76">
        <v>0.2</v>
      </c>
      <c r="V368">
        <v>9.6</v>
      </c>
      <c r="W368" s="90">
        <v>0.1</v>
      </c>
      <c r="X368" s="90"/>
      <c r="Y368" s="71"/>
      <c r="Z368" s="71"/>
      <c r="AA368" s="71"/>
      <c r="AB368" s="71"/>
      <c r="AC368" s="71"/>
      <c r="AD368" s="71"/>
      <c r="AE368" s="71"/>
      <c r="AF368" s="71"/>
      <c r="AG368" s="82">
        <v>2.6</v>
      </c>
      <c r="AH368" s="76"/>
      <c r="AI368" s="76"/>
      <c r="AJ368" s="76"/>
      <c r="AK368" s="71">
        <v>0.15</v>
      </c>
      <c r="AL368" s="88">
        <v>3.4139420030223099E-2</v>
      </c>
      <c r="AM368" s="89">
        <f t="shared" si="5"/>
        <v>0.22759613353482067</v>
      </c>
      <c r="AN368" s="78"/>
    </row>
    <row r="369" spans="1:40" x14ac:dyDescent="0.25">
      <c r="A369" t="s">
        <v>44</v>
      </c>
      <c r="B369" t="s">
        <v>45</v>
      </c>
      <c r="C369" s="121" t="s">
        <v>174</v>
      </c>
      <c r="D369" t="s">
        <v>192</v>
      </c>
      <c r="E369" t="s">
        <v>59</v>
      </c>
      <c r="F369">
        <v>2</v>
      </c>
      <c r="G369">
        <v>67</v>
      </c>
      <c r="H369" s="86">
        <v>45963.347103275497</v>
      </c>
      <c r="I369" s="86">
        <v>45963.419292222199</v>
      </c>
      <c r="J369" s="87">
        <v>1.73253472222222</v>
      </c>
      <c r="K369" s="69" t="s">
        <v>274</v>
      </c>
      <c r="L369" s="69"/>
      <c r="M369" s="71"/>
      <c r="N369" s="71"/>
      <c r="O369" s="71"/>
      <c r="P369" s="71" t="s">
        <v>275</v>
      </c>
      <c r="Q369" s="88">
        <v>2.0539411625198602E-2</v>
      </c>
      <c r="R369" s="89" t="s">
        <v>276</v>
      </c>
      <c r="S369" s="89"/>
      <c r="T369">
        <v>8.9</v>
      </c>
      <c r="U369" s="76">
        <v>0.2</v>
      </c>
      <c r="V369">
        <v>9.6</v>
      </c>
      <c r="W369" s="90">
        <v>0.1</v>
      </c>
      <c r="X369" s="90"/>
      <c r="Y369" s="71"/>
      <c r="Z369" s="71"/>
      <c r="AA369" s="71"/>
      <c r="AB369" s="71"/>
      <c r="AC369" s="71"/>
      <c r="AD369" s="71"/>
      <c r="AE369" s="71"/>
      <c r="AF369" s="71"/>
      <c r="AG369" s="82">
        <v>3.9</v>
      </c>
      <c r="AH369" s="76"/>
      <c r="AI369" s="76"/>
      <c r="AJ369" s="76"/>
      <c r="AK369" s="71">
        <v>0.15</v>
      </c>
      <c r="AL369" s="88">
        <v>3.4139420030223099E-2</v>
      </c>
      <c r="AM369" s="89">
        <f t="shared" si="5"/>
        <v>0.22759613353482067</v>
      </c>
      <c r="AN369" s="78"/>
    </row>
    <row r="370" spans="1:40" x14ac:dyDescent="0.25">
      <c r="A370" t="s">
        <v>44</v>
      </c>
      <c r="B370" t="s">
        <v>45</v>
      </c>
      <c r="C370" s="121" t="s">
        <v>174</v>
      </c>
      <c r="D370" t="s">
        <v>192</v>
      </c>
      <c r="E370" t="s">
        <v>59</v>
      </c>
      <c r="F370">
        <v>2</v>
      </c>
      <c r="G370">
        <v>68</v>
      </c>
      <c r="H370" s="86">
        <v>45963.419292222199</v>
      </c>
      <c r="I370" s="86">
        <v>45963.491483067097</v>
      </c>
      <c r="J370" s="87">
        <v>1.7325802777777799</v>
      </c>
      <c r="K370" s="69" t="s">
        <v>274</v>
      </c>
      <c r="L370" s="69"/>
      <c r="M370" s="71"/>
      <c r="N370" s="71"/>
      <c r="O370" s="71"/>
      <c r="P370" s="71" t="s">
        <v>275</v>
      </c>
      <c r="Q370" s="88">
        <v>4.27310430951287E-2</v>
      </c>
      <c r="R370" s="89" t="s">
        <v>276</v>
      </c>
      <c r="S370" s="89"/>
      <c r="T370">
        <v>10</v>
      </c>
      <c r="U370" s="76">
        <v>0.2</v>
      </c>
      <c r="V370">
        <v>9.6</v>
      </c>
      <c r="W370" s="90">
        <v>0.1</v>
      </c>
      <c r="X370" s="90"/>
      <c r="Y370" s="71"/>
      <c r="Z370" s="71"/>
      <c r="AA370" s="71"/>
      <c r="AB370" s="71"/>
      <c r="AC370" s="71"/>
      <c r="AD370" s="71"/>
      <c r="AE370" s="71"/>
      <c r="AF370" s="71"/>
      <c r="AG370" s="82">
        <v>0</v>
      </c>
      <c r="AH370" s="76"/>
      <c r="AI370" s="76"/>
      <c r="AJ370" s="76"/>
      <c r="AK370" s="71">
        <v>0.15</v>
      </c>
      <c r="AL370" s="88">
        <v>3.4139420030223099E-2</v>
      </c>
      <c r="AM370" s="89">
        <f t="shared" si="5"/>
        <v>0.22759613353482067</v>
      </c>
      <c r="AN370" s="78"/>
    </row>
    <row r="371" spans="1:40" x14ac:dyDescent="0.25">
      <c r="A371" t="s">
        <v>44</v>
      </c>
      <c r="B371" t="s">
        <v>45</v>
      </c>
      <c r="C371" s="121" t="s">
        <v>174</v>
      </c>
      <c r="D371" t="s">
        <v>192</v>
      </c>
      <c r="E371" t="s">
        <v>59</v>
      </c>
      <c r="F371">
        <v>2</v>
      </c>
      <c r="G371">
        <v>69</v>
      </c>
      <c r="H371" s="86">
        <v>45963.491483067097</v>
      </c>
      <c r="I371" s="86">
        <v>45963.5636640394</v>
      </c>
      <c r="J371" s="87">
        <v>1.73234333333333</v>
      </c>
      <c r="K371" s="69" t="s">
        <v>274</v>
      </c>
      <c r="L371" s="69"/>
      <c r="M371" s="71"/>
      <c r="N371" s="71"/>
      <c r="O371" s="71"/>
      <c r="P371" s="71" t="s">
        <v>275</v>
      </c>
      <c r="Q371" s="88">
        <v>0.106019497503409</v>
      </c>
      <c r="R371" s="89" t="s">
        <v>276</v>
      </c>
      <c r="S371" s="89"/>
      <c r="T371">
        <v>12.6</v>
      </c>
      <c r="U371" s="76">
        <v>0.2</v>
      </c>
      <c r="V371">
        <v>9.6999999999999993</v>
      </c>
      <c r="W371" s="90">
        <v>0.1</v>
      </c>
      <c r="X371" s="90"/>
      <c r="Y371" s="71"/>
      <c r="Z371" s="71"/>
      <c r="AA371" s="71"/>
      <c r="AB371" s="71"/>
      <c r="AC371" s="71"/>
      <c r="AD371" s="71"/>
      <c r="AE371" s="71"/>
      <c r="AF371" s="71"/>
      <c r="AG371" s="82">
        <v>0</v>
      </c>
      <c r="AH371" s="76"/>
      <c r="AI371" s="76"/>
      <c r="AJ371" s="76"/>
      <c r="AK371" s="71">
        <v>0.15</v>
      </c>
      <c r="AL371" s="88">
        <v>3.4139420030223099E-2</v>
      </c>
      <c r="AM371" s="89">
        <f t="shared" si="5"/>
        <v>0.22759613353482067</v>
      </c>
      <c r="AN371" s="78"/>
    </row>
    <row r="372" spans="1:40" x14ac:dyDescent="0.25">
      <c r="A372" t="s">
        <v>44</v>
      </c>
      <c r="B372" t="s">
        <v>45</v>
      </c>
      <c r="C372" s="121" t="s">
        <v>174</v>
      </c>
      <c r="D372" t="s">
        <v>192</v>
      </c>
      <c r="E372" t="s">
        <v>59</v>
      </c>
      <c r="F372">
        <v>2</v>
      </c>
      <c r="G372">
        <v>70</v>
      </c>
      <c r="H372" s="86">
        <v>45963.5636640394</v>
      </c>
      <c r="I372" s="86">
        <v>45963.635845856501</v>
      </c>
      <c r="J372" s="87">
        <v>1.73236361111111</v>
      </c>
      <c r="K372" s="69" t="s">
        <v>274</v>
      </c>
      <c r="L372" s="69"/>
      <c r="M372" s="71"/>
      <c r="N372" s="71"/>
      <c r="O372" s="71"/>
      <c r="P372" s="71" t="s">
        <v>275</v>
      </c>
      <c r="Q372" s="88">
        <v>7.7116715247407402E-2</v>
      </c>
      <c r="R372" s="89" t="s">
        <v>276</v>
      </c>
      <c r="S372" s="89"/>
      <c r="T372">
        <v>12.2</v>
      </c>
      <c r="U372" s="76">
        <v>0.2</v>
      </c>
      <c r="V372">
        <v>9.9</v>
      </c>
      <c r="W372" s="90">
        <v>0.1</v>
      </c>
      <c r="X372" s="90"/>
      <c r="Y372" s="71"/>
      <c r="Z372" s="71"/>
      <c r="AA372" s="71"/>
      <c r="AB372" s="71"/>
      <c r="AC372" s="71"/>
      <c r="AD372" s="71"/>
      <c r="AE372" s="71"/>
      <c r="AF372" s="71"/>
      <c r="AG372" s="82">
        <v>0</v>
      </c>
      <c r="AH372" s="76"/>
      <c r="AI372" s="76"/>
      <c r="AJ372" s="76"/>
      <c r="AK372" s="71">
        <v>0.15</v>
      </c>
      <c r="AL372" s="88">
        <v>3.4139420030223099E-2</v>
      </c>
      <c r="AM372" s="89">
        <f t="shared" si="5"/>
        <v>0.22759613353482067</v>
      </c>
      <c r="AN372" s="78"/>
    </row>
    <row r="373" spans="1:40" x14ac:dyDescent="0.25">
      <c r="A373" t="s">
        <v>44</v>
      </c>
      <c r="B373" t="s">
        <v>45</v>
      </c>
      <c r="C373" s="121" t="s">
        <v>174</v>
      </c>
      <c r="D373" t="s">
        <v>192</v>
      </c>
      <c r="E373" t="s">
        <v>59</v>
      </c>
      <c r="F373">
        <v>2</v>
      </c>
      <c r="G373">
        <v>71</v>
      </c>
      <c r="H373" s="86">
        <v>45963.635845856501</v>
      </c>
      <c r="I373" s="86">
        <v>45963.708033125004</v>
      </c>
      <c r="J373" s="87">
        <v>1.7324944444444399</v>
      </c>
      <c r="K373" s="69" t="s">
        <v>274</v>
      </c>
      <c r="L373" s="69"/>
      <c r="M373" s="71"/>
      <c r="N373" s="71"/>
      <c r="O373" s="71"/>
      <c r="P373" s="71" t="s">
        <v>275</v>
      </c>
      <c r="Q373" s="88">
        <v>2.6693705550261598E-2</v>
      </c>
      <c r="R373" s="89" t="s">
        <v>276</v>
      </c>
      <c r="S373" s="89"/>
      <c r="T373">
        <v>10.8</v>
      </c>
      <c r="U373" s="76">
        <v>0.2</v>
      </c>
      <c r="V373">
        <v>10.1</v>
      </c>
      <c r="W373" s="90">
        <v>0.1</v>
      </c>
      <c r="X373" s="90"/>
      <c r="Y373" s="71"/>
      <c r="Z373" s="71"/>
      <c r="AA373" s="71"/>
      <c r="AB373" s="71"/>
      <c r="AC373" s="71"/>
      <c r="AD373" s="71"/>
      <c r="AE373" s="71"/>
      <c r="AF373" s="71"/>
      <c r="AG373" s="82">
        <v>0</v>
      </c>
      <c r="AH373" s="76"/>
      <c r="AI373" s="76"/>
      <c r="AJ373" s="76"/>
      <c r="AK373" s="71">
        <v>0.15</v>
      </c>
      <c r="AL373" s="88">
        <v>3.4139420030223099E-2</v>
      </c>
      <c r="AM373" s="89">
        <f t="shared" si="5"/>
        <v>0.22759613353482067</v>
      </c>
      <c r="AN373" s="78"/>
    </row>
    <row r="374" spans="1:40" x14ac:dyDescent="0.25">
      <c r="A374" t="s">
        <v>44</v>
      </c>
      <c r="B374" t="s">
        <v>45</v>
      </c>
      <c r="C374" s="121" t="s">
        <v>174</v>
      </c>
      <c r="D374" t="s">
        <v>192</v>
      </c>
      <c r="E374" t="s">
        <v>59</v>
      </c>
      <c r="F374">
        <v>2</v>
      </c>
      <c r="G374">
        <v>72</v>
      </c>
      <c r="H374" s="86">
        <v>45963.708033125004</v>
      </c>
      <c r="I374" s="86">
        <v>45963.780221238398</v>
      </c>
      <c r="J374" s="87">
        <v>1.7325147222222199</v>
      </c>
      <c r="K374" s="69" t="s">
        <v>274</v>
      </c>
      <c r="L374" s="69"/>
      <c r="M374" s="71"/>
      <c r="N374" s="71"/>
      <c r="O374" s="71"/>
      <c r="P374" s="71" t="s">
        <v>275</v>
      </c>
      <c r="Q374" s="88">
        <v>9.4473741673068191E-3</v>
      </c>
      <c r="R374" s="89" t="s">
        <v>276</v>
      </c>
      <c r="S374" s="89"/>
      <c r="T374">
        <v>6.4</v>
      </c>
      <c r="U374" s="76">
        <v>0.2</v>
      </c>
      <c r="V374">
        <v>10.199999999999999</v>
      </c>
      <c r="W374" s="90">
        <v>0.1</v>
      </c>
      <c r="X374" s="90"/>
      <c r="Y374" s="71"/>
      <c r="Z374" s="71"/>
      <c r="AA374" s="71"/>
      <c r="AB374" s="71"/>
      <c r="AC374" s="71"/>
      <c r="AD374" s="71"/>
      <c r="AE374" s="71"/>
      <c r="AF374" s="71"/>
      <c r="AG374" s="82">
        <v>0</v>
      </c>
      <c r="AH374" s="76"/>
      <c r="AI374" s="76"/>
      <c r="AJ374" s="76"/>
      <c r="AK374" s="71">
        <v>0.15</v>
      </c>
      <c r="AL374" s="88">
        <v>3.4139420030223099E-2</v>
      </c>
      <c r="AM374" s="89">
        <f t="shared" si="5"/>
        <v>0.22759613353482067</v>
      </c>
      <c r="AN374" s="78"/>
    </row>
    <row r="375" spans="1:40" x14ac:dyDescent="0.25">
      <c r="A375" t="s">
        <v>44</v>
      </c>
      <c r="B375" t="s">
        <v>45</v>
      </c>
      <c r="C375" s="121" t="s">
        <v>174</v>
      </c>
      <c r="D375" t="s">
        <v>192</v>
      </c>
      <c r="E375" t="s">
        <v>59</v>
      </c>
      <c r="F375">
        <v>2</v>
      </c>
      <c r="G375">
        <v>73</v>
      </c>
      <c r="H375" s="86">
        <v>45963.780221238398</v>
      </c>
      <c r="I375" s="86">
        <v>45963.852405729202</v>
      </c>
      <c r="J375" s="87">
        <v>1.7324277777777799</v>
      </c>
      <c r="K375" s="69" t="s">
        <v>274</v>
      </c>
      <c r="L375" s="69"/>
      <c r="M375" s="71"/>
      <c r="N375" s="71"/>
      <c r="O375" s="71"/>
      <c r="P375" s="71" t="s">
        <v>275</v>
      </c>
      <c r="Q375" s="88">
        <v>6.6798953303219702E-3</v>
      </c>
      <c r="R375" s="89" t="s">
        <v>276</v>
      </c>
      <c r="S375" s="89"/>
      <c r="T375">
        <v>5.8</v>
      </c>
      <c r="U375" s="76">
        <v>0.2</v>
      </c>
      <c r="V375">
        <v>10</v>
      </c>
      <c r="W375" s="90">
        <v>0.1</v>
      </c>
      <c r="X375" s="90"/>
      <c r="Y375" s="71"/>
      <c r="Z375" s="71"/>
      <c r="AA375" s="71"/>
      <c r="AB375" s="71"/>
      <c r="AC375" s="71"/>
      <c r="AD375" s="71"/>
      <c r="AE375" s="71"/>
      <c r="AF375" s="71"/>
      <c r="AG375" s="82">
        <v>0</v>
      </c>
      <c r="AH375" s="76"/>
      <c r="AI375" s="76"/>
      <c r="AJ375" s="76"/>
      <c r="AK375" s="71">
        <v>0.15</v>
      </c>
      <c r="AL375" s="88">
        <v>3.4139420030223099E-2</v>
      </c>
      <c r="AM375" s="89">
        <f t="shared" si="5"/>
        <v>0.22759613353482067</v>
      </c>
      <c r="AN375" s="78"/>
    </row>
    <row r="376" spans="1:40" x14ac:dyDescent="0.25">
      <c r="A376" t="s">
        <v>44</v>
      </c>
      <c r="B376" t="s">
        <v>45</v>
      </c>
      <c r="C376" s="121" t="s">
        <v>174</v>
      </c>
      <c r="D376" t="s">
        <v>192</v>
      </c>
      <c r="E376" t="s">
        <v>59</v>
      </c>
      <c r="F376">
        <v>2</v>
      </c>
      <c r="G376">
        <v>74</v>
      </c>
      <c r="H376" s="86">
        <v>45963.852405729202</v>
      </c>
      <c r="I376" s="86">
        <v>45963.924583368098</v>
      </c>
      <c r="J376" s="87">
        <v>1.7322633333333299</v>
      </c>
      <c r="K376" s="69" t="s">
        <v>274</v>
      </c>
      <c r="L376" s="69"/>
      <c r="M376" s="71"/>
      <c r="N376" s="71"/>
      <c r="O376" s="71"/>
      <c r="P376" s="71" t="s">
        <v>275</v>
      </c>
      <c r="Q376" s="88">
        <v>4.3572606811289397E-3</v>
      </c>
      <c r="R376" s="89" t="s">
        <v>276</v>
      </c>
      <c r="S376" s="89"/>
      <c r="T376">
        <v>6.4</v>
      </c>
      <c r="U376" s="76">
        <v>0.2</v>
      </c>
      <c r="V376">
        <v>9.9</v>
      </c>
      <c r="W376" s="90">
        <v>0.1</v>
      </c>
      <c r="X376" s="90"/>
      <c r="Y376" s="71"/>
      <c r="Z376" s="71"/>
      <c r="AA376" s="71"/>
      <c r="AB376" s="71"/>
      <c r="AC376" s="71"/>
      <c r="AD376" s="71"/>
      <c r="AE376" s="71"/>
      <c r="AF376" s="71"/>
      <c r="AG376" s="82">
        <v>0</v>
      </c>
      <c r="AH376" s="76"/>
      <c r="AI376" s="76"/>
      <c r="AJ376" s="76"/>
      <c r="AK376" s="71">
        <v>0.15</v>
      </c>
      <c r="AL376" s="88">
        <v>3.4139420030223099E-2</v>
      </c>
      <c r="AM376" s="89">
        <f t="shared" si="5"/>
        <v>0.22759613353482067</v>
      </c>
      <c r="AN376" s="78"/>
    </row>
    <row r="377" spans="1:40" x14ac:dyDescent="0.25">
      <c r="A377" t="s">
        <v>44</v>
      </c>
      <c r="B377" t="s">
        <v>45</v>
      </c>
      <c r="C377" s="121" t="s">
        <v>174</v>
      </c>
      <c r="D377" t="s">
        <v>192</v>
      </c>
      <c r="E377" t="s">
        <v>59</v>
      </c>
      <c r="F377">
        <v>2</v>
      </c>
      <c r="G377">
        <v>75</v>
      </c>
      <c r="H377" s="86">
        <v>45963.924583368098</v>
      </c>
      <c r="I377" s="86">
        <v>45963.996775844898</v>
      </c>
      <c r="J377" s="87">
        <v>1.73261944444444</v>
      </c>
      <c r="K377" s="69" t="s">
        <v>274</v>
      </c>
      <c r="L377" s="69"/>
      <c r="M377" s="71"/>
      <c r="N377" s="71"/>
      <c r="O377" s="71"/>
      <c r="P377" s="71" t="s">
        <v>275</v>
      </c>
      <c r="Q377" s="88">
        <v>4.7908205913275497E-3</v>
      </c>
      <c r="R377" s="89" t="s">
        <v>276</v>
      </c>
      <c r="S377" s="89"/>
      <c r="T377">
        <v>6.7</v>
      </c>
      <c r="U377" s="76">
        <v>0.2</v>
      </c>
      <c r="V377">
        <v>9.6999999999999993</v>
      </c>
      <c r="W377" s="90">
        <v>0.1</v>
      </c>
      <c r="X377" s="90"/>
      <c r="Y377" s="71"/>
      <c r="Z377" s="71"/>
      <c r="AA377" s="71"/>
      <c r="AB377" s="71"/>
      <c r="AC377" s="71"/>
      <c r="AD377" s="71"/>
      <c r="AE377" s="71"/>
      <c r="AF377" s="71"/>
      <c r="AG377" s="82">
        <v>0</v>
      </c>
      <c r="AH377" s="76"/>
      <c r="AI377" s="76"/>
      <c r="AJ377" s="76"/>
      <c r="AK377" s="71">
        <v>0.15</v>
      </c>
      <c r="AL377" s="88">
        <v>3.4139420030223099E-2</v>
      </c>
      <c r="AM377" s="89">
        <f t="shared" si="5"/>
        <v>0.22759613353482067</v>
      </c>
      <c r="AN377" s="78"/>
    </row>
    <row r="378" spans="1:40" x14ac:dyDescent="0.25">
      <c r="A378" t="s">
        <v>44</v>
      </c>
      <c r="B378" t="s">
        <v>45</v>
      </c>
      <c r="C378" s="121" t="s">
        <v>174</v>
      </c>
      <c r="D378" t="s">
        <v>192</v>
      </c>
      <c r="E378" t="s">
        <v>59</v>
      </c>
      <c r="F378">
        <v>2</v>
      </c>
      <c r="G378">
        <v>76</v>
      </c>
      <c r="H378" s="86">
        <v>45963.996775844898</v>
      </c>
      <c r="I378" s="86">
        <v>45964.068953229202</v>
      </c>
      <c r="J378" s="87">
        <v>1.7322572222222199</v>
      </c>
      <c r="K378" s="69" t="s">
        <v>274</v>
      </c>
      <c r="L378" s="69"/>
      <c r="M378" s="71"/>
      <c r="N378" s="71"/>
      <c r="O378" s="71"/>
      <c r="P378" s="71" t="s">
        <v>275</v>
      </c>
      <c r="Q378" s="88">
        <v>5.2262264760260203E-3</v>
      </c>
      <c r="R378" s="89" t="s">
        <v>276</v>
      </c>
      <c r="S378" s="89"/>
      <c r="T378">
        <v>6.8</v>
      </c>
      <c r="U378" s="76">
        <v>0.2</v>
      </c>
      <c r="V378">
        <v>9.6</v>
      </c>
      <c r="W378" s="90">
        <v>0.1</v>
      </c>
      <c r="X378" s="90"/>
      <c r="Y378" s="71"/>
      <c r="Z378" s="71"/>
      <c r="AA378" s="71"/>
      <c r="AB378" s="71"/>
      <c r="AC378" s="71"/>
      <c r="AD378" s="71"/>
      <c r="AE378" s="71"/>
      <c r="AF378" s="71"/>
      <c r="AG378" s="82">
        <v>0</v>
      </c>
      <c r="AH378" s="76"/>
      <c r="AI378" s="76"/>
      <c r="AJ378" s="76"/>
      <c r="AK378" s="71">
        <v>0.15</v>
      </c>
      <c r="AL378" s="88">
        <v>3.4139420030223099E-2</v>
      </c>
      <c r="AM378" s="89">
        <f t="shared" si="5"/>
        <v>0.22759613353482067</v>
      </c>
      <c r="AN378" s="78"/>
    </row>
    <row r="379" spans="1:40" x14ac:dyDescent="0.25">
      <c r="A379" t="s">
        <v>44</v>
      </c>
      <c r="B379" t="s">
        <v>45</v>
      </c>
      <c r="C379" s="121" t="s">
        <v>174</v>
      </c>
      <c r="D379" t="s">
        <v>192</v>
      </c>
      <c r="E379" t="s">
        <v>59</v>
      </c>
      <c r="F379">
        <v>2</v>
      </c>
      <c r="G379">
        <v>77</v>
      </c>
      <c r="H379" s="86">
        <v>45964.068953229202</v>
      </c>
      <c r="I379" s="86">
        <v>45964.141131365701</v>
      </c>
      <c r="J379" s="87">
        <v>1.7322752777777799</v>
      </c>
      <c r="K379" s="69" t="s">
        <v>274</v>
      </c>
      <c r="L379" s="69"/>
      <c r="M379" s="71"/>
      <c r="N379" s="71"/>
      <c r="O379" s="71"/>
      <c r="P379" s="71" t="s">
        <v>275</v>
      </c>
      <c r="Q379" s="88">
        <v>6.8820345172509404E-3</v>
      </c>
      <c r="R379" s="89" t="s">
        <v>276</v>
      </c>
      <c r="S379" s="89"/>
      <c r="T379">
        <v>6.7</v>
      </c>
      <c r="U379" s="76">
        <v>0.2</v>
      </c>
      <c r="V379">
        <v>9.5</v>
      </c>
      <c r="W379" s="90">
        <v>0.1</v>
      </c>
      <c r="X379" s="90"/>
      <c r="Y379" s="71"/>
      <c r="Z379" s="71"/>
      <c r="AA379" s="71"/>
      <c r="AB379" s="71"/>
      <c r="AC379" s="71"/>
      <c r="AD379" s="71"/>
      <c r="AE379" s="71"/>
      <c r="AF379" s="71"/>
      <c r="AG379" s="82">
        <v>0</v>
      </c>
      <c r="AH379" s="76"/>
      <c r="AI379" s="76"/>
      <c r="AJ379" s="76"/>
      <c r="AK379" s="71">
        <v>0.15</v>
      </c>
      <c r="AL379" s="88">
        <v>3.4139420030223099E-2</v>
      </c>
      <c r="AM379" s="89">
        <f t="shared" si="5"/>
        <v>0.22759613353482067</v>
      </c>
      <c r="AN379" s="78"/>
    </row>
    <row r="380" spans="1:40" x14ac:dyDescent="0.25">
      <c r="A380" t="s">
        <v>44</v>
      </c>
      <c r="B380" t="s">
        <v>45</v>
      </c>
      <c r="C380" s="121" t="s">
        <v>174</v>
      </c>
      <c r="D380" t="s">
        <v>192</v>
      </c>
      <c r="E380" t="s">
        <v>59</v>
      </c>
      <c r="F380">
        <v>2</v>
      </c>
      <c r="G380">
        <v>78</v>
      </c>
      <c r="H380" s="86">
        <v>45964.141131365701</v>
      </c>
      <c r="I380" s="86">
        <v>45964.213323807897</v>
      </c>
      <c r="J380" s="87">
        <v>1.7326186111111099</v>
      </c>
      <c r="K380" s="69" t="s">
        <v>274</v>
      </c>
      <c r="L380" s="69"/>
      <c r="M380" s="71"/>
      <c r="N380" s="71"/>
      <c r="O380" s="71"/>
      <c r="P380" s="71" t="s">
        <v>275</v>
      </c>
      <c r="Q380" s="88">
        <v>8.5472599659160795E-3</v>
      </c>
      <c r="R380" s="89" t="s">
        <v>276</v>
      </c>
      <c r="S380" s="89"/>
      <c r="T380">
        <v>6.7</v>
      </c>
      <c r="U380" s="76">
        <v>0.2</v>
      </c>
      <c r="V380">
        <v>9.5</v>
      </c>
      <c r="W380" s="90">
        <v>0.1</v>
      </c>
      <c r="X380" s="90"/>
      <c r="Y380" s="71"/>
      <c r="Z380" s="71"/>
      <c r="AA380" s="71"/>
      <c r="AB380" s="71"/>
      <c r="AC380" s="71"/>
      <c r="AD380" s="71"/>
      <c r="AE380" s="71"/>
      <c r="AF380" s="71"/>
      <c r="AG380" s="82">
        <v>0</v>
      </c>
      <c r="AH380" s="76"/>
      <c r="AI380" s="76"/>
      <c r="AJ380" s="76"/>
      <c r="AK380" s="71">
        <v>0.15</v>
      </c>
      <c r="AL380" s="88">
        <v>3.4139420030223099E-2</v>
      </c>
      <c r="AM380" s="89">
        <f t="shared" si="5"/>
        <v>0.22759613353482067</v>
      </c>
      <c r="AN380" s="78"/>
    </row>
    <row r="381" spans="1:40" x14ac:dyDescent="0.25">
      <c r="A381" t="s">
        <v>44</v>
      </c>
      <c r="B381" t="s">
        <v>45</v>
      </c>
      <c r="C381" s="121" t="s">
        <v>174</v>
      </c>
      <c r="D381" t="s">
        <v>192</v>
      </c>
      <c r="E381" t="s">
        <v>59</v>
      </c>
      <c r="F381">
        <v>2</v>
      </c>
      <c r="G381">
        <v>79</v>
      </c>
      <c r="H381" s="86">
        <v>45964.213323807897</v>
      </c>
      <c r="I381" s="86">
        <v>45964.285518472199</v>
      </c>
      <c r="J381" s="87">
        <v>1.7326719444444401</v>
      </c>
      <c r="K381" s="69" t="s">
        <v>274</v>
      </c>
      <c r="L381" s="69"/>
      <c r="M381" s="71"/>
      <c r="N381" s="71"/>
      <c r="O381" s="71"/>
      <c r="P381" s="71" t="s">
        <v>275</v>
      </c>
      <c r="Q381" s="88">
        <v>5.9656270755009799E-3</v>
      </c>
      <c r="R381" s="89" t="s">
        <v>276</v>
      </c>
      <c r="S381" s="89"/>
      <c r="T381">
        <v>6.5</v>
      </c>
      <c r="U381" s="76">
        <v>0.2</v>
      </c>
      <c r="V381">
        <v>9.4</v>
      </c>
      <c r="W381" s="90">
        <v>0.1</v>
      </c>
      <c r="X381" s="90"/>
      <c r="Y381" s="71"/>
      <c r="Z381" s="71"/>
      <c r="AA381" s="71"/>
      <c r="AB381" s="71"/>
      <c r="AC381" s="71"/>
      <c r="AD381" s="71"/>
      <c r="AE381" s="71"/>
      <c r="AF381" s="71"/>
      <c r="AG381" s="82">
        <v>0</v>
      </c>
      <c r="AH381" s="76"/>
      <c r="AI381" s="76"/>
      <c r="AJ381" s="76"/>
      <c r="AK381" s="71">
        <v>0.15</v>
      </c>
      <c r="AL381" s="88">
        <v>3.4139420030223099E-2</v>
      </c>
      <c r="AM381" s="89">
        <f t="shared" si="5"/>
        <v>0.22759613353482067</v>
      </c>
      <c r="AN381" s="78"/>
    </row>
    <row r="382" spans="1:40" x14ac:dyDescent="0.25">
      <c r="A382" t="s">
        <v>44</v>
      </c>
      <c r="B382" t="s">
        <v>45</v>
      </c>
      <c r="C382" s="121" t="s">
        <v>174</v>
      </c>
      <c r="D382" t="s">
        <v>192</v>
      </c>
      <c r="E382" t="s">
        <v>59</v>
      </c>
      <c r="F382">
        <v>2</v>
      </c>
      <c r="G382">
        <v>80</v>
      </c>
      <c r="H382" s="86">
        <v>45964.285518472199</v>
      </c>
      <c r="I382" s="86">
        <v>45964.3576887616</v>
      </c>
      <c r="J382" s="87">
        <v>1.73208694444444</v>
      </c>
      <c r="K382" s="69" t="s">
        <v>274</v>
      </c>
      <c r="L382" s="69"/>
      <c r="M382" s="71"/>
      <c r="N382" s="71"/>
      <c r="O382" s="71"/>
      <c r="P382" s="71" t="s">
        <v>275</v>
      </c>
      <c r="Q382" s="88">
        <v>7.61358615988726E-3</v>
      </c>
      <c r="R382" s="89" t="s">
        <v>276</v>
      </c>
      <c r="S382" s="89"/>
      <c r="T382">
        <v>5.3</v>
      </c>
      <c r="U382" s="76">
        <v>0.2</v>
      </c>
      <c r="V382">
        <v>9.3000000000000007</v>
      </c>
      <c r="W382" s="90">
        <v>0.1</v>
      </c>
      <c r="X382" s="90"/>
      <c r="Y382" s="71"/>
      <c r="Z382" s="71"/>
      <c r="AA382" s="71"/>
      <c r="AB382" s="71"/>
      <c r="AC382" s="71"/>
      <c r="AD382" s="71"/>
      <c r="AE382" s="71"/>
      <c r="AF382" s="71"/>
      <c r="AG382" s="82">
        <v>0</v>
      </c>
      <c r="AH382" s="76"/>
      <c r="AI382" s="76"/>
      <c r="AJ382" s="76"/>
      <c r="AK382" s="71">
        <v>0.15</v>
      </c>
      <c r="AL382" s="88">
        <v>3.4139420030223099E-2</v>
      </c>
      <c r="AM382" s="89">
        <f t="shared" si="5"/>
        <v>0.22759613353482067</v>
      </c>
      <c r="AN382" s="78"/>
    </row>
    <row r="383" spans="1:40" x14ac:dyDescent="0.25">
      <c r="A383" t="s">
        <v>44</v>
      </c>
      <c r="B383" t="s">
        <v>45</v>
      </c>
      <c r="C383" s="121" t="s">
        <v>174</v>
      </c>
      <c r="D383" t="s">
        <v>192</v>
      </c>
      <c r="E383" t="s">
        <v>59</v>
      </c>
      <c r="F383">
        <v>2</v>
      </c>
      <c r="G383">
        <v>81</v>
      </c>
      <c r="H383" s="86">
        <v>45964.3576887616</v>
      </c>
      <c r="I383" s="86">
        <v>45964.429871840301</v>
      </c>
      <c r="J383" s="87">
        <v>1.7323938888888899</v>
      </c>
      <c r="K383" s="69" t="s">
        <v>274</v>
      </c>
      <c r="L383" s="69"/>
      <c r="M383" s="71"/>
      <c r="N383" s="71"/>
      <c r="O383" s="71"/>
      <c r="P383" s="71" t="s">
        <v>275</v>
      </c>
      <c r="Q383" s="88">
        <v>1.7601238489421699E-2</v>
      </c>
      <c r="R383" s="89" t="s">
        <v>276</v>
      </c>
      <c r="S383" s="89"/>
      <c r="T383">
        <v>7.9</v>
      </c>
      <c r="U383" s="76">
        <v>0.2</v>
      </c>
      <c r="V383">
        <v>9.1999999999999993</v>
      </c>
      <c r="W383" s="90">
        <v>0.1</v>
      </c>
      <c r="X383" s="90"/>
      <c r="Y383" s="71"/>
      <c r="Z383" s="71"/>
      <c r="AA383" s="71"/>
      <c r="AB383" s="71"/>
      <c r="AC383" s="71"/>
      <c r="AD383" s="71"/>
      <c r="AE383" s="71"/>
      <c r="AF383" s="71"/>
      <c r="AG383" s="82">
        <v>0</v>
      </c>
      <c r="AH383" s="76"/>
      <c r="AI383" s="76"/>
      <c r="AJ383" s="76"/>
      <c r="AK383" s="71">
        <v>0.15</v>
      </c>
      <c r="AL383" s="88">
        <v>3.4139420030223099E-2</v>
      </c>
      <c r="AM383" s="89">
        <f t="shared" si="5"/>
        <v>0.22759613353482067</v>
      </c>
      <c r="AN383" s="78"/>
    </row>
    <row r="384" spans="1:40" x14ac:dyDescent="0.25">
      <c r="A384" t="s">
        <v>44</v>
      </c>
      <c r="B384" t="s">
        <v>45</v>
      </c>
      <c r="C384" s="121" t="s">
        <v>174</v>
      </c>
      <c r="D384" t="s">
        <v>192</v>
      </c>
      <c r="E384" t="s">
        <v>59</v>
      </c>
      <c r="F384">
        <v>2</v>
      </c>
      <c r="G384">
        <v>82</v>
      </c>
      <c r="H384" s="86">
        <v>45964.429871840301</v>
      </c>
      <c r="I384" s="86">
        <v>45964.502045567097</v>
      </c>
      <c r="J384" s="87">
        <v>1.73216944444445</v>
      </c>
      <c r="K384" s="69" t="s">
        <v>274</v>
      </c>
      <c r="L384" s="69"/>
      <c r="M384" s="71"/>
      <c r="N384" s="71"/>
      <c r="O384" s="71"/>
      <c r="P384" s="71" t="s">
        <v>275</v>
      </c>
      <c r="Q384" s="88">
        <v>4.4904114549593803E-2</v>
      </c>
      <c r="R384" s="89" t="s">
        <v>276</v>
      </c>
      <c r="S384" s="89"/>
      <c r="T384">
        <v>9.3000000000000007</v>
      </c>
      <c r="U384" s="76">
        <v>0.2</v>
      </c>
      <c r="V384">
        <v>9.1999999999999993</v>
      </c>
      <c r="W384" s="90">
        <v>0.1</v>
      </c>
      <c r="X384" s="90"/>
      <c r="Y384" s="71"/>
      <c r="Z384" s="71"/>
      <c r="AA384" s="71"/>
      <c r="AB384" s="71"/>
      <c r="AC384" s="71"/>
      <c r="AD384" s="71"/>
      <c r="AE384" s="71"/>
      <c r="AF384" s="71"/>
      <c r="AG384" s="82">
        <v>0</v>
      </c>
      <c r="AH384" s="76"/>
      <c r="AI384" s="76"/>
      <c r="AJ384" s="76"/>
      <c r="AK384" s="71">
        <v>0.15</v>
      </c>
      <c r="AL384" s="88">
        <v>3.4139420030223099E-2</v>
      </c>
      <c r="AM384" s="89">
        <f t="shared" si="5"/>
        <v>0.22759613353482067</v>
      </c>
      <c r="AN384" s="78"/>
    </row>
    <row r="385" spans="1:40" x14ac:dyDescent="0.25">
      <c r="A385" t="s">
        <v>44</v>
      </c>
      <c r="B385" t="s">
        <v>45</v>
      </c>
      <c r="C385" s="121" t="s">
        <v>174</v>
      </c>
      <c r="D385" t="s">
        <v>192</v>
      </c>
      <c r="E385" t="s">
        <v>59</v>
      </c>
      <c r="F385">
        <v>2</v>
      </c>
      <c r="G385">
        <v>83</v>
      </c>
      <c r="H385" s="86">
        <v>45964.502045567097</v>
      </c>
      <c r="I385" s="86">
        <v>45964.574235868102</v>
      </c>
      <c r="J385" s="87">
        <v>1.7325672222222199</v>
      </c>
      <c r="K385" s="69" t="s">
        <v>274</v>
      </c>
      <c r="L385" s="69"/>
      <c r="M385" s="71"/>
      <c r="N385" s="71"/>
      <c r="O385" s="71"/>
      <c r="P385" s="71" t="s">
        <v>275</v>
      </c>
      <c r="Q385" s="88">
        <v>3.9637354092734799E-2</v>
      </c>
      <c r="R385" s="89" t="s">
        <v>276</v>
      </c>
      <c r="S385" s="89"/>
      <c r="T385">
        <v>10.5</v>
      </c>
      <c r="U385" s="76">
        <v>0.2</v>
      </c>
      <c r="V385">
        <v>9.1999999999999993</v>
      </c>
      <c r="W385" s="90">
        <v>0.1</v>
      </c>
      <c r="X385" s="90"/>
      <c r="Y385" s="71"/>
      <c r="Z385" s="71"/>
      <c r="AA385" s="71"/>
      <c r="AB385" s="71"/>
      <c r="AC385" s="71"/>
      <c r="AD385" s="71"/>
      <c r="AE385" s="71"/>
      <c r="AF385" s="71"/>
      <c r="AG385" s="82">
        <v>0</v>
      </c>
      <c r="AH385" s="76"/>
      <c r="AI385" s="76"/>
      <c r="AJ385" s="76"/>
      <c r="AK385" s="71">
        <v>0.15</v>
      </c>
      <c r="AL385" s="88">
        <v>3.4139420030223099E-2</v>
      </c>
      <c r="AM385" s="89">
        <f t="shared" si="5"/>
        <v>0.22759613353482067</v>
      </c>
      <c r="AN385" s="78"/>
    </row>
    <row r="386" spans="1:40" x14ac:dyDescent="0.25">
      <c r="A386" t="s">
        <v>44</v>
      </c>
      <c r="B386" t="s">
        <v>45</v>
      </c>
      <c r="C386" s="121" t="s">
        <v>174</v>
      </c>
      <c r="D386" t="s">
        <v>192</v>
      </c>
      <c r="E386" t="s">
        <v>59</v>
      </c>
      <c r="F386">
        <v>2</v>
      </c>
      <c r="G386">
        <v>84</v>
      </c>
      <c r="H386" s="86">
        <v>45964.574235868102</v>
      </c>
      <c r="I386" s="86">
        <v>45964.646417962998</v>
      </c>
      <c r="J386" s="87">
        <v>1.7323702777777801</v>
      </c>
      <c r="K386" s="69" t="s">
        <v>274</v>
      </c>
      <c r="L386" s="69"/>
      <c r="M386" s="71"/>
      <c r="N386" s="71"/>
      <c r="O386" s="71"/>
      <c r="P386" s="71" t="s">
        <v>275</v>
      </c>
      <c r="Q386" s="88">
        <v>2.2788893107105801E-2</v>
      </c>
      <c r="R386" s="89" t="s">
        <v>276</v>
      </c>
      <c r="S386" s="89"/>
      <c r="T386">
        <v>10.1</v>
      </c>
      <c r="U386" s="76">
        <v>0.2</v>
      </c>
      <c r="V386">
        <v>9.4</v>
      </c>
      <c r="W386" s="90">
        <v>0.1</v>
      </c>
      <c r="X386" s="90"/>
      <c r="Y386" s="71"/>
      <c r="Z386" s="71"/>
      <c r="AA386" s="71"/>
      <c r="AB386" s="71"/>
      <c r="AC386" s="71"/>
      <c r="AD386" s="71"/>
      <c r="AE386" s="71"/>
      <c r="AF386" s="71"/>
      <c r="AG386" s="82">
        <v>0.3</v>
      </c>
      <c r="AH386" s="76"/>
      <c r="AI386" s="76"/>
      <c r="AJ386" s="76"/>
      <c r="AK386" s="71">
        <v>0.15</v>
      </c>
      <c r="AL386" s="88">
        <v>3.4139420030223099E-2</v>
      </c>
      <c r="AM386" s="89">
        <f t="shared" si="5"/>
        <v>0.22759613353482067</v>
      </c>
      <c r="AN386" s="78"/>
    </row>
    <row r="387" spans="1:40" x14ac:dyDescent="0.25">
      <c r="A387" t="s">
        <v>44</v>
      </c>
      <c r="B387" t="s">
        <v>45</v>
      </c>
      <c r="C387" s="121" t="s">
        <v>174</v>
      </c>
      <c r="D387" t="s">
        <v>192</v>
      </c>
      <c r="E387" t="s">
        <v>59</v>
      </c>
      <c r="F387">
        <v>2</v>
      </c>
      <c r="G387">
        <v>85</v>
      </c>
      <c r="H387" s="86">
        <v>45964.646417962998</v>
      </c>
      <c r="I387" s="86">
        <v>45964.718599074098</v>
      </c>
      <c r="J387" s="87">
        <v>1.73234666666667</v>
      </c>
      <c r="K387" s="69" t="s">
        <v>274</v>
      </c>
      <c r="L387" s="69"/>
      <c r="M387" s="71"/>
      <c r="N387" s="71"/>
      <c r="O387" s="71"/>
      <c r="P387" s="71" t="s">
        <v>275</v>
      </c>
      <c r="Q387" s="88">
        <v>8.3540990577699193E-3</v>
      </c>
      <c r="R387" s="89" t="s">
        <v>276</v>
      </c>
      <c r="S387" s="89"/>
      <c r="T387">
        <v>9.3000000000000007</v>
      </c>
      <c r="U387" s="76">
        <v>0.2</v>
      </c>
      <c r="V387">
        <v>9.6</v>
      </c>
      <c r="W387" s="90">
        <v>0.1</v>
      </c>
      <c r="X387" s="90"/>
      <c r="Y387" s="71"/>
      <c r="Z387" s="71"/>
      <c r="AA387" s="71"/>
      <c r="AB387" s="71"/>
      <c r="AC387" s="71"/>
      <c r="AD387" s="71"/>
      <c r="AE387" s="71"/>
      <c r="AF387" s="71"/>
      <c r="AG387" s="82">
        <v>0.3</v>
      </c>
      <c r="AH387" s="76"/>
      <c r="AI387" s="76"/>
      <c r="AJ387" s="76"/>
      <c r="AK387" s="71">
        <v>0.15</v>
      </c>
      <c r="AL387" s="88">
        <v>3.4139420030223099E-2</v>
      </c>
      <c r="AM387" s="89">
        <f t="shared" si="5"/>
        <v>0.22759613353482067</v>
      </c>
      <c r="AN387" s="78"/>
    </row>
    <row r="388" spans="1:40" x14ac:dyDescent="0.25">
      <c r="A388" t="s">
        <v>44</v>
      </c>
      <c r="B388" t="s">
        <v>45</v>
      </c>
      <c r="C388" s="121" t="s">
        <v>174</v>
      </c>
      <c r="D388" t="s">
        <v>192</v>
      </c>
      <c r="E388" t="s">
        <v>59</v>
      </c>
      <c r="F388">
        <v>2</v>
      </c>
      <c r="G388">
        <v>86</v>
      </c>
      <c r="H388" s="86">
        <v>45964.718599074098</v>
      </c>
      <c r="I388" s="86">
        <v>45964.7908010764</v>
      </c>
      <c r="J388" s="87">
        <v>1.7328480555555601</v>
      </c>
      <c r="K388" s="69" t="s">
        <v>274</v>
      </c>
      <c r="L388" s="69"/>
      <c r="M388" s="71"/>
      <c r="N388" s="71"/>
      <c r="O388" s="71"/>
      <c r="P388" s="71" t="s">
        <v>275</v>
      </c>
      <c r="Q388" s="88">
        <v>5.99567551998625E-3</v>
      </c>
      <c r="R388" s="89" t="s">
        <v>276</v>
      </c>
      <c r="S388" s="89"/>
      <c r="T388">
        <v>9.3000000000000007</v>
      </c>
      <c r="U388" s="76">
        <v>0.2</v>
      </c>
      <c r="V388">
        <v>9.6</v>
      </c>
      <c r="W388" s="90">
        <v>0.1</v>
      </c>
      <c r="X388" s="90"/>
      <c r="Y388" s="71"/>
      <c r="Z388" s="71"/>
      <c r="AA388" s="71"/>
      <c r="AB388" s="71"/>
      <c r="AC388" s="71"/>
      <c r="AD388" s="71"/>
      <c r="AE388" s="71"/>
      <c r="AF388" s="71"/>
      <c r="AG388" s="82">
        <v>0.2</v>
      </c>
      <c r="AH388" s="76"/>
      <c r="AI388" s="76"/>
      <c r="AJ388" s="76"/>
      <c r="AK388" s="71">
        <v>0.15</v>
      </c>
      <c r="AL388" s="88">
        <v>3.4139420030223099E-2</v>
      </c>
      <c r="AM388" s="89">
        <f t="shared" si="5"/>
        <v>0.22759613353482067</v>
      </c>
      <c r="AN388" s="78"/>
    </row>
    <row r="389" spans="1:40" x14ac:dyDescent="0.25">
      <c r="A389" t="s">
        <v>44</v>
      </c>
      <c r="B389" t="s">
        <v>45</v>
      </c>
      <c r="C389" s="121" t="s">
        <v>174</v>
      </c>
      <c r="D389" t="s">
        <v>192</v>
      </c>
      <c r="E389" t="s">
        <v>59</v>
      </c>
      <c r="F389">
        <v>2</v>
      </c>
      <c r="G389">
        <v>87</v>
      </c>
      <c r="H389" s="86">
        <v>45964.7908010764</v>
      </c>
      <c r="I389" s="86">
        <v>45964.862978715297</v>
      </c>
      <c r="J389" s="87">
        <v>1.7322633333333299</v>
      </c>
      <c r="K389" s="69" t="s">
        <v>274</v>
      </c>
      <c r="L389" s="69"/>
      <c r="M389" s="71"/>
      <c r="N389" s="71"/>
      <c r="O389" s="71"/>
      <c r="P389" s="71" t="s">
        <v>275</v>
      </c>
      <c r="Q389" s="88">
        <v>6.0329653765991698E-3</v>
      </c>
      <c r="R389" s="89" t="s">
        <v>276</v>
      </c>
      <c r="S389" s="89"/>
      <c r="T389">
        <v>10.4</v>
      </c>
      <c r="U389" s="76">
        <v>0.2</v>
      </c>
      <c r="V389">
        <v>9.6999999999999993</v>
      </c>
      <c r="W389" s="90">
        <v>0.1</v>
      </c>
      <c r="X389" s="90"/>
      <c r="Y389" s="71"/>
      <c r="Z389" s="71"/>
      <c r="AA389" s="71"/>
      <c r="AB389" s="71"/>
      <c r="AC389" s="71"/>
      <c r="AD389" s="71"/>
      <c r="AE389" s="71"/>
      <c r="AF389" s="71"/>
      <c r="AG389" s="82">
        <v>0.2</v>
      </c>
      <c r="AH389" s="76"/>
      <c r="AI389" s="76"/>
      <c r="AJ389" s="76"/>
      <c r="AK389" s="71">
        <v>0.15</v>
      </c>
      <c r="AL389" s="88">
        <v>3.4139420030223099E-2</v>
      </c>
      <c r="AM389" s="89">
        <f t="shared" ref="AM389:AM452" si="6">AL389/AK389</f>
        <v>0.22759613353482067</v>
      </c>
      <c r="AN389" s="78"/>
    </row>
    <row r="390" spans="1:40" x14ac:dyDescent="0.25">
      <c r="A390" t="s">
        <v>44</v>
      </c>
      <c r="B390" t="s">
        <v>45</v>
      </c>
      <c r="C390" s="121" t="s">
        <v>174</v>
      </c>
      <c r="D390" t="s">
        <v>192</v>
      </c>
      <c r="E390" t="s">
        <v>59</v>
      </c>
      <c r="F390">
        <v>2</v>
      </c>
      <c r="G390">
        <v>88</v>
      </c>
      <c r="H390" s="86">
        <v>45964.862978715297</v>
      </c>
      <c r="I390" s="86">
        <v>45964.935165844901</v>
      </c>
      <c r="J390" s="87">
        <v>1.7324911111111101</v>
      </c>
      <c r="K390" s="69" t="s">
        <v>274</v>
      </c>
      <c r="L390" s="69"/>
      <c r="M390" s="71"/>
      <c r="N390" s="71"/>
      <c r="O390" s="71"/>
      <c r="P390" s="71" t="s">
        <v>275</v>
      </c>
      <c r="Q390" s="88">
        <v>6.7231910283298904E-3</v>
      </c>
      <c r="R390" s="89" t="s">
        <v>276</v>
      </c>
      <c r="S390" s="89"/>
      <c r="T390">
        <v>11.4</v>
      </c>
      <c r="U390" s="76">
        <v>0.2</v>
      </c>
      <c r="V390">
        <v>9.6999999999999993</v>
      </c>
      <c r="W390" s="90">
        <v>0.1</v>
      </c>
      <c r="X390" s="90"/>
      <c r="Y390" s="71"/>
      <c r="Z390" s="71"/>
      <c r="AA390" s="71"/>
      <c r="AB390" s="71"/>
      <c r="AC390" s="71"/>
      <c r="AD390" s="71"/>
      <c r="AE390" s="71"/>
      <c r="AF390" s="71"/>
      <c r="AG390" s="82">
        <v>0.2</v>
      </c>
      <c r="AH390" s="76"/>
      <c r="AI390" s="76"/>
      <c r="AJ390" s="76"/>
      <c r="AK390" s="71">
        <v>0.15</v>
      </c>
      <c r="AL390" s="88">
        <v>3.4139420030223099E-2</v>
      </c>
      <c r="AM390" s="89">
        <f t="shared" si="6"/>
        <v>0.22759613353482067</v>
      </c>
      <c r="AN390" s="78"/>
    </row>
    <row r="391" spans="1:40" x14ac:dyDescent="0.25">
      <c r="A391" t="s">
        <v>44</v>
      </c>
      <c r="B391" t="s">
        <v>45</v>
      </c>
      <c r="C391" s="121" t="s">
        <v>174</v>
      </c>
      <c r="D391" t="s">
        <v>192</v>
      </c>
      <c r="E391" t="s">
        <v>59</v>
      </c>
      <c r="F391">
        <v>2</v>
      </c>
      <c r="G391">
        <v>89</v>
      </c>
      <c r="H391" s="86">
        <v>45964.935165844901</v>
      </c>
      <c r="I391" s="86">
        <v>45965.007353298599</v>
      </c>
      <c r="J391" s="87">
        <v>1.7324988888888899</v>
      </c>
      <c r="K391" s="69" t="s">
        <v>274</v>
      </c>
      <c r="L391" s="69"/>
      <c r="M391" s="71"/>
      <c r="N391" s="71"/>
      <c r="O391" s="71"/>
      <c r="P391" s="71" t="s">
        <v>275</v>
      </c>
      <c r="Q391" s="88">
        <v>9.4663769624104294E-3</v>
      </c>
      <c r="R391" s="89" t="s">
        <v>276</v>
      </c>
      <c r="S391" s="89"/>
      <c r="T391">
        <v>12</v>
      </c>
      <c r="U391" s="76">
        <v>0.2</v>
      </c>
      <c r="V391">
        <v>9.8000000000000007</v>
      </c>
      <c r="W391" s="90">
        <v>0.1</v>
      </c>
      <c r="X391" s="90"/>
      <c r="Y391" s="71"/>
      <c r="Z391" s="71"/>
      <c r="AA391" s="71"/>
      <c r="AB391" s="71"/>
      <c r="AC391" s="71"/>
      <c r="AD391" s="71"/>
      <c r="AE391" s="71"/>
      <c r="AF391" s="71"/>
      <c r="AG391" s="82">
        <v>0.3</v>
      </c>
      <c r="AH391" s="76"/>
      <c r="AI391" s="76"/>
      <c r="AJ391" s="76"/>
      <c r="AK391" s="71">
        <v>0.15</v>
      </c>
      <c r="AL391" s="88">
        <v>3.4139420030223099E-2</v>
      </c>
      <c r="AM391" s="89">
        <f t="shared" si="6"/>
        <v>0.22759613353482067</v>
      </c>
      <c r="AN391" s="78"/>
    </row>
    <row r="392" spans="1:40" x14ac:dyDescent="0.25">
      <c r="A392" t="s">
        <v>44</v>
      </c>
      <c r="B392" t="s">
        <v>45</v>
      </c>
      <c r="C392" s="121" t="s">
        <v>174</v>
      </c>
      <c r="D392" t="s">
        <v>192</v>
      </c>
      <c r="E392" t="s">
        <v>59</v>
      </c>
      <c r="F392">
        <v>2</v>
      </c>
      <c r="G392">
        <v>90</v>
      </c>
      <c r="H392" s="86">
        <v>45965.007353298599</v>
      </c>
      <c r="I392" s="86">
        <v>45965.079535393503</v>
      </c>
      <c r="J392" s="87">
        <v>1.7323702777777801</v>
      </c>
      <c r="K392" s="69" t="s">
        <v>274</v>
      </c>
      <c r="L392" s="69"/>
      <c r="M392" s="71"/>
      <c r="N392" s="71"/>
      <c r="O392" s="71"/>
      <c r="P392" s="71" t="s">
        <v>275</v>
      </c>
      <c r="Q392" s="88">
        <v>1.25497700315075E-2</v>
      </c>
      <c r="R392" s="89" t="s">
        <v>276</v>
      </c>
      <c r="S392" s="89"/>
      <c r="T392">
        <v>12.5</v>
      </c>
      <c r="U392" s="76">
        <v>0.2</v>
      </c>
      <c r="V392">
        <v>9.9</v>
      </c>
      <c r="W392" s="90">
        <v>0.1</v>
      </c>
      <c r="X392" s="90"/>
      <c r="Y392" s="71"/>
      <c r="Z392" s="71"/>
      <c r="AA392" s="71"/>
      <c r="AB392" s="71"/>
      <c r="AC392" s="71"/>
      <c r="AD392" s="71"/>
      <c r="AE392" s="71"/>
      <c r="AF392" s="71"/>
      <c r="AG392" s="82">
        <v>0.2</v>
      </c>
      <c r="AH392" s="76"/>
      <c r="AI392" s="76"/>
      <c r="AJ392" s="76"/>
      <c r="AK392" s="71">
        <v>0.15</v>
      </c>
      <c r="AL392" s="88">
        <v>3.4139420030223099E-2</v>
      </c>
      <c r="AM392" s="89">
        <f t="shared" si="6"/>
        <v>0.22759613353482067</v>
      </c>
      <c r="AN392" s="78"/>
    </row>
    <row r="393" spans="1:40" x14ac:dyDescent="0.25">
      <c r="A393" t="s">
        <v>44</v>
      </c>
      <c r="B393" t="s">
        <v>45</v>
      </c>
      <c r="C393" s="121" t="s">
        <v>174</v>
      </c>
      <c r="D393" t="s">
        <v>192</v>
      </c>
      <c r="E393" t="s">
        <v>59</v>
      </c>
      <c r="F393">
        <v>2</v>
      </c>
      <c r="G393">
        <v>91</v>
      </c>
      <c r="H393" s="86">
        <v>45965.079535393503</v>
      </c>
      <c r="I393" s="86">
        <v>45965.151712604202</v>
      </c>
      <c r="J393" s="87">
        <v>1.73225305555556</v>
      </c>
      <c r="K393" s="69" t="s">
        <v>274</v>
      </c>
      <c r="L393" s="69"/>
      <c r="M393" s="71"/>
      <c r="N393" s="71"/>
      <c r="O393" s="71"/>
      <c r="P393" s="71" t="s">
        <v>275</v>
      </c>
      <c r="Q393" s="88">
        <v>1.8955433505777799E-2</v>
      </c>
      <c r="R393" s="89" t="s">
        <v>276</v>
      </c>
      <c r="S393" s="89"/>
      <c r="T393">
        <v>12.6</v>
      </c>
      <c r="U393" s="76">
        <v>0.2</v>
      </c>
      <c r="V393">
        <v>10</v>
      </c>
      <c r="W393" s="90">
        <v>0.1</v>
      </c>
      <c r="X393" s="90"/>
      <c r="Y393" s="71"/>
      <c r="Z393" s="71"/>
      <c r="AA393" s="71"/>
      <c r="AB393" s="71"/>
      <c r="AC393" s="71"/>
      <c r="AD393" s="71"/>
      <c r="AE393" s="71"/>
      <c r="AF393" s="71"/>
      <c r="AG393" s="82">
        <v>0</v>
      </c>
      <c r="AH393" s="76"/>
      <c r="AI393" s="76"/>
      <c r="AJ393" s="76"/>
      <c r="AK393" s="71">
        <v>0.15</v>
      </c>
      <c r="AL393" s="88">
        <v>3.4139420030223099E-2</v>
      </c>
      <c r="AM393" s="89">
        <f t="shared" si="6"/>
        <v>0.22759613353482067</v>
      </c>
      <c r="AN393" s="78"/>
    </row>
    <row r="394" spans="1:40" x14ac:dyDescent="0.25">
      <c r="A394" t="s">
        <v>44</v>
      </c>
      <c r="B394" t="s">
        <v>45</v>
      </c>
      <c r="C394" s="121" t="s">
        <v>174</v>
      </c>
      <c r="D394" t="s">
        <v>192</v>
      </c>
      <c r="E394" t="s">
        <v>59</v>
      </c>
      <c r="F394">
        <v>2</v>
      </c>
      <c r="G394">
        <v>92</v>
      </c>
      <c r="H394" s="86">
        <v>45965.151712604202</v>
      </c>
      <c r="I394" s="86">
        <v>45965.223899282399</v>
      </c>
      <c r="J394" s="87">
        <v>1.7324802777777799</v>
      </c>
      <c r="K394" s="69" t="s">
        <v>274</v>
      </c>
      <c r="L394" s="69"/>
      <c r="M394" s="71"/>
      <c r="N394" s="71"/>
      <c r="O394" s="71"/>
      <c r="P394" s="71" t="s">
        <v>275</v>
      </c>
      <c r="Q394" s="88">
        <v>2.4264605804491499E-2</v>
      </c>
      <c r="R394" s="89" t="s">
        <v>276</v>
      </c>
      <c r="S394" s="89"/>
      <c r="T394">
        <v>12.6</v>
      </c>
      <c r="U394" s="76">
        <v>0.2</v>
      </c>
      <c r="V394">
        <v>10.199999999999999</v>
      </c>
      <c r="W394" s="90">
        <v>0.1</v>
      </c>
      <c r="X394" s="90"/>
      <c r="Y394" s="71"/>
      <c r="Z394" s="71"/>
      <c r="AA394" s="71"/>
      <c r="AB394" s="71"/>
      <c r="AC394" s="71"/>
      <c r="AD394" s="71"/>
      <c r="AE394" s="71"/>
      <c r="AF394" s="71"/>
      <c r="AG394" s="82">
        <v>0.2</v>
      </c>
      <c r="AH394" s="76"/>
      <c r="AI394" s="76"/>
      <c r="AJ394" s="76"/>
      <c r="AK394" s="71">
        <v>0.15</v>
      </c>
      <c r="AL394" s="88">
        <v>3.4139420030223099E-2</v>
      </c>
      <c r="AM394" s="89">
        <f t="shared" si="6"/>
        <v>0.22759613353482067</v>
      </c>
      <c r="AN394" s="78"/>
    </row>
    <row r="395" spans="1:40" x14ac:dyDescent="0.25">
      <c r="A395" t="s">
        <v>44</v>
      </c>
      <c r="B395" t="s">
        <v>45</v>
      </c>
      <c r="C395" s="121" t="s">
        <v>174</v>
      </c>
      <c r="D395" t="s">
        <v>192</v>
      </c>
      <c r="E395" t="s">
        <v>59</v>
      </c>
      <c r="F395">
        <v>2</v>
      </c>
      <c r="G395">
        <v>93</v>
      </c>
      <c r="H395" s="86">
        <v>45965.223899282399</v>
      </c>
      <c r="I395" s="86">
        <v>45965.296081446802</v>
      </c>
      <c r="J395" s="87">
        <v>1.7323719444444401</v>
      </c>
      <c r="K395" s="69" t="s">
        <v>274</v>
      </c>
      <c r="L395" s="69"/>
      <c r="M395" s="71"/>
      <c r="N395" s="71"/>
      <c r="O395" s="71"/>
      <c r="P395" s="71" t="s">
        <v>275</v>
      </c>
      <c r="Q395" s="88">
        <v>1.9159139531147E-2</v>
      </c>
      <c r="R395" s="89" t="s">
        <v>276</v>
      </c>
      <c r="S395" s="89"/>
      <c r="T395">
        <v>12.5</v>
      </c>
      <c r="U395" s="76">
        <v>0.2</v>
      </c>
      <c r="V395">
        <v>10.3</v>
      </c>
      <c r="W395" s="90">
        <v>0.1</v>
      </c>
      <c r="X395" s="90"/>
      <c r="Y395" s="71"/>
      <c r="Z395" s="71"/>
      <c r="AA395" s="71"/>
      <c r="AB395" s="71"/>
      <c r="AC395" s="71"/>
      <c r="AD395" s="71"/>
      <c r="AE395" s="71"/>
      <c r="AF395" s="71"/>
      <c r="AG395" s="82">
        <v>0</v>
      </c>
      <c r="AH395" s="76"/>
      <c r="AI395" s="76"/>
      <c r="AJ395" s="76"/>
      <c r="AK395" s="71">
        <v>0.15</v>
      </c>
      <c r="AL395" s="88">
        <v>3.4139420030223099E-2</v>
      </c>
      <c r="AM395" s="89">
        <f t="shared" si="6"/>
        <v>0.22759613353482067</v>
      </c>
      <c r="AN395" s="78"/>
    </row>
    <row r="396" spans="1:40" x14ac:dyDescent="0.25">
      <c r="A396" t="s">
        <v>44</v>
      </c>
      <c r="B396" t="s">
        <v>45</v>
      </c>
      <c r="C396" s="121" t="s">
        <v>174</v>
      </c>
      <c r="D396" t="s">
        <v>192</v>
      </c>
      <c r="E396" t="s">
        <v>59</v>
      </c>
      <c r="F396">
        <v>2</v>
      </c>
      <c r="G396">
        <v>94</v>
      </c>
      <c r="H396" s="86">
        <v>45965.296081446802</v>
      </c>
      <c r="I396" s="86">
        <v>45965.368290949104</v>
      </c>
      <c r="J396" s="87">
        <v>1.7330280555555599</v>
      </c>
      <c r="K396" s="69" t="s">
        <v>274</v>
      </c>
      <c r="L396" s="69"/>
      <c r="M396" s="71"/>
      <c r="N396" s="71"/>
      <c r="O396" s="71"/>
      <c r="P396" s="71" t="s">
        <v>275</v>
      </c>
      <c r="Q396" s="88">
        <v>1.88960480167947E-2</v>
      </c>
      <c r="R396" s="89" t="s">
        <v>276</v>
      </c>
      <c r="S396" s="89"/>
      <c r="T396">
        <v>12.4</v>
      </c>
      <c r="U396" s="76">
        <v>0.2</v>
      </c>
      <c r="V396">
        <v>10.4</v>
      </c>
      <c r="W396" s="90">
        <v>0.1</v>
      </c>
      <c r="X396" s="90"/>
      <c r="Y396" s="71"/>
      <c r="Z396" s="71"/>
      <c r="AA396" s="71"/>
      <c r="AB396" s="71"/>
      <c r="AC396" s="71"/>
      <c r="AD396" s="71"/>
      <c r="AE396" s="71"/>
      <c r="AF396" s="71"/>
      <c r="AG396" s="82">
        <v>0</v>
      </c>
      <c r="AH396" s="76"/>
      <c r="AI396" s="76"/>
      <c r="AJ396" s="76"/>
      <c r="AK396" s="71">
        <v>0.15</v>
      </c>
      <c r="AL396" s="88">
        <v>3.4139420030223099E-2</v>
      </c>
      <c r="AM396" s="89">
        <f t="shared" si="6"/>
        <v>0.22759613353482067</v>
      </c>
      <c r="AN396" s="78"/>
    </row>
    <row r="397" spans="1:40" x14ac:dyDescent="0.25">
      <c r="A397" t="s">
        <v>44</v>
      </c>
      <c r="B397" t="s">
        <v>45</v>
      </c>
      <c r="C397" s="121" t="s">
        <v>174</v>
      </c>
      <c r="D397" t="s">
        <v>192</v>
      </c>
      <c r="E397" t="s">
        <v>59</v>
      </c>
      <c r="F397">
        <v>2</v>
      </c>
      <c r="G397">
        <v>95</v>
      </c>
      <c r="H397" s="86">
        <v>45965.368290949104</v>
      </c>
      <c r="I397" s="86">
        <v>45965.440482152801</v>
      </c>
      <c r="J397" s="87">
        <v>1.7325888888888901</v>
      </c>
      <c r="K397" s="69" t="s">
        <v>274</v>
      </c>
      <c r="L397" s="69"/>
      <c r="M397" s="71"/>
      <c r="N397" s="71"/>
      <c r="O397" s="71"/>
      <c r="P397" s="71" t="s">
        <v>275</v>
      </c>
      <c r="Q397" s="88">
        <v>2.12711879186686E-2</v>
      </c>
      <c r="R397" s="89" t="s">
        <v>276</v>
      </c>
      <c r="S397" s="89"/>
      <c r="T397">
        <v>12.6</v>
      </c>
      <c r="U397" s="76">
        <v>0.2</v>
      </c>
      <c r="V397">
        <v>10.5</v>
      </c>
      <c r="W397" s="90">
        <v>0.1</v>
      </c>
      <c r="X397" s="90"/>
      <c r="Y397" s="71"/>
      <c r="Z397" s="71"/>
      <c r="AA397" s="71"/>
      <c r="AB397" s="71"/>
      <c r="AC397" s="71"/>
      <c r="AD397" s="71"/>
      <c r="AE397" s="71"/>
      <c r="AF397" s="71"/>
      <c r="AG397" s="82">
        <v>0.1</v>
      </c>
      <c r="AH397" s="76"/>
      <c r="AI397" s="76"/>
      <c r="AJ397" s="76"/>
      <c r="AK397" s="71">
        <v>0.15</v>
      </c>
      <c r="AL397" s="88">
        <v>3.4139420030223099E-2</v>
      </c>
      <c r="AM397" s="89">
        <f t="shared" si="6"/>
        <v>0.22759613353482067</v>
      </c>
      <c r="AN397" s="78"/>
    </row>
    <row r="398" spans="1:40" x14ac:dyDescent="0.25">
      <c r="A398" t="s">
        <v>44</v>
      </c>
      <c r="B398" t="s">
        <v>45</v>
      </c>
      <c r="C398" s="121" t="s">
        <v>174</v>
      </c>
      <c r="D398" t="s">
        <v>192</v>
      </c>
      <c r="E398" t="s">
        <v>59</v>
      </c>
      <c r="F398">
        <v>2</v>
      </c>
      <c r="G398">
        <v>96</v>
      </c>
      <c r="H398" s="86">
        <v>45965.440482152801</v>
      </c>
      <c r="I398" s="86">
        <v>45965.512674259298</v>
      </c>
      <c r="J398" s="87">
        <v>1.73261055555556</v>
      </c>
      <c r="K398" s="69" t="s">
        <v>274</v>
      </c>
      <c r="L398" s="69"/>
      <c r="M398" s="71"/>
      <c r="N398" s="71"/>
      <c r="O398" s="71"/>
      <c r="P398" s="71" t="s">
        <v>275</v>
      </c>
      <c r="Q398" s="88">
        <v>2.4618548603854699E-2</v>
      </c>
      <c r="R398" s="89" t="s">
        <v>276</v>
      </c>
      <c r="S398" s="89"/>
      <c r="T398">
        <v>12.8</v>
      </c>
      <c r="U398" s="76">
        <v>0.2</v>
      </c>
      <c r="V398">
        <v>10.6</v>
      </c>
      <c r="W398" s="90">
        <v>0.1</v>
      </c>
      <c r="X398" s="90"/>
      <c r="Y398" s="71"/>
      <c r="Z398" s="71"/>
      <c r="AA398" s="71"/>
      <c r="AB398" s="71"/>
      <c r="AC398" s="71"/>
      <c r="AD398" s="71"/>
      <c r="AE398" s="71"/>
      <c r="AF398" s="71"/>
      <c r="AG398" s="82">
        <v>0.2</v>
      </c>
      <c r="AH398" s="76"/>
      <c r="AI398" s="76"/>
      <c r="AJ398" s="76"/>
      <c r="AK398" s="71">
        <v>0.15</v>
      </c>
      <c r="AL398" s="88">
        <v>3.4139420030223099E-2</v>
      </c>
      <c r="AM398" s="89">
        <f t="shared" si="6"/>
        <v>0.22759613353482067</v>
      </c>
      <c r="AN398" s="78"/>
    </row>
    <row r="399" spans="1:40" x14ac:dyDescent="0.25">
      <c r="A399" t="s">
        <v>44</v>
      </c>
      <c r="B399" t="s">
        <v>45</v>
      </c>
      <c r="C399" s="121" t="s">
        <v>174</v>
      </c>
      <c r="D399" t="s">
        <v>195</v>
      </c>
      <c r="E399" t="s">
        <v>61</v>
      </c>
      <c r="F399">
        <v>2</v>
      </c>
      <c r="G399">
        <v>1</v>
      </c>
      <c r="H399" s="86">
        <v>45958.5414482407</v>
      </c>
      <c r="I399" s="86">
        <v>45958.635397094899</v>
      </c>
      <c r="J399" s="87">
        <v>2.2547725000000001</v>
      </c>
      <c r="K399" s="69" t="s">
        <v>274</v>
      </c>
      <c r="L399" s="69"/>
      <c r="M399" s="71"/>
      <c r="N399" s="71"/>
      <c r="O399" s="71"/>
      <c r="P399" s="71" t="s">
        <v>275</v>
      </c>
      <c r="Q399" s="88" t="s">
        <v>277</v>
      </c>
      <c r="R399" s="89" t="s">
        <v>276</v>
      </c>
      <c r="S399" s="89"/>
      <c r="T399">
        <v>7.7</v>
      </c>
      <c r="U399" s="76">
        <v>0.2</v>
      </c>
      <c r="V399">
        <v>9.5</v>
      </c>
      <c r="W399" s="90">
        <v>0.1</v>
      </c>
      <c r="X399" s="90"/>
      <c r="Y399" s="71"/>
      <c r="Z399" s="71"/>
      <c r="AA399" s="71"/>
      <c r="AB399" s="71"/>
      <c r="AC399" s="71"/>
      <c r="AD399" s="71"/>
      <c r="AE399" s="71"/>
      <c r="AF399" s="71"/>
      <c r="AG399" s="82">
        <v>0.1</v>
      </c>
      <c r="AH399" s="76"/>
      <c r="AI399" s="76"/>
      <c r="AJ399" s="76"/>
      <c r="AK399" s="71">
        <v>0.15</v>
      </c>
      <c r="AL399" s="88">
        <v>3.3848190498164003E-2</v>
      </c>
      <c r="AM399" s="89">
        <f t="shared" si="6"/>
        <v>0.22565460332109336</v>
      </c>
      <c r="AN399" s="78"/>
    </row>
    <row r="400" spans="1:40" x14ac:dyDescent="0.25">
      <c r="A400" t="s">
        <v>44</v>
      </c>
      <c r="B400" t="s">
        <v>45</v>
      </c>
      <c r="C400" s="121" t="s">
        <v>174</v>
      </c>
      <c r="D400" t="s">
        <v>195</v>
      </c>
      <c r="E400" t="s">
        <v>61</v>
      </c>
      <c r="F400">
        <v>2</v>
      </c>
      <c r="G400">
        <v>2</v>
      </c>
      <c r="H400" s="86">
        <v>45958.635397094899</v>
      </c>
      <c r="I400" s="86">
        <v>45958.686648206</v>
      </c>
      <c r="J400" s="87">
        <v>1.2300266666666699</v>
      </c>
      <c r="K400" s="69" t="s">
        <v>274</v>
      </c>
      <c r="L400" s="69"/>
      <c r="M400" s="71"/>
      <c r="N400" s="71"/>
      <c r="O400" s="71"/>
      <c r="P400" s="71" t="s">
        <v>275</v>
      </c>
      <c r="Q400" s="88" t="s">
        <v>277</v>
      </c>
      <c r="R400" s="89" t="s">
        <v>276</v>
      </c>
      <c r="S400" s="89"/>
      <c r="T400">
        <v>8.4</v>
      </c>
      <c r="U400" s="76">
        <v>0.2</v>
      </c>
      <c r="V400">
        <v>9.6</v>
      </c>
      <c r="W400" s="90">
        <v>0.1</v>
      </c>
      <c r="X400" s="90"/>
      <c r="Y400" s="71"/>
      <c r="Z400" s="71"/>
      <c r="AA400" s="71"/>
      <c r="AB400" s="71"/>
      <c r="AC400" s="71"/>
      <c r="AD400" s="71"/>
      <c r="AE400" s="71"/>
      <c r="AF400" s="71"/>
      <c r="AG400" s="82">
        <v>0</v>
      </c>
      <c r="AH400" s="76"/>
      <c r="AI400" s="76"/>
      <c r="AJ400" s="76"/>
      <c r="AK400" s="71">
        <v>0.15</v>
      </c>
      <c r="AL400" s="88">
        <v>3.3848190498164003E-2</v>
      </c>
      <c r="AM400" s="89">
        <f t="shared" si="6"/>
        <v>0.22565460332109336</v>
      </c>
      <c r="AN400" s="78"/>
    </row>
    <row r="401" spans="1:40" x14ac:dyDescent="0.25">
      <c r="A401" t="s">
        <v>44</v>
      </c>
      <c r="B401" t="s">
        <v>45</v>
      </c>
      <c r="C401" s="121" t="s">
        <v>174</v>
      </c>
      <c r="D401" t="s">
        <v>195</v>
      </c>
      <c r="E401" t="s">
        <v>61</v>
      </c>
      <c r="F401">
        <v>2</v>
      </c>
      <c r="G401">
        <v>3</v>
      </c>
      <c r="H401" s="86">
        <v>45958.686648206</v>
      </c>
      <c r="I401" s="86">
        <v>45958.732856354203</v>
      </c>
      <c r="J401" s="87">
        <v>1.10899555555556</v>
      </c>
      <c r="K401" s="69" t="s">
        <v>274</v>
      </c>
      <c r="L401" s="69"/>
      <c r="M401" s="71"/>
      <c r="N401" s="71"/>
      <c r="O401" s="71"/>
      <c r="P401" s="71" t="s">
        <v>275</v>
      </c>
      <c r="Q401" s="88" t="s">
        <v>277</v>
      </c>
      <c r="R401" s="89" t="s">
        <v>276</v>
      </c>
      <c r="S401" s="89"/>
      <c r="T401">
        <v>6.8</v>
      </c>
      <c r="U401" s="76">
        <v>0.2</v>
      </c>
      <c r="V401">
        <v>9.6</v>
      </c>
      <c r="W401" s="90">
        <v>0.1</v>
      </c>
      <c r="X401" s="90"/>
      <c r="Y401" s="71"/>
      <c r="Z401" s="71"/>
      <c r="AA401" s="71"/>
      <c r="AB401" s="71"/>
      <c r="AC401" s="71"/>
      <c r="AD401" s="71"/>
      <c r="AE401" s="71"/>
      <c r="AF401" s="71"/>
      <c r="AG401" s="82">
        <v>0</v>
      </c>
      <c r="AH401" s="76"/>
      <c r="AI401" s="76"/>
      <c r="AJ401" s="76"/>
      <c r="AK401" s="71">
        <v>0.15</v>
      </c>
      <c r="AL401" s="88">
        <v>3.3848190498164003E-2</v>
      </c>
      <c r="AM401" s="89">
        <f t="shared" si="6"/>
        <v>0.22565460332109336</v>
      </c>
      <c r="AN401" s="78"/>
    </row>
    <row r="402" spans="1:40" x14ac:dyDescent="0.25">
      <c r="A402" t="s">
        <v>44</v>
      </c>
      <c r="B402" t="s">
        <v>45</v>
      </c>
      <c r="C402" s="121" t="s">
        <v>174</v>
      </c>
      <c r="D402" t="s">
        <v>195</v>
      </c>
      <c r="E402" t="s">
        <v>61</v>
      </c>
      <c r="F402">
        <v>2</v>
      </c>
      <c r="G402">
        <v>4</v>
      </c>
      <c r="H402" s="86">
        <v>45958.732856354203</v>
      </c>
      <c r="I402" s="86">
        <v>45958.805043507004</v>
      </c>
      <c r="J402" s="87">
        <v>1.7324916666666701</v>
      </c>
      <c r="K402" s="69" t="s">
        <v>274</v>
      </c>
      <c r="L402" s="69"/>
      <c r="M402" s="71"/>
      <c r="N402" s="71"/>
      <c r="O402" s="71"/>
      <c r="P402" s="71" t="s">
        <v>275</v>
      </c>
      <c r="Q402" s="88">
        <v>0.280216129699765</v>
      </c>
      <c r="R402" s="89" t="s">
        <v>276</v>
      </c>
      <c r="S402" s="89"/>
      <c r="T402">
        <v>6</v>
      </c>
      <c r="U402" s="76">
        <v>0.2</v>
      </c>
      <c r="V402">
        <v>9.6999999999999993</v>
      </c>
      <c r="W402" s="90">
        <v>0.1</v>
      </c>
      <c r="X402" s="90"/>
      <c r="Y402" s="71"/>
      <c r="Z402" s="71"/>
      <c r="AA402" s="71"/>
      <c r="AB402" s="71"/>
      <c r="AC402" s="71"/>
      <c r="AD402" s="71"/>
      <c r="AE402" s="71"/>
      <c r="AF402" s="71"/>
      <c r="AG402" s="82">
        <v>0</v>
      </c>
      <c r="AH402" s="76"/>
      <c r="AI402" s="76"/>
      <c r="AJ402" s="76"/>
      <c r="AK402" s="71">
        <v>0.15</v>
      </c>
      <c r="AL402" s="88">
        <v>3.3848190498164003E-2</v>
      </c>
      <c r="AM402" s="89">
        <f t="shared" si="6"/>
        <v>0.22565460332109336</v>
      </c>
      <c r="AN402" s="78"/>
    </row>
    <row r="403" spans="1:40" x14ac:dyDescent="0.25">
      <c r="A403" t="s">
        <v>44</v>
      </c>
      <c r="B403" t="s">
        <v>45</v>
      </c>
      <c r="C403" s="121" t="s">
        <v>174</v>
      </c>
      <c r="D403" t="s">
        <v>195</v>
      </c>
      <c r="E403" t="s">
        <v>61</v>
      </c>
      <c r="F403">
        <v>2</v>
      </c>
      <c r="G403">
        <v>5</v>
      </c>
      <c r="H403" s="86">
        <v>45958.805043507004</v>
      </c>
      <c r="I403" s="86">
        <v>45958.877217835601</v>
      </c>
      <c r="J403" s="87">
        <v>1.7321838888888901</v>
      </c>
      <c r="K403" s="69" t="s">
        <v>274</v>
      </c>
      <c r="L403" s="69"/>
      <c r="M403" s="71"/>
      <c r="N403" s="71"/>
      <c r="O403" s="71"/>
      <c r="P403" s="71" t="s">
        <v>275</v>
      </c>
      <c r="Q403" s="88">
        <v>0.28238238505359903</v>
      </c>
      <c r="R403" s="89" t="s">
        <v>276</v>
      </c>
      <c r="S403" s="89"/>
      <c r="T403">
        <v>6.5</v>
      </c>
      <c r="U403" s="76">
        <v>0.2</v>
      </c>
      <c r="V403">
        <v>9.6</v>
      </c>
      <c r="W403" s="90">
        <v>0.1</v>
      </c>
      <c r="X403" s="90"/>
      <c r="Y403" s="71"/>
      <c r="Z403" s="71"/>
      <c r="AA403" s="71"/>
      <c r="AB403" s="71"/>
      <c r="AC403" s="71"/>
      <c r="AD403" s="71"/>
      <c r="AE403" s="71"/>
      <c r="AF403" s="71"/>
      <c r="AG403" s="82">
        <v>0</v>
      </c>
      <c r="AH403" s="76"/>
      <c r="AI403" s="76"/>
      <c r="AJ403" s="76"/>
      <c r="AK403" s="71">
        <v>0.15</v>
      </c>
      <c r="AL403" s="88">
        <v>3.3848190498164003E-2</v>
      </c>
      <c r="AM403" s="89">
        <f t="shared" si="6"/>
        <v>0.22565460332109336</v>
      </c>
      <c r="AN403" s="78"/>
    </row>
    <row r="404" spans="1:40" x14ac:dyDescent="0.25">
      <c r="A404" t="s">
        <v>44</v>
      </c>
      <c r="B404" t="s">
        <v>45</v>
      </c>
      <c r="C404" s="121" t="s">
        <v>174</v>
      </c>
      <c r="D404" t="s">
        <v>195</v>
      </c>
      <c r="E404" t="s">
        <v>61</v>
      </c>
      <c r="F404">
        <v>2</v>
      </c>
      <c r="G404">
        <v>6</v>
      </c>
      <c r="H404" s="86">
        <v>45958.877217835601</v>
      </c>
      <c r="I404" s="86">
        <v>45958.949409375004</v>
      </c>
      <c r="J404" s="87">
        <v>1.73259694444444</v>
      </c>
      <c r="K404" s="69" t="s">
        <v>274</v>
      </c>
      <c r="L404" s="69"/>
      <c r="M404" s="71"/>
      <c r="N404" s="71"/>
      <c r="O404" s="71"/>
      <c r="P404" s="71" t="s">
        <v>275</v>
      </c>
      <c r="Q404" s="88">
        <v>0.259797237630639</v>
      </c>
      <c r="R404" s="89" t="s">
        <v>276</v>
      </c>
      <c r="S404" s="89"/>
      <c r="T404">
        <v>6.6</v>
      </c>
      <c r="U404" s="76">
        <v>0.2</v>
      </c>
      <c r="V404">
        <v>9.6</v>
      </c>
      <c r="W404" s="90">
        <v>0.1</v>
      </c>
      <c r="X404" s="90"/>
      <c r="Y404" s="71"/>
      <c r="Z404" s="71"/>
      <c r="AA404" s="71"/>
      <c r="AB404" s="71"/>
      <c r="AC404" s="71"/>
      <c r="AD404" s="71"/>
      <c r="AE404" s="71"/>
      <c r="AF404" s="71"/>
      <c r="AG404" s="82">
        <v>0</v>
      </c>
      <c r="AH404" s="76"/>
      <c r="AI404" s="76"/>
      <c r="AJ404" s="76"/>
      <c r="AK404" s="71">
        <v>0.15</v>
      </c>
      <c r="AL404" s="88">
        <v>3.3848190498164003E-2</v>
      </c>
      <c r="AM404" s="89">
        <f t="shared" si="6"/>
        <v>0.22565460332109336</v>
      </c>
      <c r="AN404" s="78"/>
    </row>
    <row r="405" spans="1:40" x14ac:dyDescent="0.25">
      <c r="A405" t="s">
        <v>44</v>
      </c>
      <c r="B405" t="s">
        <v>45</v>
      </c>
      <c r="C405" s="121" t="s">
        <v>174</v>
      </c>
      <c r="D405" t="s">
        <v>195</v>
      </c>
      <c r="E405" t="s">
        <v>61</v>
      </c>
      <c r="F405">
        <v>2</v>
      </c>
      <c r="G405">
        <v>7</v>
      </c>
      <c r="H405" s="86">
        <v>45958.949409375004</v>
      </c>
      <c r="I405" s="86">
        <v>45959.021587280098</v>
      </c>
      <c r="J405" s="87">
        <v>1.7322697222222201</v>
      </c>
      <c r="K405" s="69" t="s">
        <v>274</v>
      </c>
      <c r="L405" s="69"/>
      <c r="M405" s="71"/>
      <c r="N405" s="71"/>
      <c r="O405" s="71"/>
      <c r="P405" s="71" t="s">
        <v>275</v>
      </c>
      <c r="Q405" s="88">
        <v>0.22732086259676401</v>
      </c>
      <c r="R405" s="89" t="s">
        <v>276</v>
      </c>
      <c r="S405" s="89"/>
      <c r="T405">
        <v>6.7</v>
      </c>
      <c r="U405" s="76">
        <v>0.2</v>
      </c>
      <c r="V405">
        <v>9.6</v>
      </c>
      <c r="W405" s="90">
        <v>0.1</v>
      </c>
      <c r="X405" s="90"/>
      <c r="Y405" s="71"/>
      <c r="Z405" s="71"/>
      <c r="AA405" s="71"/>
      <c r="AB405" s="71"/>
      <c r="AC405" s="71"/>
      <c r="AD405" s="71"/>
      <c r="AE405" s="71"/>
      <c r="AF405" s="71"/>
      <c r="AG405" s="82">
        <v>0</v>
      </c>
      <c r="AH405" s="76"/>
      <c r="AI405" s="76"/>
      <c r="AJ405" s="76"/>
      <c r="AK405" s="71">
        <v>0.15</v>
      </c>
      <c r="AL405" s="88">
        <v>3.3848190498164003E-2</v>
      </c>
      <c r="AM405" s="89">
        <f t="shared" si="6"/>
        <v>0.22565460332109336</v>
      </c>
      <c r="AN405" s="78"/>
    </row>
    <row r="406" spans="1:40" x14ac:dyDescent="0.25">
      <c r="A406" t="s">
        <v>44</v>
      </c>
      <c r="B406" t="s">
        <v>45</v>
      </c>
      <c r="C406" s="121" t="s">
        <v>174</v>
      </c>
      <c r="D406" t="s">
        <v>195</v>
      </c>
      <c r="E406" t="s">
        <v>61</v>
      </c>
      <c r="F406">
        <v>2</v>
      </c>
      <c r="G406">
        <v>8</v>
      </c>
      <c r="H406" s="86">
        <v>45959.021587280098</v>
      </c>
      <c r="I406" s="86">
        <v>45959.0937694444</v>
      </c>
      <c r="J406" s="87">
        <v>1.7323719444444401</v>
      </c>
      <c r="K406" s="69" t="s">
        <v>274</v>
      </c>
      <c r="L406" s="69"/>
      <c r="M406" s="71"/>
      <c r="N406" s="71"/>
      <c r="O406" s="71"/>
      <c r="P406" s="71" t="s">
        <v>275</v>
      </c>
      <c r="Q406" s="88">
        <v>0.209753505346361</v>
      </c>
      <c r="R406" s="89" t="s">
        <v>276</v>
      </c>
      <c r="S406" s="89"/>
      <c r="T406">
        <v>6.2</v>
      </c>
      <c r="U406" s="76">
        <v>0.2</v>
      </c>
      <c r="V406">
        <v>9.5</v>
      </c>
      <c r="W406" s="90">
        <v>0.1</v>
      </c>
      <c r="X406" s="90"/>
      <c r="Y406" s="71"/>
      <c r="Z406" s="71"/>
      <c r="AA406" s="71"/>
      <c r="AB406" s="71"/>
      <c r="AC406" s="71"/>
      <c r="AD406" s="71"/>
      <c r="AE406" s="71"/>
      <c r="AF406" s="71"/>
      <c r="AG406" s="82">
        <v>0</v>
      </c>
      <c r="AH406" s="76"/>
      <c r="AI406" s="76"/>
      <c r="AJ406" s="76"/>
      <c r="AK406" s="71">
        <v>0.15</v>
      </c>
      <c r="AL406" s="88">
        <v>3.3848190498164003E-2</v>
      </c>
      <c r="AM406" s="89">
        <f t="shared" si="6"/>
        <v>0.22565460332109336</v>
      </c>
      <c r="AN406" s="78"/>
    </row>
    <row r="407" spans="1:40" x14ac:dyDescent="0.25">
      <c r="A407" t="s">
        <v>44</v>
      </c>
      <c r="B407" t="s">
        <v>45</v>
      </c>
      <c r="C407" s="121" t="s">
        <v>174</v>
      </c>
      <c r="D407" t="s">
        <v>195</v>
      </c>
      <c r="E407" t="s">
        <v>61</v>
      </c>
      <c r="F407">
        <v>2</v>
      </c>
      <c r="G407">
        <v>9</v>
      </c>
      <c r="H407" s="86">
        <v>45959.0937694444</v>
      </c>
      <c r="I407" s="86">
        <v>45959.165956527802</v>
      </c>
      <c r="J407" s="87">
        <v>1.7324900000000001</v>
      </c>
      <c r="K407" s="69" t="s">
        <v>274</v>
      </c>
      <c r="L407" s="69"/>
      <c r="M407" s="71"/>
      <c r="N407" s="71"/>
      <c r="O407" s="71"/>
      <c r="P407" s="71" t="s">
        <v>275</v>
      </c>
      <c r="Q407" s="88">
        <v>0.17244730981419101</v>
      </c>
      <c r="R407" s="89" t="s">
        <v>276</v>
      </c>
      <c r="S407" s="89"/>
      <c r="T407">
        <v>6.3</v>
      </c>
      <c r="U407" s="76">
        <v>0.2</v>
      </c>
      <c r="V407">
        <v>9.5</v>
      </c>
      <c r="W407" s="90">
        <v>0.1</v>
      </c>
      <c r="X407" s="90"/>
      <c r="Y407" s="71"/>
      <c r="Z407" s="71"/>
      <c r="AA407" s="71"/>
      <c r="AB407" s="71"/>
      <c r="AC407" s="71"/>
      <c r="AD407" s="71"/>
      <c r="AE407" s="71"/>
      <c r="AF407" s="71"/>
      <c r="AG407" s="82">
        <v>0</v>
      </c>
      <c r="AH407" s="76"/>
      <c r="AI407" s="76"/>
      <c r="AJ407" s="76"/>
      <c r="AK407" s="71">
        <v>0.15</v>
      </c>
      <c r="AL407" s="88">
        <v>3.3848190498164003E-2</v>
      </c>
      <c r="AM407" s="89">
        <f t="shared" si="6"/>
        <v>0.22565460332109336</v>
      </c>
      <c r="AN407" s="78"/>
    </row>
    <row r="408" spans="1:40" x14ac:dyDescent="0.25">
      <c r="A408" t="s">
        <v>44</v>
      </c>
      <c r="B408" t="s">
        <v>45</v>
      </c>
      <c r="C408" s="121" t="s">
        <v>174</v>
      </c>
      <c r="D408" t="s">
        <v>195</v>
      </c>
      <c r="E408" t="s">
        <v>61</v>
      </c>
      <c r="F408">
        <v>2</v>
      </c>
      <c r="G408">
        <v>10</v>
      </c>
      <c r="H408" s="86">
        <v>45959.165956527802</v>
      </c>
      <c r="I408" s="86">
        <v>45959.238140798603</v>
      </c>
      <c r="J408" s="87">
        <v>1.7324225</v>
      </c>
      <c r="K408" s="69" t="s">
        <v>274</v>
      </c>
      <c r="L408" s="69"/>
      <c r="M408" s="71"/>
      <c r="N408" s="71"/>
      <c r="O408" s="71"/>
      <c r="P408" s="71" t="s">
        <v>275</v>
      </c>
      <c r="Q408" s="88">
        <v>0.16274777391258599</v>
      </c>
      <c r="R408" s="89" t="s">
        <v>276</v>
      </c>
      <c r="S408" s="89"/>
      <c r="T408">
        <v>5.4</v>
      </c>
      <c r="U408" s="76">
        <v>0.2</v>
      </c>
      <c r="V408">
        <v>9.5</v>
      </c>
      <c r="W408" s="90">
        <v>0.1</v>
      </c>
      <c r="X408" s="90"/>
      <c r="Y408" s="71"/>
      <c r="Z408" s="71"/>
      <c r="AA408" s="71"/>
      <c r="AB408" s="71"/>
      <c r="AC408" s="71"/>
      <c r="AD408" s="71"/>
      <c r="AE408" s="71"/>
      <c r="AF408" s="71"/>
      <c r="AG408" s="82">
        <v>0</v>
      </c>
      <c r="AH408" s="76"/>
      <c r="AI408" s="76"/>
      <c r="AJ408" s="76"/>
      <c r="AK408" s="71">
        <v>0.15</v>
      </c>
      <c r="AL408" s="88">
        <v>3.3848190498164003E-2</v>
      </c>
      <c r="AM408" s="89">
        <f t="shared" si="6"/>
        <v>0.22565460332109336</v>
      </c>
      <c r="AN408" s="78"/>
    </row>
    <row r="409" spans="1:40" x14ac:dyDescent="0.25">
      <c r="A409" t="s">
        <v>44</v>
      </c>
      <c r="B409" t="s">
        <v>45</v>
      </c>
      <c r="C409" s="121" t="s">
        <v>174</v>
      </c>
      <c r="D409" t="s">
        <v>195</v>
      </c>
      <c r="E409" t="s">
        <v>61</v>
      </c>
      <c r="F409">
        <v>2</v>
      </c>
      <c r="G409">
        <v>11</v>
      </c>
      <c r="H409" s="86">
        <v>45959.238140798603</v>
      </c>
      <c r="I409" s="86">
        <v>45959.3103154977</v>
      </c>
      <c r="J409" s="87">
        <v>1.7321927777777799</v>
      </c>
      <c r="K409" s="69" t="s">
        <v>274</v>
      </c>
      <c r="L409" s="69"/>
      <c r="M409" s="71"/>
      <c r="N409" s="71"/>
      <c r="O409" s="71"/>
      <c r="P409" s="71" t="s">
        <v>275</v>
      </c>
      <c r="Q409" s="88">
        <v>0.145256948236867</v>
      </c>
      <c r="R409" s="89" t="s">
        <v>276</v>
      </c>
      <c r="S409" s="89"/>
      <c r="T409">
        <v>7.2</v>
      </c>
      <c r="U409" s="76">
        <v>0.2</v>
      </c>
      <c r="V409">
        <v>9.4</v>
      </c>
      <c r="W409" s="90">
        <v>0.1</v>
      </c>
      <c r="X409" s="90"/>
      <c r="Y409" s="71"/>
      <c r="Z409" s="71"/>
      <c r="AA409" s="71"/>
      <c r="AB409" s="71"/>
      <c r="AC409" s="71"/>
      <c r="AD409" s="71"/>
      <c r="AE409" s="71"/>
      <c r="AF409" s="71"/>
      <c r="AG409" s="82">
        <v>0</v>
      </c>
      <c r="AH409" s="76"/>
      <c r="AI409" s="76"/>
      <c r="AJ409" s="76"/>
      <c r="AK409" s="71">
        <v>0.15</v>
      </c>
      <c r="AL409" s="88">
        <v>3.3848190498164003E-2</v>
      </c>
      <c r="AM409" s="89">
        <f t="shared" si="6"/>
        <v>0.22565460332109336</v>
      </c>
      <c r="AN409" s="78"/>
    </row>
    <row r="410" spans="1:40" x14ac:dyDescent="0.25">
      <c r="A410" t="s">
        <v>44</v>
      </c>
      <c r="B410" t="s">
        <v>45</v>
      </c>
      <c r="C410" s="121" t="s">
        <v>174</v>
      </c>
      <c r="D410" t="s">
        <v>195</v>
      </c>
      <c r="E410" t="s">
        <v>61</v>
      </c>
      <c r="F410">
        <v>2</v>
      </c>
      <c r="G410">
        <v>12</v>
      </c>
      <c r="H410" s="86">
        <v>45959.3103154977</v>
      </c>
      <c r="I410" s="86">
        <v>45959.382506076399</v>
      </c>
      <c r="J410" s="87">
        <v>1.73257388888889</v>
      </c>
      <c r="K410" s="69" t="s">
        <v>274</v>
      </c>
      <c r="L410" s="69"/>
      <c r="M410" s="71"/>
      <c r="N410" s="71"/>
      <c r="O410" s="71"/>
      <c r="P410" s="71" t="s">
        <v>275</v>
      </c>
      <c r="Q410" s="88">
        <v>0.151134780913982</v>
      </c>
      <c r="R410" s="89" t="s">
        <v>276</v>
      </c>
      <c r="S410" s="89"/>
      <c r="T410">
        <v>7.6</v>
      </c>
      <c r="U410" s="76">
        <v>0.2</v>
      </c>
      <c r="V410">
        <v>9.4</v>
      </c>
      <c r="W410" s="90">
        <v>0.1</v>
      </c>
      <c r="X410" s="90"/>
      <c r="Y410" s="71"/>
      <c r="Z410" s="71"/>
      <c r="AA410" s="71"/>
      <c r="AB410" s="71"/>
      <c r="AC410" s="71"/>
      <c r="AD410" s="71"/>
      <c r="AE410" s="71"/>
      <c r="AF410" s="71"/>
      <c r="AG410" s="82">
        <v>0.3</v>
      </c>
      <c r="AH410" s="76"/>
      <c r="AI410" s="76"/>
      <c r="AJ410" s="76"/>
      <c r="AK410" s="71">
        <v>0.15</v>
      </c>
      <c r="AL410" s="88">
        <v>3.3848190498164003E-2</v>
      </c>
      <c r="AM410" s="89">
        <f t="shared" si="6"/>
        <v>0.22565460332109336</v>
      </c>
      <c r="AN410" s="78"/>
    </row>
    <row r="411" spans="1:40" x14ac:dyDescent="0.25">
      <c r="A411" t="s">
        <v>44</v>
      </c>
      <c r="B411" t="s">
        <v>45</v>
      </c>
      <c r="C411" s="121" t="s">
        <v>174</v>
      </c>
      <c r="D411" t="s">
        <v>195</v>
      </c>
      <c r="E411" t="s">
        <v>61</v>
      </c>
      <c r="F411">
        <v>2</v>
      </c>
      <c r="G411">
        <v>13</v>
      </c>
      <c r="H411" s="86">
        <v>45959.382506076399</v>
      </c>
      <c r="I411" s="86">
        <v>45959.4546984607</v>
      </c>
      <c r="J411" s="87">
        <v>1.73261722222222</v>
      </c>
      <c r="K411" s="69" t="s">
        <v>274</v>
      </c>
      <c r="L411" s="69"/>
      <c r="M411" s="71"/>
      <c r="N411" s="71"/>
      <c r="O411" s="71"/>
      <c r="P411" s="71" t="s">
        <v>275</v>
      </c>
      <c r="Q411" s="88">
        <v>0.19340543292399301</v>
      </c>
      <c r="R411" s="89" t="s">
        <v>276</v>
      </c>
      <c r="S411" s="89"/>
      <c r="T411">
        <v>8.6</v>
      </c>
      <c r="U411" s="76">
        <v>0.2</v>
      </c>
      <c r="V411">
        <v>9.4</v>
      </c>
      <c r="W411" s="90">
        <v>0.1</v>
      </c>
      <c r="X411" s="90"/>
      <c r="Y411" s="71"/>
      <c r="Z411" s="71"/>
      <c r="AA411" s="71"/>
      <c r="AB411" s="71"/>
      <c r="AC411" s="71"/>
      <c r="AD411" s="71"/>
      <c r="AE411" s="71"/>
      <c r="AF411" s="71"/>
      <c r="AG411" s="82">
        <v>1.6</v>
      </c>
      <c r="AH411" s="76"/>
      <c r="AI411" s="76"/>
      <c r="AJ411" s="76"/>
      <c r="AK411" s="71">
        <v>0.15</v>
      </c>
      <c r="AL411" s="88">
        <v>3.3848190498164003E-2</v>
      </c>
      <c r="AM411" s="89">
        <f t="shared" si="6"/>
        <v>0.22565460332109336</v>
      </c>
      <c r="AN411" s="78"/>
    </row>
    <row r="412" spans="1:40" x14ac:dyDescent="0.25">
      <c r="A412" t="s">
        <v>44</v>
      </c>
      <c r="B412" t="s">
        <v>45</v>
      </c>
      <c r="C412" s="121" t="s">
        <v>174</v>
      </c>
      <c r="D412" t="s">
        <v>195</v>
      </c>
      <c r="E412" t="s">
        <v>61</v>
      </c>
      <c r="F412">
        <v>2</v>
      </c>
      <c r="G412">
        <v>14</v>
      </c>
      <c r="H412" s="86">
        <v>45959.4546984607</v>
      </c>
      <c r="I412" s="86">
        <v>45959.526882268503</v>
      </c>
      <c r="J412" s="87">
        <v>1.7324113888888899</v>
      </c>
      <c r="K412" s="69" t="s">
        <v>274</v>
      </c>
      <c r="L412" s="69"/>
      <c r="M412" s="71"/>
      <c r="N412" s="71"/>
      <c r="O412" s="71"/>
      <c r="P412" s="71" t="s">
        <v>275</v>
      </c>
      <c r="Q412" s="88">
        <v>0.18978007647061201</v>
      </c>
      <c r="R412" s="89" t="s">
        <v>276</v>
      </c>
      <c r="S412" s="89"/>
      <c r="T412">
        <v>10.4</v>
      </c>
      <c r="U412" s="76">
        <v>0.2</v>
      </c>
      <c r="V412">
        <v>9.4</v>
      </c>
      <c r="W412" s="90">
        <v>0.1</v>
      </c>
      <c r="X412" s="90"/>
      <c r="Y412" s="71"/>
      <c r="Z412" s="71"/>
      <c r="AA412" s="71"/>
      <c r="AB412" s="71"/>
      <c r="AC412" s="71"/>
      <c r="AD412" s="71"/>
      <c r="AE412" s="71"/>
      <c r="AF412" s="71"/>
      <c r="AG412" s="82">
        <v>0</v>
      </c>
      <c r="AH412" s="76"/>
      <c r="AI412" s="76"/>
      <c r="AJ412" s="76"/>
      <c r="AK412" s="71">
        <v>0.15</v>
      </c>
      <c r="AL412" s="88">
        <v>3.3848190498164003E-2</v>
      </c>
      <c r="AM412" s="89">
        <f t="shared" si="6"/>
        <v>0.22565460332109336</v>
      </c>
      <c r="AN412" s="78"/>
    </row>
    <row r="413" spans="1:40" x14ac:dyDescent="0.25">
      <c r="A413" t="s">
        <v>44</v>
      </c>
      <c r="B413" t="s">
        <v>45</v>
      </c>
      <c r="C413" s="121" t="s">
        <v>174</v>
      </c>
      <c r="D413" t="s">
        <v>195</v>
      </c>
      <c r="E413" t="s">
        <v>61</v>
      </c>
      <c r="F413">
        <v>2</v>
      </c>
      <c r="G413">
        <v>15</v>
      </c>
      <c r="H413" s="86">
        <v>45959.526882268503</v>
      </c>
      <c r="I413" s="86">
        <v>45959.599064513903</v>
      </c>
      <c r="J413" s="87">
        <v>1.73237388888889</v>
      </c>
      <c r="K413" s="69" t="s">
        <v>274</v>
      </c>
      <c r="L413" s="69"/>
      <c r="M413" s="71"/>
      <c r="N413" s="71"/>
      <c r="O413" s="71"/>
      <c r="P413" s="71" t="s">
        <v>275</v>
      </c>
      <c r="Q413" s="88">
        <v>0.16114499741052599</v>
      </c>
      <c r="R413" s="89" t="s">
        <v>276</v>
      </c>
      <c r="S413" s="89"/>
      <c r="T413">
        <v>9.4</v>
      </c>
      <c r="U413" s="76">
        <v>0.2</v>
      </c>
      <c r="V413">
        <v>9.6</v>
      </c>
      <c r="W413" s="90">
        <v>0.1</v>
      </c>
      <c r="X413" s="90"/>
      <c r="Y413" s="71"/>
      <c r="Z413" s="71"/>
      <c r="AA413" s="71"/>
      <c r="AB413" s="71"/>
      <c r="AC413" s="71"/>
      <c r="AD413" s="71"/>
      <c r="AE413" s="71"/>
      <c r="AF413" s="71"/>
      <c r="AG413" s="82">
        <v>0.2</v>
      </c>
      <c r="AH413" s="76"/>
      <c r="AI413" s="76"/>
      <c r="AJ413" s="76"/>
      <c r="AK413" s="71">
        <v>0.15</v>
      </c>
      <c r="AL413" s="88">
        <v>3.3848190498164003E-2</v>
      </c>
      <c r="AM413" s="89">
        <f t="shared" si="6"/>
        <v>0.22565460332109336</v>
      </c>
      <c r="AN413" s="78"/>
    </row>
    <row r="414" spans="1:40" x14ac:dyDescent="0.25">
      <c r="A414" t="s">
        <v>44</v>
      </c>
      <c r="B414" t="s">
        <v>45</v>
      </c>
      <c r="C414" s="121" t="s">
        <v>174</v>
      </c>
      <c r="D414" t="s">
        <v>195</v>
      </c>
      <c r="E414" t="s">
        <v>61</v>
      </c>
      <c r="F414">
        <v>2</v>
      </c>
      <c r="G414">
        <v>16</v>
      </c>
      <c r="H414" s="86">
        <v>45959.599064513903</v>
      </c>
      <c r="I414" s="86">
        <v>45959.671247303202</v>
      </c>
      <c r="J414" s="87">
        <v>1.73238694444444</v>
      </c>
      <c r="K414" s="69" t="s">
        <v>274</v>
      </c>
      <c r="L414" s="69"/>
      <c r="M414" s="71"/>
      <c r="N414" s="71"/>
      <c r="O414" s="71"/>
      <c r="P414" s="71" t="s">
        <v>275</v>
      </c>
      <c r="Q414" s="88">
        <v>0.15758263040794601</v>
      </c>
      <c r="R414" s="89" t="s">
        <v>276</v>
      </c>
      <c r="S414" s="89"/>
      <c r="T414">
        <v>9.3000000000000007</v>
      </c>
      <c r="U414" s="76">
        <v>0.2</v>
      </c>
      <c r="V414">
        <v>9.6999999999999993</v>
      </c>
      <c r="W414" s="90">
        <v>0.1</v>
      </c>
      <c r="X414" s="90"/>
      <c r="Y414" s="71"/>
      <c r="Z414" s="71"/>
      <c r="AA414" s="71"/>
      <c r="AB414" s="71"/>
      <c r="AC414" s="71"/>
      <c r="AD414" s="71"/>
      <c r="AE414" s="71"/>
      <c r="AF414" s="71"/>
      <c r="AG414" s="82">
        <v>0.6</v>
      </c>
      <c r="AH414" s="76"/>
      <c r="AI414" s="76"/>
      <c r="AJ414" s="76"/>
      <c r="AK414" s="71">
        <v>0.15</v>
      </c>
      <c r="AL414" s="88">
        <v>3.3848190498164003E-2</v>
      </c>
      <c r="AM414" s="89">
        <f t="shared" si="6"/>
        <v>0.22565460332109336</v>
      </c>
      <c r="AN414" s="78"/>
    </row>
    <row r="415" spans="1:40" x14ac:dyDescent="0.25">
      <c r="A415" t="s">
        <v>44</v>
      </c>
      <c r="B415" t="s">
        <v>45</v>
      </c>
      <c r="C415" s="121" t="s">
        <v>174</v>
      </c>
      <c r="D415" t="s">
        <v>195</v>
      </c>
      <c r="E415" t="s">
        <v>61</v>
      </c>
      <c r="F415">
        <v>2</v>
      </c>
      <c r="G415">
        <v>17</v>
      </c>
      <c r="H415" s="86">
        <v>45959.671247303202</v>
      </c>
      <c r="I415" s="86">
        <v>45959.743432303199</v>
      </c>
      <c r="J415" s="87">
        <v>1.73244</v>
      </c>
      <c r="K415" s="69" t="s">
        <v>274</v>
      </c>
      <c r="L415" s="69"/>
      <c r="M415" s="71"/>
      <c r="N415" s="71"/>
      <c r="O415" s="71"/>
      <c r="P415" s="71" t="s">
        <v>275</v>
      </c>
      <c r="Q415" s="88">
        <v>0.15462866966608799</v>
      </c>
      <c r="R415" s="89" t="s">
        <v>276</v>
      </c>
      <c r="S415" s="89"/>
      <c r="T415">
        <v>9.1999999999999993</v>
      </c>
      <c r="U415" s="76">
        <v>0.2</v>
      </c>
      <c r="V415">
        <v>9.8000000000000007</v>
      </c>
      <c r="W415" s="90">
        <v>0.1</v>
      </c>
      <c r="X415" s="90"/>
      <c r="Y415" s="71"/>
      <c r="Z415" s="71"/>
      <c r="AA415" s="71"/>
      <c r="AB415" s="71"/>
      <c r="AC415" s="71"/>
      <c r="AD415" s="71"/>
      <c r="AE415" s="71"/>
      <c r="AF415" s="71"/>
      <c r="AG415" s="82">
        <v>0</v>
      </c>
      <c r="AH415" s="76"/>
      <c r="AI415" s="76"/>
      <c r="AJ415" s="76"/>
      <c r="AK415" s="71">
        <v>0.15</v>
      </c>
      <c r="AL415" s="88">
        <v>3.3848190498164003E-2</v>
      </c>
      <c r="AM415" s="89">
        <f t="shared" si="6"/>
        <v>0.22565460332109336</v>
      </c>
      <c r="AN415" s="78"/>
    </row>
    <row r="416" spans="1:40" x14ac:dyDescent="0.25">
      <c r="A416" t="s">
        <v>44</v>
      </c>
      <c r="B416" t="s">
        <v>45</v>
      </c>
      <c r="C416" s="121" t="s">
        <v>174</v>
      </c>
      <c r="D416" t="s">
        <v>195</v>
      </c>
      <c r="E416" t="s">
        <v>61</v>
      </c>
      <c r="F416">
        <v>2</v>
      </c>
      <c r="G416">
        <v>18</v>
      </c>
      <c r="H416" s="86">
        <v>45959.743432303199</v>
      </c>
      <c r="I416" s="86">
        <v>45959.815612546299</v>
      </c>
      <c r="J416" s="87">
        <v>1.73232583333333</v>
      </c>
      <c r="K416" s="69" t="s">
        <v>274</v>
      </c>
      <c r="L416" s="69"/>
      <c r="M416" s="71"/>
      <c r="N416" s="71"/>
      <c r="O416" s="71"/>
      <c r="P416" s="71" t="s">
        <v>275</v>
      </c>
      <c r="Q416" s="88">
        <v>0.19188410614638601</v>
      </c>
      <c r="R416" s="89" t="s">
        <v>276</v>
      </c>
      <c r="S416" s="89"/>
      <c r="T416">
        <v>9</v>
      </c>
      <c r="U416" s="76">
        <v>0.2</v>
      </c>
      <c r="V416">
        <v>9.9</v>
      </c>
      <c r="W416" s="90">
        <v>0.1</v>
      </c>
      <c r="X416" s="90"/>
      <c r="Y416" s="71"/>
      <c r="Z416" s="71"/>
      <c r="AA416" s="71"/>
      <c r="AB416" s="71"/>
      <c r="AC416" s="71"/>
      <c r="AD416" s="71"/>
      <c r="AE416" s="71"/>
      <c r="AF416" s="71"/>
      <c r="AG416" s="82">
        <v>0</v>
      </c>
      <c r="AH416" s="76"/>
      <c r="AI416" s="76"/>
      <c r="AJ416" s="76"/>
      <c r="AK416" s="71">
        <v>0.15</v>
      </c>
      <c r="AL416" s="88">
        <v>3.3848190498164003E-2</v>
      </c>
      <c r="AM416" s="89">
        <f t="shared" si="6"/>
        <v>0.22565460332109336</v>
      </c>
      <c r="AN416" s="78"/>
    </row>
    <row r="417" spans="1:40" x14ac:dyDescent="0.25">
      <c r="A417" t="s">
        <v>44</v>
      </c>
      <c r="B417" t="s">
        <v>45</v>
      </c>
      <c r="C417" s="121" t="s">
        <v>174</v>
      </c>
      <c r="D417" t="s">
        <v>195</v>
      </c>
      <c r="E417" t="s">
        <v>61</v>
      </c>
      <c r="F417">
        <v>2</v>
      </c>
      <c r="G417">
        <v>19</v>
      </c>
      <c r="H417" s="86">
        <v>45959.815612546299</v>
      </c>
      <c r="I417" s="86">
        <v>45959.8878011458</v>
      </c>
      <c r="J417" s="87">
        <v>1.73252638888889</v>
      </c>
      <c r="K417" s="69" t="s">
        <v>274</v>
      </c>
      <c r="L417" s="69"/>
      <c r="M417" s="71"/>
      <c r="N417" s="71"/>
      <c r="O417" s="71"/>
      <c r="P417" s="71" t="s">
        <v>275</v>
      </c>
      <c r="Q417" s="88">
        <v>0.178852504170497</v>
      </c>
      <c r="R417" s="89" t="s">
        <v>276</v>
      </c>
      <c r="S417" s="89"/>
      <c r="T417">
        <v>8.8000000000000007</v>
      </c>
      <c r="U417" s="76">
        <v>0.2</v>
      </c>
      <c r="V417">
        <v>9.9</v>
      </c>
      <c r="W417" s="90">
        <v>0.1</v>
      </c>
      <c r="X417" s="90"/>
      <c r="Y417" s="71"/>
      <c r="Z417" s="71"/>
      <c r="AA417" s="71"/>
      <c r="AB417" s="71"/>
      <c r="AC417" s="71"/>
      <c r="AD417" s="71"/>
      <c r="AE417" s="71"/>
      <c r="AF417" s="71"/>
      <c r="AG417" s="82">
        <v>0.1</v>
      </c>
      <c r="AH417" s="76"/>
      <c r="AI417" s="76"/>
      <c r="AJ417" s="76"/>
      <c r="AK417" s="71">
        <v>0.15</v>
      </c>
      <c r="AL417" s="88">
        <v>3.3848190498164003E-2</v>
      </c>
      <c r="AM417" s="89">
        <f t="shared" si="6"/>
        <v>0.22565460332109336</v>
      </c>
      <c r="AN417" s="78"/>
    </row>
    <row r="418" spans="1:40" x14ac:dyDescent="0.25">
      <c r="A418" t="s">
        <v>44</v>
      </c>
      <c r="B418" t="s">
        <v>45</v>
      </c>
      <c r="C418" s="121" t="s">
        <v>174</v>
      </c>
      <c r="D418" t="s">
        <v>195</v>
      </c>
      <c r="E418" t="s">
        <v>61</v>
      </c>
      <c r="F418">
        <v>2</v>
      </c>
      <c r="G418">
        <v>20</v>
      </c>
      <c r="H418" s="86">
        <v>45959.8878011458</v>
      </c>
      <c r="I418" s="86">
        <v>45959.959988888899</v>
      </c>
      <c r="J418" s="87">
        <v>1.7325058333333301</v>
      </c>
      <c r="K418" s="69" t="s">
        <v>274</v>
      </c>
      <c r="L418" s="69"/>
      <c r="M418" s="71"/>
      <c r="N418" s="71"/>
      <c r="O418" s="71"/>
      <c r="P418" s="71" t="s">
        <v>275</v>
      </c>
      <c r="Q418" s="88">
        <v>0.184798273147043</v>
      </c>
      <c r="R418" s="89" t="s">
        <v>276</v>
      </c>
      <c r="S418" s="89"/>
      <c r="T418">
        <v>9</v>
      </c>
      <c r="U418" s="76">
        <v>0.2</v>
      </c>
      <c r="V418">
        <v>9.9</v>
      </c>
      <c r="W418" s="90">
        <v>0.1</v>
      </c>
      <c r="X418" s="90"/>
      <c r="Y418" s="71"/>
      <c r="Z418" s="71"/>
      <c r="AA418" s="71"/>
      <c r="AB418" s="71"/>
      <c r="AC418" s="71"/>
      <c r="AD418" s="71"/>
      <c r="AE418" s="71"/>
      <c r="AF418" s="71"/>
      <c r="AG418" s="82">
        <v>0.1</v>
      </c>
      <c r="AH418" s="76"/>
      <c r="AI418" s="76"/>
      <c r="AJ418" s="76"/>
      <c r="AK418" s="71">
        <v>0.15</v>
      </c>
      <c r="AL418" s="88">
        <v>3.3848190498164003E-2</v>
      </c>
      <c r="AM418" s="89">
        <f t="shared" si="6"/>
        <v>0.22565460332109336</v>
      </c>
      <c r="AN418" s="78"/>
    </row>
    <row r="419" spans="1:40" x14ac:dyDescent="0.25">
      <c r="A419" t="s">
        <v>44</v>
      </c>
      <c r="B419" t="s">
        <v>45</v>
      </c>
      <c r="C419" s="121" t="s">
        <v>174</v>
      </c>
      <c r="D419" t="s">
        <v>195</v>
      </c>
      <c r="E419" t="s">
        <v>61</v>
      </c>
      <c r="F419">
        <v>2</v>
      </c>
      <c r="G419">
        <v>21</v>
      </c>
      <c r="H419" s="86">
        <v>45959.959988888899</v>
      </c>
      <c r="I419" s="86">
        <v>45960.032172905099</v>
      </c>
      <c r="J419" s="87">
        <v>1.7324163888888899</v>
      </c>
      <c r="K419" s="69" t="s">
        <v>274</v>
      </c>
      <c r="L419" s="69"/>
      <c r="M419" s="71"/>
      <c r="N419" s="71"/>
      <c r="O419" s="71"/>
      <c r="P419" s="71" t="s">
        <v>275</v>
      </c>
      <c r="Q419" s="88">
        <v>0.17937104350739999</v>
      </c>
      <c r="R419" s="89" t="s">
        <v>276</v>
      </c>
      <c r="S419" s="89"/>
      <c r="T419">
        <v>8.8000000000000007</v>
      </c>
      <c r="U419" s="76">
        <v>0.2</v>
      </c>
      <c r="V419">
        <v>9.9</v>
      </c>
      <c r="W419" s="90">
        <v>0.1</v>
      </c>
      <c r="X419" s="90"/>
      <c r="Y419" s="71"/>
      <c r="Z419" s="71"/>
      <c r="AA419" s="71"/>
      <c r="AB419" s="71"/>
      <c r="AC419" s="71"/>
      <c r="AD419" s="71"/>
      <c r="AE419" s="71"/>
      <c r="AF419" s="71"/>
      <c r="AG419" s="82">
        <v>1</v>
      </c>
      <c r="AH419" s="76"/>
      <c r="AI419" s="76"/>
      <c r="AJ419" s="76"/>
      <c r="AK419" s="71">
        <v>0.15</v>
      </c>
      <c r="AL419" s="88">
        <v>3.3848190498164003E-2</v>
      </c>
      <c r="AM419" s="89">
        <f t="shared" si="6"/>
        <v>0.22565460332109336</v>
      </c>
      <c r="AN419" s="78"/>
    </row>
    <row r="420" spans="1:40" x14ac:dyDescent="0.25">
      <c r="A420" t="s">
        <v>44</v>
      </c>
      <c r="B420" t="s">
        <v>45</v>
      </c>
      <c r="C420" s="121" t="s">
        <v>174</v>
      </c>
      <c r="D420" t="s">
        <v>195</v>
      </c>
      <c r="E420" t="s">
        <v>61</v>
      </c>
      <c r="F420">
        <v>2</v>
      </c>
      <c r="G420">
        <v>22</v>
      </c>
      <c r="H420" s="86">
        <v>45960.032172905099</v>
      </c>
      <c r="I420" s="86">
        <v>45960.104368217602</v>
      </c>
      <c r="J420" s="87">
        <v>1.7326874999999999</v>
      </c>
      <c r="K420" s="69" t="s">
        <v>274</v>
      </c>
      <c r="L420" s="69"/>
      <c r="M420" s="71"/>
      <c r="N420" s="71"/>
      <c r="O420" s="71"/>
      <c r="P420" s="71" t="s">
        <v>275</v>
      </c>
      <c r="Q420" s="88">
        <v>0.173638076559511</v>
      </c>
      <c r="R420" s="89" t="s">
        <v>276</v>
      </c>
      <c r="S420" s="89"/>
      <c r="T420">
        <v>8.6999999999999993</v>
      </c>
      <c r="U420" s="76">
        <v>0.2</v>
      </c>
      <c r="V420">
        <v>9.9</v>
      </c>
      <c r="W420" s="90">
        <v>0.1</v>
      </c>
      <c r="X420" s="90"/>
      <c r="Y420" s="71"/>
      <c r="Z420" s="71"/>
      <c r="AA420" s="71"/>
      <c r="AB420" s="71"/>
      <c r="AC420" s="71"/>
      <c r="AD420" s="71"/>
      <c r="AE420" s="71"/>
      <c r="AF420" s="71"/>
      <c r="AG420" s="82">
        <v>1.7</v>
      </c>
      <c r="AH420" s="76"/>
      <c r="AI420" s="76"/>
      <c r="AJ420" s="76"/>
      <c r="AK420" s="71">
        <v>0.15</v>
      </c>
      <c r="AL420" s="88">
        <v>3.3848190498164003E-2</v>
      </c>
      <c r="AM420" s="89">
        <f t="shared" si="6"/>
        <v>0.22565460332109336</v>
      </c>
      <c r="AN420" s="78"/>
    </row>
    <row r="421" spans="1:40" x14ac:dyDescent="0.25">
      <c r="A421" t="s">
        <v>44</v>
      </c>
      <c r="B421" t="s">
        <v>45</v>
      </c>
      <c r="C421" s="121" t="s">
        <v>174</v>
      </c>
      <c r="D421" t="s">
        <v>195</v>
      </c>
      <c r="E421" t="s">
        <v>61</v>
      </c>
      <c r="F421">
        <v>2</v>
      </c>
      <c r="G421">
        <v>23</v>
      </c>
      <c r="H421" s="86">
        <v>45960.104368217602</v>
      </c>
      <c r="I421" s="86">
        <v>45960.1765432639</v>
      </c>
      <c r="J421" s="87">
        <v>1.73220111111111</v>
      </c>
      <c r="K421" s="69" t="s">
        <v>274</v>
      </c>
      <c r="L421" s="69"/>
      <c r="M421" s="71"/>
      <c r="N421" s="71"/>
      <c r="O421" s="71"/>
      <c r="P421" s="71" t="s">
        <v>275</v>
      </c>
      <c r="Q421" s="88">
        <v>0.16009855531775199</v>
      </c>
      <c r="R421" s="89" t="s">
        <v>276</v>
      </c>
      <c r="S421" s="89"/>
      <c r="T421">
        <v>8.6999999999999993</v>
      </c>
      <c r="U421" s="76">
        <v>0.2</v>
      </c>
      <c r="V421">
        <v>9.8000000000000007</v>
      </c>
      <c r="W421" s="90">
        <v>0.1</v>
      </c>
      <c r="X421" s="90"/>
      <c r="Y421" s="71"/>
      <c r="Z421" s="71"/>
      <c r="AA421" s="71"/>
      <c r="AB421" s="71"/>
      <c r="AC421" s="71"/>
      <c r="AD421" s="71"/>
      <c r="AE421" s="71"/>
      <c r="AF421" s="71"/>
      <c r="AG421" s="82">
        <v>2.1</v>
      </c>
      <c r="AH421" s="76"/>
      <c r="AI421" s="76"/>
      <c r="AJ421" s="76"/>
      <c r="AK421" s="71">
        <v>0.15</v>
      </c>
      <c r="AL421" s="88">
        <v>3.3848190498164003E-2</v>
      </c>
      <c r="AM421" s="89">
        <f t="shared" si="6"/>
        <v>0.22565460332109336</v>
      </c>
      <c r="AN421" s="78"/>
    </row>
    <row r="422" spans="1:40" x14ac:dyDescent="0.25">
      <c r="A422" t="s">
        <v>44</v>
      </c>
      <c r="B422" t="s">
        <v>45</v>
      </c>
      <c r="C422" s="121" t="s">
        <v>174</v>
      </c>
      <c r="D422" t="s">
        <v>195</v>
      </c>
      <c r="E422" t="s">
        <v>61</v>
      </c>
      <c r="F422">
        <v>2</v>
      </c>
      <c r="G422">
        <v>24</v>
      </c>
      <c r="H422" s="86">
        <v>45960.1765432639</v>
      </c>
      <c r="I422" s="86">
        <v>45960.248730567102</v>
      </c>
      <c r="J422" s="87">
        <v>1.73249527777778</v>
      </c>
      <c r="K422" s="69" t="s">
        <v>274</v>
      </c>
      <c r="L422" s="69"/>
      <c r="M422" s="71"/>
      <c r="N422" s="71"/>
      <c r="O422" s="71"/>
      <c r="P422" s="71" t="s">
        <v>275</v>
      </c>
      <c r="Q422" s="88">
        <v>0.14123164938062799</v>
      </c>
      <c r="R422" s="89" t="s">
        <v>276</v>
      </c>
      <c r="S422" s="89"/>
      <c r="T422">
        <v>8.6999999999999993</v>
      </c>
      <c r="U422" s="76">
        <v>0.2</v>
      </c>
      <c r="V422">
        <v>9.8000000000000007</v>
      </c>
      <c r="W422" s="90">
        <v>0.1</v>
      </c>
      <c r="X422" s="90"/>
      <c r="Y422" s="71"/>
      <c r="Z422" s="71"/>
      <c r="AA422" s="71"/>
      <c r="AB422" s="71"/>
      <c r="AC422" s="71"/>
      <c r="AD422" s="71"/>
      <c r="AE422" s="71"/>
      <c r="AF422" s="71"/>
      <c r="AG422" s="82">
        <v>3</v>
      </c>
      <c r="AH422" s="76"/>
      <c r="AI422" s="76"/>
      <c r="AJ422" s="76"/>
      <c r="AK422" s="71">
        <v>0.15</v>
      </c>
      <c r="AL422" s="88">
        <v>3.3848190498164003E-2</v>
      </c>
      <c r="AM422" s="89">
        <f t="shared" si="6"/>
        <v>0.22565460332109336</v>
      </c>
      <c r="AN422" s="78"/>
    </row>
    <row r="423" spans="1:40" x14ac:dyDescent="0.25">
      <c r="A423" t="s">
        <v>44</v>
      </c>
      <c r="B423" t="s">
        <v>45</v>
      </c>
      <c r="C423" s="121" t="s">
        <v>174</v>
      </c>
      <c r="D423" t="s">
        <v>195</v>
      </c>
      <c r="E423" t="s">
        <v>61</v>
      </c>
      <c r="F423">
        <v>2</v>
      </c>
      <c r="G423">
        <v>25</v>
      </c>
      <c r="H423" s="86">
        <v>45960.248730567102</v>
      </c>
      <c r="I423" s="86">
        <v>45960.320913969903</v>
      </c>
      <c r="J423" s="87">
        <v>1.7324016666666699</v>
      </c>
      <c r="K423" s="69" t="s">
        <v>274</v>
      </c>
      <c r="L423" s="69"/>
      <c r="M423" s="71"/>
      <c r="N423" s="71"/>
      <c r="O423" s="71"/>
      <c r="P423" s="71" t="s">
        <v>275</v>
      </c>
      <c r="Q423" s="88">
        <v>0.12715144203004899</v>
      </c>
      <c r="R423" s="89" t="s">
        <v>276</v>
      </c>
      <c r="S423" s="89"/>
      <c r="T423">
        <v>8.6</v>
      </c>
      <c r="U423" s="76">
        <v>0.2</v>
      </c>
      <c r="V423">
        <v>9.8000000000000007</v>
      </c>
      <c r="W423" s="90">
        <v>0.1</v>
      </c>
      <c r="X423" s="90"/>
      <c r="Y423" s="71"/>
      <c r="Z423" s="71"/>
      <c r="AA423" s="71"/>
      <c r="AB423" s="71"/>
      <c r="AC423" s="71"/>
      <c r="AD423" s="71"/>
      <c r="AE423" s="71"/>
      <c r="AF423" s="71"/>
      <c r="AG423" s="82">
        <v>1.2</v>
      </c>
      <c r="AH423" s="76"/>
      <c r="AI423" s="76"/>
      <c r="AJ423" s="76"/>
      <c r="AK423" s="71">
        <v>0.15</v>
      </c>
      <c r="AL423" s="88">
        <v>3.3848190498164003E-2</v>
      </c>
      <c r="AM423" s="89">
        <f t="shared" si="6"/>
        <v>0.22565460332109336</v>
      </c>
      <c r="AN423" s="78"/>
    </row>
    <row r="424" spans="1:40" x14ac:dyDescent="0.25">
      <c r="A424" t="s">
        <v>44</v>
      </c>
      <c r="B424" t="s">
        <v>45</v>
      </c>
      <c r="C424" s="121" t="s">
        <v>174</v>
      </c>
      <c r="D424" t="s">
        <v>195</v>
      </c>
      <c r="E424" t="s">
        <v>61</v>
      </c>
      <c r="F424">
        <v>2</v>
      </c>
      <c r="G424">
        <v>26</v>
      </c>
      <c r="H424" s="86">
        <v>45960.320913969903</v>
      </c>
      <c r="I424" s="86">
        <v>45960.393099560199</v>
      </c>
      <c r="J424" s="87">
        <v>1.73245416666667</v>
      </c>
      <c r="K424" s="69" t="s">
        <v>274</v>
      </c>
      <c r="L424" s="69"/>
      <c r="M424" s="71"/>
      <c r="N424" s="71"/>
      <c r="O424" s="71"/>
      <c r="P424" s="71" t="s">
        <v>275</v>
      </c>
      <c r="Q424" s="88">
        <v>0.11146916598827</v>
      </c>
      <c r="R424" s="89" t="s">
        <v>276</v>
      </c>
      <c r="S424" s="89"/>
      <c r="T424">
        <v>8.1</v>
      </c>
      <c r="U424" s="76">
        <v>0.2</v>
      </c>
      <c r="V424">
        <v>9.8000000000000007</v>
      </c>
      <c r="W424" s="90">
        <v>0.1</v>
      </c>
      <c r="X424" s="90"/>
      <c r="Y424" s="71"/>
      <c r="Z424" s="71"/>
      <c r="AA424" s="71"/>
      <c r="AB424" s="71"/>
      <c r="AC424" s="71"/>
      <c r="AD424" s="71"/>
      <c r="AE424" s="71"/>
      <c r="AF424" s="71"/>
      <c r="AG424" s="82">
        <v>0.3</v>
      </c>
      <c r="AH424" s="76"/>
      <c r="AI424" s="76"/>
      <c r="AJ424" s="76"/>
      <c r="AK424" s="71">
        <v>0.15</v>
      </c>
      <c r="AL424" s="88">
        <v>3.3848190498164003E-2</v>
      </c>
      <c r="AM424" s="89">
        <f t="shared" si="6"/>
        <v>0.22565460332109336</v>
      </c>
      <c r="AN424" s="78"/>
    </row>
    <row r="425" spans="1:40" x14ac:dyDescent="0.25">
      <c r="A425" t="s">
        <v>44</v>
      </c>
      <c r="B425" t="s">
        <v>45</v>
      </c>
      <c r="C425" s="121" t="s">
        <v>174</v>
      </c>
      <c r="D425" t="s">
        <v>195</v>
      </c>
      <c r="E425" t="s">
        <v>61</v>
      </c>
      <c r="F425">
        <v>2</v>
      </c>
      <c r="G425">
        <v>27</v>
      </c>
      <c r="H425" s="86">
        <v>45960.393099560199</v>
      </c>
      <c r="I425" s="86">
        <v>45960.465281435201</v>
      </c>
      <c r="J425" s="87">
        <v>1.7323649999999999</v>
      </c>
      <c r="K425" s="69" t="s">
        <v>274</v>
      </c>
      <c r="L425" s="69"/>
      <c r="M425" s="71"/>
      <c r="N425" s="71"/>
      <c r="O425" s="71"/>
      <c r="P425" s="71" t="s">
        <v>275</v>
      </c>
      <c r="Q425" s="88">
        <v>0.104536444285997</v>
      </c>
      <c r="R425" s="89" t="s">
        <v>276</v>
      </c>
      <c r="S425" s="89"/>
      <c r="T425">
        <v>8</v>
      </c>
      <c r="U425" s="76">
        <v>0.2</v>
      </c>
      <c r="V425">
        <v>9.8000000000000007</v>
      </c>
      <c r="W425" s="90">
        <v>0.1</v>
      </c>
      <c r="X425" s="90"/>
      <c r="Y425" s="71"/>
      <c r="Z425" s="71"/>
      <c r="AA425" s="71"/>
      <c r="AB425" s="71"/>
      <c r="AC425" s="71"/>
      <c r="AD425" s="71"/>
      <c r="AE425" s="71"/>
      <c r="AF425" s="71"/>
      <c r="AG425" s="82">
        <v>0.5</v>
      </c>
      <c r="AH425" s="76"/>
      <c r="AI425" s="76"/>
      <c r="AJ425" s="76"/>
      <c r="AK425" s="71">
        <v>0.15</v>
      </c>
      <c r="AL425" s="88">
        <v>3.3848190498164003E-2</v>
      </c>
      <c r="AM425" s="89">
        <f t="shared" si="6"/>
        <v>0.22565460332109336</v>
      </c>
      <c r="AN425" s="78"/>
    </row>
    <row r="426" spans="1:40" x14ac:dyDescent="0.25">
      <c r="A426" t="s">
        <v>44</v>
      </c>
      <c r="B426" t="s">
        <v>45</v>
      </c>
      <c r="C426" s="121" t="s">
        <v>174</v>
      </c>
      <c r="D426" t="s">
        <v>195</v>
      </c>
      <c r="E426" t="s">
        <v>61</v>
      </c>
      <c r="F426">
        <v>2</v>
      </c>
      <c r="G426">
        <v>28</v>
      </c>
      <c r="H426" s="86">
        <v>45960.465281435201</v>
      </c>
      <c r="I426" s="86">
        <v>45960.537472685202</v>
      </c>
      <c r="J426" s="87">
        <v>1.7325900000000001</v>
      </c>
      <c r="K426" s="69" t="s">
        <v>274</v>
      </c>
      <c r="L426" s="69"/>
      <c r="M426" s="71"/>
      <c r="N426" s="71"/>
      <c r="O426" s="71"/>
      <c r="P426" s="71" t="s">
        <v>275</v>
      </c>
      <c r="Q426" s="88">
        <v>0.131910190479405</v>
      </c>
      <c r="R426" s="89" t="s">
        <v>276</v>
      </c>
      <c r="S426" s="89"/>
      <c r="T426">
        <v>8.1</v>
      </c>
      <c r="U426" s="76">
        <v>0.2</v>
      </c>
      <c r="V426">
        <v>9.8000000000000007</v>
      </c>
      <c r="W426" s="90">
        <v>0.1</v>
      </c>
      <c r="X426" s="90"/>
      <c r="Y426" s="71"/>
      <c r="Z426" s="71"/>
      <c r="AA426" s="71"/>
      <c r="AB426" s="71"/>
      <c r="AC426" s="71"/>
      <c r="AD426" s="71"/>
      <c r="AE426" s="71"/>
      <c r="AF426" s="71"/>
      <c r="AG426" s="82">
        <v>0</v>
      </c>
      <c r="AH426" s="76"/>
      <c r="AI426" s="76"/>
      <c r="AJ426" s="76"/>
      <c r="AK426" s="71">
        <v>0.15</v>
      </c>
      <c r="AL426" s="88">
        <v>3.3848190498164003E-2</v>
      </c>
      <c r="AM426" s="89">
        <f t="shared" si="6"/>
        <v>0.22565460332109336</v>
      </c>
      <c r="AN426" s="78"/>
    </row>
    <row r="427" spans="1:40" x14ac:dyDescent="0.25">
      <c r="A427" t="s">
        <v>44</v>
      </c>
      <c r="B427" t="s">
        <v>45</v>
      </c>
      <c r="C427" s="121" t="s">
        <v>174</v>
      </c>
      <c r="D427" t="s">
        <v>195</v>
      </c>
      <c r="E427" t="s">
        <v>61</v>
      </c>
      <c r="F427">
        <v>2</v>
      </c>
      <c r="G427">
        <v>29</v>
      </c>
      <c r="H427" s="86">
        <v>45960.537472685202</v>
      </c>
      <c r="I427" s="86">
        <v>45960.609661539398</v>
      </c>
      <c r="J427" s="87">
        <v>1.7325325</v>
      </c>
      <c r="K427" s="69" t="s">
        <v>274</v>
      </c>
      <c r="L427" s="69"/>
      <c r="M427" s="71"/>
      <c r="N427" s="71"/>
      <c r="O427" s="71"/>
      <c r="P427" s="71" t="s">
        <v>275</v>
      </c>
      <c r="Q427" s="88">
        <v>0.13032353723569801</v>
      </c>
      <c r="R427" s="89" t="s">
        <v>276</v>
      </c>
      <c r="S427" s="89"/>
      <c r="T427">
        <v>11</v>
      </c>
      <c r="U427" s="76">
        <v>0.2</v>
      </c>
      <c r="V427">
        <v>9.8000000000000007</v>
      </c>
      <c r="W427" s="90">
        <v>0.1</v>
      </c>
      <c r="X427" s="90"/>
      <c r="Y427" s="71"/>
      <c r="Z427" s="71"/>
      <c r="AA427" s="71"/>
      <c r="AB427" s="71"/>
      <c r="AC427" s="71"/>
      <c r="AD427" s="71"/>
      <c r="AE427" s="71"/>
      <c r="AF427" s="71"/>
      <c r="AG427" s="82">
        <v>0</v>
      </c>
      <c r="AH427" s="76"/>
      <c r="AI427" s="76"/>
      <c r="AJ427" s="76"/>
      <c r="AK427" s="71">
        <v>0.15</v>
      </c>
      <c r="AL427" s="88">
        <v>3.3848190498164003E-2</v>
      </c>
      <c r="AM427" s="89">
        <f t="shared" si="6"/>
        <v>0.22565460332109336</v>
      </c>
      <c r="AN427" s="78"/>
    </row>
    <row r="428" spans="1:40" x14ac:dyDescent="0.25">
      <c r="A428" t="s">
        <v>44</v>
      </c>
      <c r="B428" t="s">
        <v>45</v>
      </c>
      <c r="C428" s="121" t="s">
        <v>174</v>
      </c>
      <c r="D428" t="s">
        <v>195</v>
      </c>
      <c r="E428" t="s">
        <v>61</v>
      </c>
      <c r="F428">
        <v>2</v>
      </c>
      <c r="G428">
        <v>30</v>
      </c>
      <c r="H428" s="86">
        <v>45960.609661539398</v>
      </c>
      <c r="I428" s="86">
        <v>45960.681839849502</v>
      </c>
      <c r="J428" s="87">
        <v>1.73227944444444</v>
      </c>
      <c r="K428" s="69" t="s">
        <v>274</v>
      </c>
      <c r="L428" s="69"/>
      <c r="M428" s="71"/>
      <c r="N428" s="71"/>
      <c r="O428" s="71"/>
      <c r="P428" s="71" t="s">
        <v>275</v>
      </c>
      <c r="Q428" s="88">
        <v>8.1539521114934996E-2</v>
      </c>
      <c r="R428" s="89" t="s">
        <v>276</v>
      </c>
      <c r="S428" s="89"/>
      <c r="T428">
        <v>9.1</v>
      </c>
      <c r="U428" s="76">
        <v>0.2</v>
      </c>
      <c r="V428">
        <v>9.9</v>
      </c>
      <c r="W428" s="90">
        <v>0.1</v>
      </c>
      <c r="X428" s="90"/>
      <c r="Y428" s="71"/>
      <c r="Z428" s="71"/>
      <c r="AA428" s="71"/>
      <c r="AB428" s="71"/>
      <c r="AC428" s="71"/>
      <c r="AD428" s="71"/>
      <c r="AE428" s="71"/>
      <c r="AF428" s="71"/>
      <c r="AG428" s="82">
        <v>1.2</v>
      </c>
      <c r="AH428" s="76"/>
      <c r="AI428" s="76"/>
      <c r="AJ428" s="76"/>
      <c r="AK428" s="71">
        <v>0.15</v>
      </c>
      <c r="AL428" s="88">
        <v>3.3848190498164003E-2</v>
      </c>
      <c r="AM428" s="89">
        <f t="shared" si="6"/>
        <v>0.22565460332109336</v>
      </c>
      <c r="AN428" s="78"/>
    </row>
    <row r="429" spans="1:40" x14ac:dyDescent="0.25">
      <c r="A429" t="s">
        <v>44</v>
      </c>
      <c r="B429" t="s">
        <v>45</v>
      </c>
      <c r="C429" s="121" t="s">
        <v>174</v>
      </c>
      <c r="D429" t="s">
        <v>195</v>
      </c>
      <c r="E429" t="s">
        <v>61</v>
      </c>
      <c r="F429">
        <v>2</v>
      </c>
      <c r="G429">
        <v>31</v>
      </c>
      <c r="H429" s="86">
        <v>45960.681839849502</v>
      </c>
      <c r="I429" s="86">
        <v>45960.754036342601</v>
      </c>
      <c r="J429" s="87">
        <v>1.7327158333333299</v>
      </c>
      <c r="K429" s="69" t="s">
        <v>274</v>
      </c>
      <c r="L429" s="69"/>
      <c r="M429" s="71"/>
      <c r="N429" s="71"/>
      <c r="O429" s="71"/>
      <c r="P429" s="71" t="s">
        <v>275</v>
      </c>
      <c r="Q429" s="88">
        <v>3.1039818246970202E-2</v>
      </c>
      <c r="R429" s="89" t="s">
        <v>276</v>
      </c>
      <c r="S429" s="89"/>
      <c r="T429">
        <v>7</v>
      </c>
      <c r="U429" s="76">
        <v>0.2</v>
      </c>
      <c r="V429">
        <v>10</v>
      </c>
      <c r="W429" s="90">
        <v>0.1</v>
      </c>
      <c r="X429" s="90"/>
      <c r="Y429" s="71"/>
      <c r="Z429" s="71"/>
      <c r="AA429" s="71"/>
      <c r="AB429" s="71"/>
      <c r="AC429" s="71"/>
      <c r="AD429" s="71"/>
      <c r="AE429" s="71"/>
      <c r="AF429" s="71"/>
      <c r="AG429" s="82">
        <v>0</v>
      </c>
      <c r="AH429" s="76"/>
      <c r="AI429" s="76"/>
      <c r="AJ429" s="76"/>
      <c r="AK429" s="71">
        <v>0.15</v>
      </c>
      <c r="AL429" s="88">
        <v>3.3848190498164003E-2</v>
      </c>
      <c r="AM429" s="89">
        <f t="shared" si="6"/>
        <v>0.22565460332109336</v>
      </c>
      <c r="AN429" s="78"/>
    </row>
    <row r="430" spans="1:40" x14ac:dyDescent="0.25">
      <c r="A430" t="s">
        <v>44</v>
      </c>
      <c r="B430" t="s">
        <v>45</v>
      </c>
      <c r="C430" s="121" t="s">
        <v>174</v>
      </c>
      <c r="D430" t="s">
        <v>195</v>
      </c>
      <c r="E430" t="s">
        <v>61</v>
      </c>
      <c r="F430">
        <v>2</v>
      </c>
      <c r="G430">
        <v>32</v>
      </c>
      <c r="H430" s="86">
        <v>45960.754036342601</v>
      </c>
      <c r="I430" s="86">
        <v>45960.826204189798</v>
      </c>
      <c r="J430" s="87">
        <v>1.73202833333333</v>
      </c>
      <c r="K430" s="69" t="s">
        <v>274</v>
      </c>
      <c r="L430" s="69"/>
      <c r="M430" s="71"/>
      <c r="N430" s="71"/>
      <c r="O430" s="71"/>
      <c r="P430" s="71" t="s">
        <v>275</v>
      </c>
      <c r="Q430" s="88">
        <v>2.2918604593463902E-2</v>
      </c>
      <c r="R430" s="89" t="s">
        <v>276</v>
      </c>
      <c r="S430" s="89"/>
      <c r="T430">
        <v>3.1</v>
      </c>
      <c r="U430" s="76">
        <v>0.2</v>
      </c>
      <c r="V430">
        <v>9.9</v>
      </c>
      <c r="W430" s="90">
        <v>0.1</v>
      </c>
      <c r="X430" s="90"/>
      <c r="Y430" s="71"/>
      <c r="Z430" s="71"/>
      <c r="AA430" s="71"/>
      <c r="AB430" s="71"/>
      <c r="AC430" s="71"/>
      <c r="AD430" s="71"/>
      <c r="AE430" s="71"/>
      <c r="AF430" s="71"/>
      <c r="AG430" s="82">
        <v>0</v>
      </c>
      <c r="AH430" s="76"/>
      <c r="AI430" s="76"/>
      <c r="AJ430" s="76"/>
      <c r="AK430" s="71">
        <v>0.15</v>
      </c>
      <c r="AL430" s="88">
        <v>3.3848190498164003E-2</v>
      </c>
      <c r="AM430" s="89">
        <f t="shared" si="6"/>
        <v>0.22565460332109336</v>
      </c>
      <c r="AN430" s="78"/>
    </row>
    <row r="431" spans="1:40" x14ac:dyDescent="0.25">
      <c r="A431" t="s">
        <v>44</v>
      </c>
      <c r="B431" t="s">
        <v>45</v>
      </c>
      <c r="C431" s="121" t="s">
        <v>174</v>
      </c>
      <c r="D431" t="s">
        <v>195</v>
      </c>
      <c r="E431" t="s">
        <v>61</v>
      </c>
      <c r="F431">
        <v>2</v>
      </c>
      <c r="G431">
        <v>33</v>
      </c>
      <c r="H431" s="86">
        <v>45960.826204189798</v>
      </c>
      <c r="I431" s="86">
        <v>45960.898387731497</v>
      </c>
      <c r="J431" s="87">
        <v>1.732405</v>
      </c>
      <c r="K431" s="69" t="s">
        <v>274</v>
      </c>
      <c r="L431" s="69"/>
      <c r="M431" s="71"/>
      <c r="N431" s="71"/>
      <c r="O431" s="71"/>
      <c r="P431" s="71" t="s">
        <v>275</v>
      </c>
      <c r="Q431" s="88">
        <v>2.5223403077934199E-2</v>
      </c>
      <c r="R431" s="89" t="s">
        <v>276</v>
      </c>
      <c r="S431" s="89"/>
      <c r="T431">
        <v>3.1</v>
      </c>
      <c r="U431" s="76">
        <v>0.2</v>
      </c>
      <c r="V431">
        <v>9.6999999999999993</v>
      </c>
      <c r="W431" s="90">
        <v>0.1</v>
      </c>
      <c r="X431" s="90"/>
      <c r="Y431" s="71"/>
      <c r="Z431" s="71"/>
      <c r="AA431" s="71"/>
      <c r="AB431" s="71"/>
      <c r="AC431" s="71"/>
      <c r="AD431" s="71"/>
      <c r="AE431" s="71"/>
      <c r="AF431" s="71"/>
      <c r="AG431" s="82">
        <v>0</v>
      </c>
      <c r="AH431" s="76"/>
      <c r="AI431" s="76"/>
      <c r="AJ431" s="76"/>
      <c r="AK431" s="71">
        <v>0.15</v>
      </c>
      <c r="AL431" s="88">
        <v>3.3848190498164003E-2</v>
      </c>
      <c r="AM431" s="89">
        <f t="shared" si="6"/>
        <v>0.22565460332109336</v>
      </c>
      <c r="AN431" s="78"/>
    </row>
    <row r="432" spans="1:40" x14ac:dyDescent="0.25">
      <c r="A432" t="s">
        <v>44</v>
      </c>
      <c r="B432" t="s">
        <v>45</v>
      </c>
      <c r="C432" s="121" t="s">
        <v>174</v>
      </c>
      <c r="D432" t="s">
        <v>195</v>
      </c>
      <c r="E432" t="s">
        <v>61</v>
      </c>
      <c r="F432">
        <v>2</v>
      </c>
      <c r="G432">
        <v>34</v>
      </c>
      <c r="H432" s="86">
        <v>45960.898387731497</v>
      </c>
      <c r="I432" s="86">
        <v>45960.970573622697</v>
      </c>
      <c r="J432" s="87">
        <v>1.73246138888889</v>
      </c>
      <c r="K432" s="69" t="s">
        <v>274</v>
      </c>
      <c r="L432" s="69"/>
      <c r="M432" s="71"/>
      <c r="N432" s="71"/>
      <c r="O432" s="71"/>
      <c r="P432" s="71" t="s">
        <v>275</v>
      </c>
      <c r="Q432" s="88">
        <v>2.61062960956636E-2</v>
      </c>
      <c r="R432" s="89" t="s">
        <v>276</v>
      </c>
      <c r="S432" s="89"/>
      <c r="T432">
        <v>3.6</v>
      </c>
      <c r="U432" s="76">
        <v>0.2</v>
      </c>
      <c r="V432">
        <v>9.5</v>
      </c>
      <c r="W432" s="90">
        <v>0.1</v>
      </c>
      <c r="X432" s="90"/>
      <c r="Y432" s="71"/>
      <c r="Z432" s="71"/>
      <c r="AA432" s="71"/>
      <c r="AB432" s="71"/>
      <c r="AC432" s="71"/>
      <c r="AD432" s="71"/>
      <c r="AE432" s="71"/>
      <c r="AF432" s="71"/>
      <c r="AG432" s="82">
        <v>0</v>
      </c>
      <c r="AH432" s="76"/>
      <c r="AI432" s="76"/>
      <c r="AJ432" s="76"/>
      <c r="AK432" s="71">
        <v>0.15</v>
      </c>
      <c r="AL432" s="88">
        <v>3.3848190498164003E-2</v>
      </c>
      <c r="AM432" s="89">
        <f t="shared" si="6"/>
        <v>0.22565460332109336</v>
      </c>
      <c r="AN432" s="78"/>
    </row>
    <row r="433" spans="1:40" x14ac:dyDescent="0.25">
      <c r="A433" t="s">
        <v>44</v>
      </c>
      <c r="B433" t="s">
        <v>45</v>
      </c>
      <c r="C433" s="121" t="s">
        <v>174</v>
      </c>
      <c r="D433" t="s">
        <v>195</v>
      </c>
      <c r="E433" t="s">
        <v>61</v>
      </c>
      <c r="F433">
        <v>2</v>
      </c>
      <c r="G433">
        <v>35</v>
      </c>
      <c r="H433" s="86">
        <v>45960.970573622697</v>
      </c>
      <c r="I433" s="86">
        <v>45961.042759536998</v>
      </c>
      <c r="J433" s="87">
        <v>1.73246194444444</v>
      </c>
      <c r="K433" s="69" t="s">
        <v>274</v>
      </c>
      <c r="L433" s="69"/>
      <c r="M433" s="71"/>
      <c r="N433" s="71"/>
      <c r="O433" s="71"/>
      <c r="P433" s="71" t="s">
        <v>275</v>
      </c>
      <c r="Q433" s="88">
        <v>2.7009908620876301E-2</v>
      </c>
      <c r="R433" s="89" t="s">
        <v>276</v>
      </c>
      <c r="S433" s="89"/>
      <c r="T433">
        <v>2.7</v>
      </c>
      <c r="U433" s="76">
        <v>0.2</v>
      </c>
      <c r="V433">
        <v>9.3000000000000007</v>
      </c>
      <c r="W433" s="90">
        <v>0.1</v>
      </c>
      <c r="X433" s="90"/>
      <c r="Y433" s="71"/>
      <c r="Z433" s="71"/>
      <c r="AA433" s="71"/>
      <c r="AB433" s="71"/>
      <c r="AC433" s="71"/>
      <c r="AD433" s="71"/>
      <c r="AE433" s="71"/>
      <c r="AF433" s="71"/>
      <c r="AG433" s="82">
        <v>0</v>
      </c>
      <c r="AH433" s="76"/>
      <c r="AI433" s="76"/>
      <c r="AJ433" s="76"/>
      <c r="AK433" s="71">
        <v>0.15</v>
      </c>
      <c r="AL433" s="88">
        <v>3.3848190498164003E-2</v>
      </c>
      <c r="AM433" s="89">
        <f t="shared" si="6"/>
        <v>0.22565460332109336</v>
      </c>
      <c r="AN433" s="78"/>
    </row>
    <row r="434" spans="1:40" x14ac:dyDescent="0.25">
      <c r="A434" t="s">
        <v>44</v>
      </c>
      <c r="B434" t="s">
        <v>45</v>
      </c>
      <c r="C434" s="121" t="s">
        <v>174</v>
      </c>
      <c r="D434" t="s">
        <v>195</v>
      </c>
      <c r="E434" t="s">
        <v>61</v>
      </c>
      <c r="F434">
        <v>2</v>
      </c>
      <c r="G434">
        <v>36</v>
      </c>
      <c r="H434" s="86">
        <v>45961.042759536998</v>
      </c>
      <c r="I434" s="86">
        <v>45961.114942199099</v>
      </c>
      <c r="J434" s="87">
        <v>1.7323838888888901</v>
      </c>
      <c r="K434" s="69" t="s">
        <v>274</v>
      </c>
      <c r="L434" s="69"/>
      <c r="M434" s="71"/>
      <c r="N434" s="71"/>
      <c r="O434" s="71"/>
      <c r="P434" s="71" t="s">
        <v>275</v>
      </c>
      <c r="Q434" s="88">
        <v>2.6560684013578001E-2</v>
      </c>
      <c r="R434" s="89" t="s">
        <v>276</v>
      </c>
      <c r="S434" s="89"/>
      <c r="T434">
        <v>3.4</v>
      </c>
      <c r="U434" s="76">
        <v>0.2</v>
      </c>
      <c r="V434">
        <v>9.1</v>
      </c>
      <c r="W434" s="90">
        <v>0.1</v>
      </c>
      <c r="X434" s="90"/>
      <c r="Y434" s="71"/>
      <c r="Z434" s="71"/>
      <c r="AA434" s="71"/>
      <c r="AB434" s="71"/>
      <c r="AC434" s="71"/>
      <c r="AD434" s="71"/>
      <c r="AE434" s="71"/>
      <c r="AF434" s="71"/>
      <c r="AG434" s="82">
        <v>0</v>
      </c>
      <c r="AH434" s="76"/>
      <c r="AI434" s="76"/>
      <c r="AJ434" s="76"/>
      <c r="AK434" s="71">
        <v>0.15</v>
      </c>
      <c r="AL434" s="88">
        <v>3.3848190498164003E-2</v>
      </c>
      <c r="AM434" s="89">
        <f t="shared" si="6"/>
        <v>0.22565460332109336</v>
      </c>
      <c r="AN434" s="78"/>
    </row>
    <row r="435" spans="1:40" x14ac:dyDescent="0.25">
      <c r="A435" t="s">
        <v>44</v>
      </c>
      <c r="B435" t="s">
        <v>45</v>
      </c>
      <c r="C435" s="121" t="s">
        <v>174</v>
      </c>
      <c r="D435" t="s">
        <v>195</v>
      </c>
      <c r="E435" t="s">
        <v>61</v>
      </c>
      <c r="F435">
        <v>2</v>
      </c>
      <c r="G435">
        <v>37</v>
      </c>
      <c r="H435" s="86">
        <v>45961.114942199099</v>
      </c>
      <c r="I435" s="86">
        <v>45961.187127951402</v>
      </c>
      <c r="J435" s="87">
        <v>1.73245805555556</v>
      </c>
      <c r="K435" s="69" t="s">
        <v>274</v>
      </c>
      <c r="L435" s="69"/>
      <c r="M435" s="71"/>
      <c r="N435" s="71"/>
      <c r="O435" s="71"/>
      <c r="P435" s="71" t="s">
        <v>275</v>
      </c>
      <c r="Q435" s="88">
        <v>3.5146934700139403E-2</v>
      </c>
      <c r="R435" s="89" t="s">
        <v>276</v>
      </c>
      <c r="S435" s="89"/>
      <c r="T435">
        <v>4.5999999999999996</v>
      </c>
      <c r="U435" s="76">
        <v>0.2</v>
      </c>
      <c r="V435">
        <v>9</v>
      </c>
      <c r="W435" s="90">
        <v>0.1</v>
      </c>
      <c r="X435" s="90"/>
      <c r="Y435" s="71"/>
      <c r="Z435" s="71"/>
      <c r="AA435" s="71"/>
      <c r="AB435" s="71"/>
      <c r="AC435" s="71"/>
      <c r="AD435" s="71"/>
      <c r="AE435" s="71"/>
      <c r="AF435" s="71"/>
      <c r="AG435" s="82">
        <v>0</v>
      </c>
      <c r="AH435" s="76"/>
      <c r="AI435" s="76"/>
      <c r="AJ435" s="76"/>
      <c r="AK435" s="71">
        <v>0.15</v>
      </c>
      <c r="AL435" s="88">
        <v>3.3848190498164003E-2</v>
      </c>
      <c r="AM435" s="89">
        <f t="shared" si="6"/>
        <v>0.22565460332109336</v>
      </c>
      <c r="AN435" s="78"/>
    </row>
    <row r="436" spans="1:40" x14ac:dyDescent="0.25">
      <c r="A436" t="s">
        <v>44</v>
      </c>
      <c r="B436" t="s">
        <v>45</v>
      </c>
      <c r="C436" s="121" t="s">
        <v>174</v>
      </c>
      <c r="D436" t="s">
        <v>195</v>
      </c>
      <c r="E436" t="s">
        <v>61</v>
      </c>
      <c r="F436">
        <v>2</v>
      </c>
      <c r="G436">
        <v>38</v>
      </c>
      <c r="H436" s="86">
        <v>45961.187127951402</v>
      </c>
      <c r="I436" s="86">
        <v>45961.259309548601</v>
      </c>
      <c r="J436" s="87">
        <v>1.7323583333333299</v>
      </c>
      <c r="K436" s="69" t="s">
        <v>274</v>
      </c>
      <c r="L436" s="69"/>
      <c r="M436" s="71"/>
      <c r="N436" s="71"/>
      <c r="O436" s="71"/>
      <c r="P436" s="71" t="s">
        <v>275</v>
      </c>
      <c r="Q436" s="88">
        <v>3.1379394145528698E-2</v>
      </c>
      <c r="R436" s="89" t="s">
        <v>276</v>
      </c>
      <c r="S436" s="89"/>
      <c r="T436">
        <v>4.2</v>
      </c>
      <c r="U436" s="76">
        <v>0.2</v>
      </c>
      <c r="V436">
        <v>9</v>
      </c>
      <c r="W436" s="90">
        <v>0.1</v>
      </c>
      <c r="X436" s="90"/>
      <c r="Y436" s="71"/>
      <c r="Z436" s="71"/>
      <c r="AA436" s="71"/>
      <c r="AB436" s="71"/>
      <c r="AC436" s="71"/>
      <c r="AD436" s="71"/>
      <c r="AE436" s="71"/>
      <c r="AF436" s="71"/>
      <c r="AG436" s="82">
        <v>0</v>
      </c>
      <c r="AH436" s="76"/>
      <c r="AI436" s="76"/>
      <c r="AJ436" s="76"/>
      <c r="AK436" s="71">
        <v>0.15</v>
      </c>
      <c r="AL436" s="88">
        <v>3.3848190498164003E-2</v>
      </c>
      <c r="AM436" s="89">
        <f t="shared" si="6"/>
        <v>0.22565460332109336</v>
      </c>
      <c r="AN436" s="78"/>
    </row>
    <row r="437" spans="1:40" x14ac:dyDescent="0.25">
      <c r="A437" t="s">
        <v>44</v>
      </c>
      <c r="B437" t="s">
        <v>45</v>
      </c>
      <c r="C437" s="121" t="s">
        <v>174</v>
      </c>
      <c r="D437" t="s">
        <v>195</v>
      </c>
      <c r="E437" t="s">
        <v>61</v>
      </c>
      <c r="F437">
        <v>2</v>
      </c>
      <c r="G437">
        <v>39</v>
      </c>
      <c r="H437" s="86">
        <v>45961.259309548601</v>
      </c>
      <c r="I437" s="86">
        <v>45961.331488738397</v>
      </c>
      <c r="J437" s="87">
        <v>1.73230055555556</v>
      </c>
      <c r="K437" s="69" t="s">
        <v>274</v>
      </c>
      <c r="L437" s="69"/>
      <c r="M437" s="71"/>
      <c r="N437" s="71"/>
      <c r="O437" s="71"/>
      <c r="P437" s="71" t="s">
        <v>275</v>
      </c>
      <c r="Q437" s="88">
        <v>3.0672465726658701E-2</v>
      </c>
      <c r="R437" s="89" t="s">
        <v>276</v>
      </c>
      <c r="S437" s="89"/>
      <c r="T437">
        <v>3.9</v>
      </c>
      <c r="U437" s="76">
        <v>0.2</v>
      </c>
      <c r="V437">
        <v>8.9</v>
      </c>
      <c r="W437" s="90">
        <v>0.1</v>
      </c>
      <c r="X437" s="90"/>
      <c r="Y437" s="71"/>
      <c r="Z437" s="71"/>
      <c r="AA437" s="71"/>
      <c r="AB437" s="71"/>
      <c r="AC437" s="71"/>
      <c r="AD437" s="71"/>
      <c r="AE437" s="71"/>
      <c r="AF437" s="71"/>
      <c r="AG437" s="82">
        <v>0</v>
      </c>
      <c r="AH437" s="76"/>
      <c r="AI437" s="76"/>
      <c r="AJ437" s="76"/>
      <c r="AK437" s="71">
        <v>0.15</v>
      </c>
      <c r="AL437" s="88">
        <v>3.3848190498164003E-2</v>
      </c>
      <c r="AM437" s="89">
        <f t="shared" si="6"/>
        <v>0.22565460332109336</v>
      </c>
      <c r="AN437" s="78"/>
    </row>
    <row r="438" spans="1:40" x14ac:dyDescent="0.25">
      <c r="A438" t="s">
        <v>44</v>
      </c>
      <c r="B438" t="s">
        <v>45</v>
      </c>
      <c r="C438" s="121" t="s">
        <v>174</v>
      </c>
      <c r="D438" t="s">
        <v>195</v>
      </c>
      <c r="E438" t="s">
        <v>61</v>
      </c>
      <c r="F438">
        <v>2</v>
      </c>
      <c r="G438">
        <v>40</v>
      </c>
      <c r="H438" s="86">
        <v>45961.331488738397</v>
      </c>
      <c r="I438" s="86">
        <v>45961.403681203701</v>
      </c>
      <c r="J438" s="87">
        <v>1.7326191666666699</v>
      </c>
      <c r="K438" s="69" t="s">
        <v>274</v>
      </c>
      <c r="L438" s="69"/>
      <c r="M438" s="71"/>
      <c r="N438" s="71"/>
      <c r="O438" s="71"/>
      <c r="P438" s="71" t="s">
        <v>275</v>
      </c>
      <c r="Q438" s="88">
        <v>2.8623247700961599E-2</v>
      </c>
      <c r="R438" s="89" t="s">
        <v>276</v>
      </c>
      <c r="S438" s="89"/>
      <c r="T438">
        <v>4.7</v>
      </c>
      <c r="U438" s="76">
        <v>0.2</v>
      </c>
      <c r="V438">
        <v>8.8000000000000007</v>
      </c>
      <c r="W438" s="90">
        <v>0.1</v>
      </c>
      <c r="X438" s="90"/>
      <c r="Y438" s="71"/>
      <c r="Z438" s="71"/>
      <c r="AA438" s="71"/>
      <c r="AB438" s="71"/>
      <c r="AC438" s="71"/>
      <c r="AD438" s="71"/>
      <c r="AE438" s="71"/>
      <c r="AF438" s="71"/>
      <c r="AG438" s="82">
        <v>0</v>
      </c>
      <c r="AH438" s="76"/>
      <c r="AI438" s="76"/>
      <c r="AJ438" s="76"/>
      <c r="AK438" s="71">
        <v>0.15</v>
      </c>
      <c r="AL438" s="88">
        <v>3.3848190498164003E-2</v>
      </c>
      <c r="AM438" s="89">
        <f t="shared" si="6"/>
        <v>0.22565460332109336</v>
      </c>
      <c r="AN438" s="78"/>
    </row>
    <row r="439" spans="1:40" x14ac:dyDescent="0.25">
      <c r="A439" t="s">
        <v>44</v>
      </c>
      <c r="B439" t="s">
        <v>45</v>
      </c>
      <c r="C439" s="121" t="s">
        <v>174</v>
      </c>
      <c r="D439" t="s">
        <v>195</v>
      </c>
      <c r="E439" t="s">
        <v>61</v>
      </c>
      <c r="F439">
        <v>2</v>
      </c>
      <c r="G439">
        <v>41</v>
      </c>
      <c r="H439" s="86">
        <v>45961.403681203701</v>
      </c>
      <c r="I439" s="86">
        <v>45961.475863796302</v>
      </c>
      <c r="J439" s="87">
        <v>1.73238222222222</v>
      </c>
      <c r="K439" s="69" t="s">
        <v>274</v>
      </c>
      <c r="L439" s="69"/>
      <c r="M439" s="71"/>
      <c r="N439" s="71"/>
      <c r="O439" s="71"/>
      <c r="P439" s="71" t="s">
        <v>275</v>
      </c>
      <c r="Q439" s="88">
        <v>6.3563189772593898E-2</v>
      </c>
      <c r="R439" s="89" t="s">
        <v>276</v>
      </c>
      <c r="S439" s="89"/>
      <c r="T439">
        <v>7.3</v>
      </c>
      <c r="U439" s="76">
        <v>0.2</v>
      </c>
      <c r="V439">
        <v>8.6999999999999993</v>
      </c>
      <c r="W439" s="90">
        <v>0.1</v>
      </c>
      <c r="X439" s="90"/>
      <c r="Y439" s="71"/>
      <c r="Z439" s="71"/>
      <c r="AA439" s="71"/>
      <c r="AB439" s="71"/>
      <c r="AC439" s="71"/>
      <c r="AD439" s="71"/>
      <c r="AE439" s="71"/>
      <c r="AF439" s="71"/>
      <c r="AG439" s="82">
        <v>0</v>
      </c>
      <c r="AH439" s="76"/>
      <c r="AI439" s="76"/>
      <c r="AJ439" s="76"/>
      <c r="AK439" s="71">
        <v>0.15</v>
      </c>
      <c r="AL439" s="88">
        <v>3.3848190498164003E-2</v>
      </c>
      <c r="AM439" s="89">
        <f t="shared" si="6"/>
        <v>0.22565460332109336</v>
      </c>
      <c r="AN439" s="78"/>
    </row>
    <row r="440" spans="1:40" x14ac:dyDescent="0.25">
      <c r="A440" t="s">
        <v>44</v>
      </c>
      <c r="B440" t="s">
        <v>45</v>
      </c>
      <c r="C440" s="121" t="s">
        <v>174</v>
      </c>
      <c r="D440" t="s">
        <v>195</v>
      </c>
      <c r="E440" t="s">
        <v>61</v>
      </c>
      <c r="F440">
        <v>2</v>
      </c>
      <c r="G440">
        <v>42</v>
      </c>
      <c r="H440" s="86">
        <v>45961.475863796302</v>
      </c>
      <c r="I440" s="86">
        <v>45961.548039699097</v>
      </c>
      <c r="J440" s="87">
        <v>1.7322216666666701</v>
      </c>
      <c r="K440" s="69" t="s">
        <v>274</v>
      </c>
      <c r="L440" s="69"/>
      <c r="M440" s="71"/>
      <c r="N440" s="71"/>
      <c r="O440" s="71"/>
      <c r="P440" s="71" t="s">
        <v>275</v>
      </c>
      <c r="Q440" s="88">
        <v>7.8389785784001104E-2</v>
      </c>
      <c r="R440" s="89" t="s">
        <v>276</v>
      </c>
      <c r="S440" s="89"/>
      <c r="T440">
        <v>9.5</v>
      </c>
      <c r="U440" s="76">
        <v>0.2</v>
      </c>
      <c r="V440">
        <v>8.6999999999999993</v>
      </c>
      <c r="W440" s="90">
        <v>0.1</v>
      </c>
      <c r="X440" s="90"/>
      <c r="Y440" s="71"/>
      <c r="Z440" s="71"/>
      <c r="AA440" s="71"/>
      <c r="AB440" s="71"/>
      <c r="AC440" s="71"/>
      <c r="AD440" s="71"/>
      <c r="AE440" s="71"/>
      <c r="AF440" s="71"/>
      <c r="AG440" s="82">
        <v>0</v>
      </c>
      <c r="AH440" s="76"/>
      <c r="AI440" s="76"/>
      <c r="AJ440" s="76"/>
      <c r="AK440" s="71">
        <v>0.15</v>
      </c>
      <c r="AL440" s="88">
        <v>3.3848190498164003E-2</v>
      </c>
      <c r="AM440" s="89">
        <f t="shared" si="6"/>
        <v>0.22565460332109336</v>
      </c>
      <c r="AN440" s="78"/>
    </row>
    <row r="441" spans="1:40" x14ac:dyDescent="0.25">
      <c r="A441" t="s">
        <v>44</v>
      </c>
      <c r="B441" t="s">
        <v>45</v>
      </c>
      <c r="C441" s="121" t="s">
        <v>174</v>
      </c>
      <c r="D441" t="s">
        <v>195</v>
      </c>
      <c r="E441" t="s">
        <v>61</v>
      </c>
      <c r="F441">
        <v>2</v>
      </c>
      <c r="G441">
        <v>43</v>
      </c>
      <c r="H441" s="86">
        <v>45961.548039699097</v>
      </c>
      <c r="I441" s="86">
        <v>45961.620222338002</v>
      </c>
      <c r="J441" s="87">
        <v>1.7323833333333301</v>
      </c>
      <c r="K441" s="69" t="s">
        <v>274</v>
      </c>
      <c r="L441" s="69"/>
      <c r="M441" s="71"/>
      <c r="N441" s="71"/>
      <c r="O441" s="71"/>
      <c r="P441" s="71" t="s">
        <v>275</v>
      </c>
      <c r="Q441" s="88">
        <v>5.7672584852606401E-2</v>
      </c>
      <c r="R441" s="89" t="s">
        <v>276</v>
      </c>
      <c r="S441" s="89"/>
      <c r="T441">
        <v>10.5</v>
      </c>
      <c r="U441" s="76">
        <v>0.2</v>
      </c>
      <c r="V441">
        <v>8.9</v>
      </c>
      <c r="W441" s="90">
        <v>0.1</v>
      </c>
      <c r="X441" s="90"/>
      <c r="Y441" s="71"/>
      <c r="Z441" s="71"/>
      <c r="AA441" s="71"/>
      <c r="AB441" s="71"/>
      <c r="AC441" s="71"/>
      <c r="AD441" s="71"/>
      <c r="AE441" s="71"/>
      <c r="AF441" s="71"/>
      <c r="AG441" s="82">
        <v>0</v>
      </c>
      <c r="AH441" s="76"/>
      <c r="AI441" s="76"/>
      <c r="AJ441" s="76"/>
      <c r="AK441" s="71">
        <v>0.15</v>
      </c>
      <c r="AL441" s="88">
        <v>3.3848190498164003E-2</v>
      </c>
      <c r="AM441" s="89">
        <f t="shared" si="6"/>
        <v>0.22565460332109336</v>
      </c>
      <c r="AN441" s="78"/>
    </row>
    <row r="442" spans="1:40" x14ac:dyDescent="0.25">
      <c r="A442" t="s">
        <v>44</v>
      </c>
      <c r="B442" t="s">
        <v>45</v>
      </c>
      <c r="C442" s="121" t="s">
        <v>174</v>
      </c>
      <c r="D442" t="s">
        <v>195</v>
      </c>
      <c r="E442" t="s">
        <v>61</v>
      </c>
      <c r="F442">
        <v>2</v>
      </c>
      <c r="G442">
        <v>44</v>
      </c>
      <c r="H442" s="86">
        <v>45961.620222338002</v>
      </c>
      <c r="I442" s="86">
        <v>45961.692406840302</v>
      </c>
      <c r="J442" s="87">
        <v>1.73242805555556</v>
      </c>
      <c r="K442" s="69" t="s">
        <v>274</v>
      </c>
      <c r="L442" s="69"/>
      <c r="M442" s="71"/>
      <c r="N442" s="71"/>
      <c r="O442" s="71"/>
      <c r="P442" s="71" t="s">
        <v>275</v>
      </c>
      <c r="Q442" s="88">
        <v>3.7706585145711097E-2</v>
      </c>
      <c r="R442" s="89" t="s">
        <v>276</v>
      </c>
      <c r="S442" s="89"/>
      <c r="T442">
        <v>9.9</v>
      </c>
      <c r="U442" s="76">
        <v>0.2</v>
      </c>
      <c r="V442">
        <v>9.1</v>
      </c>
      <c r="W442" s="90">
        <v>0.1</v>
      </c>
      <c r="X442" s="90"/>
      <c r="Y442" s="71"/>
      <c r="Z442" s="71"/>
      <c r="AA442" s="71"/>
      <c r="AB442" s="71"/>
      <c r="AC442" s="71"/>
      <c r="AD442" s="71"/>
      <c r="AE442" s="71"/>
      <c r="AF442" s="71"/>
      <c r="AG442" s="82">
        <v>0</v>
      </c>
      <c r="AH442" s="76"/>
      <c r="AI442" s="76"/>
      <c r="AJ442" s="76"/>
      <c r="AK442" s="71">
        <v>0.15</v>
      </c>
      <c r="AL442" s="88">
        <v>3.3848190498164003E-2</v>
      </c>
      <c r="AM442" s="89">
        <f t="shared" si="6"/>
        <v>0.22565460332109336</v>
      </c>
      <c r="AN442" s="78"/>
    </row>
    <row r="443" spans="1:40" x14ac:dyDescent="0.25">
      <c r="A443" t="s">
        <v>44</v>
      </c>
      <c r="B443" t="s">
        <v>45</v>
      </c>
      <c r="C443" s="121" t="s">
        <v>174</v>
      </c>
      <c r="D443" t="s">
        <v>195</v>
      </c>
      <c r="E443" t="s">
        <v>61</v>
      </c>
      <c r="F443">
        <v>2</v>
      </c>
      <c r="G443">
        <v>45</v>
      </c>
      <c r="H443" s="86">
        <v>45961.692406840302</v>
      </c>
      <c r="I443" s="86">
        <v>45961.764604259297</v>
      </c>
      <c r="J443" s="87">
        <v>1.73273805555556</v>
      </c>
      <c r="K443" s="69" t="s">
        <v>274</v>
      </c>
      <c r="L443" s="69"/>
      <c r="M443" s="71"/>
      <c r="N443" s="71"/>
      <c r="O443" s="71"/>
      <c r="P443" s="71" t="s">
        <v>275</v>
      </c>
      <c r="Q443" s="88">
        <v>1.7517171136053201E-2</v>
      </c>
      <c r="R443" s="89" t="s">
        <v>276</v>
      </c>
      <c r="S443" s="89"/>
      <c r="T443">
        <v>7.7</v>
      </c>
      <c r="U443" s="76">
        <v>0.2</v>
      </c>
      <c r="V443">
        <v>9.3000000000000007</v>
      </c>
      <c r="W443" s="90">
        <v>0.1</v>
      </c>
      <c r="X443" s="90"/>
      <c r="Y443" s="71"/>
      <c r="Z443" s="71"/>
      <c r="AA443" s="71"/>
      <c r="AB443" s="71"/>
      <c r="AC443" s="71"/>
      <c r="AD443" s="71"/>
      <c r="AE443" s="71"/>
      <c r="AF443" s="71"/>
      <c r="AG443" s="82">
        <v>0</v>
      </c>
      <c r="AH443" s="76"/>
      <c r="AI443" s="76"/>
      <c r="AJ443" s="76"/>
      <c r="AK443" s="71">
        <v>0.15</v>
      </c>
      <c r="AL443" s="88">
        <v>3.3848190498164003E-2</v>
      </c>
      <c r="AM443" s="89">
        <f t="shared" si="6"/>
        <v>0.22565460332109336</v>
      </c>
      <c r="AN443" s="78"/>
    </row>
    <row r="444" spans="1:40" x14ac:dyDescent="0.25">
      <c r="A444" t="s">
        <v>44</v>
      </c>
      <c r="B444" t="s">
        <v>45</v>
      </c>
      <c r="C444" s="121" t="s">
        <v>174</v>
      </c>
      <c r="D444" t="s">
        <v>195</v>
      </c>
      <c r="E444" t="s">
        <v>61</v>
      </c>
      <c r="F444">
        <v>2</v>
      </c>
      <c r="G444">
        <v>46</v>
      </c>
      <c r="H444" s="86">
        <v>45961.764604259297</v>
      </c>
      <c r="I444" s="86">
        <v>45961.836775625001</v>
      </c>
      <c r="J444" s="87">
        <v>1.7321127777777801</v>
      </c>
      <c r="K444" s="69" t="s">
        <v>274</v>
      </c>
      <c r="L444" s="69"/>
      <c r="M444" s="71"/>
      <c r="N444" s="71"/>
      <c r="O444" s="71"/>
      <c r="P444" s="71" t="s">
        <v>275</v>
      </c>
      <c r="Q444" s="88">
        <v>1.4459542785782599E-2</v>
      </c>
      <c r="R444" s="89" t="s">
        <v>276</v>
      </c>
      <c r="S444" s="89"/>
      <c r="T444">
        <v>7.5</v>
      </c>
      <c r="U444" s="76">
        <v>0.2</v>
      </c>
      <c r="V444">
        <v>9.3000000000000007</v>
      </c>
      <c r="W444" s="90">
        <v>0.1</v>
      </c>
      <c r="X444" s="90"/>
      <c r="Y444" s="71"/>
      <c r="Z444" s="71"/>
      <c r="AA444" s="71"/>
      <c r="AB444" s="71"/>
      <c r="AC444" s="71"/>
      <c r="AD444" s="71"/>
      <c r="AE444" s="71"/>
      <c r="AF444" s="71"/>
      <c r="AG444" s="82">
        <v>0</v>
      </c>
      <c r="AH444" s="76"/>
      <c r="AI444" s="76"/>
      <c r="AJ444" s="76"/>
      <c r="AK444" s="71">
        <v>0.15</v>
      </c>
      <c r="AL444" s="88">
        <v>3.3848190498164003E-2</v>
      </c>
      <c r="AM444" s="89">
        <f t="shared" si="6"/>
        <v>0.22565460332109336</v>
      </c>
      <c r="AN444" s="78"/>
    </row>
    <row r="445" spans="1:40" x14ac:dyDescent="0.25">
      <c r="A445" t="s">
        <v>44</v>
      </c>
      <c r="B445" t="s">
        <v>45</v>
      </c>
      <c r="C445" s="121" t="s">
        <v>174</v>
      </c>
      <c r="D445" t="s">
        <v>195</v>
      </c>
      <c r="E445" t="s">
        <v>61</v>
      </c>
      <c r="F445">
        <v>2</v>
      </c>
      <c r="G445">
        <v>47</v>
      </c>
      <c r="H445" s="86">
        <v>45961.836775625001</v>
      </c>
      <c r="I445" s="86">
        <v>45961.908962442103</v>
      </c>
      <c r="J445" s="87">
        <v>1.7324836111111099</v>
      </c>
      <c r="K445" s="69" t="s">
        <v>274</v>
      </c>
      <c r="L445" s="69"/>
      <c r="M445" s="71"/>
      <c r="N445" s="71"/>
      <c r="O445" s="71"/>
      <c r="P445" s="71" t="s">
        <v>275</v>
      </c>
      <c r="Q445" s="88">
        <v>1.8757417209550702E-2</v>
      </c>
      <c r="R445" s="89" t="s">
        <v>276</v>
      </c>
      <c r="S445" s="89"/>
      <c r="T445">
        <v>7.9</v>
      </c>
      <c r="U445" s="76">
        <v>0.2</v>
      </c>
      <c r="V445">
        <v>9.3000000000000007</v>
      </c>
      <c r="W445" s="90">
        <v>0.1</v>
      </c>
      <c r="X445" s="90"/>
      <c r="Y445" s="71"/>
      <c r="Z445" s="71"/>
      <c r="AA445" s="71"/>
      <c r="AB445" s="71"/>
      <c r="AC445" s="71"/>
      <c r="AD445" s="71"/>
      <c r="AE445" s="71"/>
      <c r="AF445" s="71"/>
      <c r="AG445" s="82">
        <v>0</v>
      </c>
      <c r="AH445" s="76"/>
      <c r="AI445" s="76"/>
      <c r="AJ445" s="76"/>
      <c r="AK445" s="71">
        <v>0.15</v>
      </c>
      <c r="AL445" s="88">
        <v>3.3848190498164003E-2</v>
      </c>
      <c r="AM445" s="89">
        <f t="shared" si="6"/>
        <v>0.22565460332109336</v>
      </c>
      <c r="AN445" s="78"/>
    </row>
    <row r="446" spans="1:40" x14ac:dyDescent="0.25">
      <c r="A446" t="s">
        <v>44</v>
      </c>
      <c r="B446" t="s">
        <v>45</v>
      </c>
      <c r="C446" s="121" t="s">
        <v>174</v>
      </c>
      <c r="D446" t="s">
        <v>195</v>
      </c>
      <c r="E446" t="s">
        <v>61</v>
      </c>
      <c r="F446">
        <v>2</v>
      </c>
      <c r="G446">
        <v>48</v>
      </c>
      <c r="H446" s="86">
        <v>45961.908962442103</v>
      </c>
      <c r="I446" s="86">
        <v>45961.981146562503</v>
      </c>
      <c r="J446" s="87">
        <v>1.7324188888888901</v>
      </c>
      <c r="K446" s="69" t="s">
        <v>274</v>
      </c>
      <c r="L446" s="69"/>
      <c r="M446" s="71"/>
      <c r="N446" s="71"/>
      <c r="O446" s="71"/>
      <c r="P446" s="71" t="s">
        <v>275</v>
      </c>
      <c r="Q446" s="88">
        <v>1.9246750799075299E-2</v>
      </c>
      <c r="R446" s="89" t="s">
        <v>276</v>
      </c>
      <c r="S446" s="89"/>
      <c r="T446">
        <v>7.9</v>
      </c>
      <c r="U446" s="76">
        <v>0.2</v>
      </c>
      <c r="V446">
        <v>9.1999999999999993</v>
      </c>
      <c r="W446" s="90">
        <v>0.1</v>
      </c>
      <c r="X446" s="90"/>
      <c r="Y446" s="71"/>
      <c r="Z446" s="71"/>
      <c r="AA446" s="71"/>
      <c r="AB446" s="71"/>
      <c r="AC446" s="71"/>
      <c r="AD446" s="71"/>
      <c r="AE446" s="71"/>
      <c r="AF446" s="71"/>
      <c r="AG446" s="82">
        <v>0</v>
      </c>
      <c r="AH446" s="76"/>
      <c r="AI446" s="76"/>
      <c r="AJ446" s="76"/>
      <c r="AK446" s="71">
        <v>0.15</v>
      </c>
      <c r="AL446" s="88">
        <v>3.3848190498164003E-2</v>
      </c>
      <c r="AM446" s="89">
        <f t="shared" si="6"/>
        <v>0.22565460332109336</v>
      </c>
      <c r="AN446" s="78"/>
    </row>
    <row r="447" spans="1:40" x14ac:dyDescent="0.25">
      <c r="A447" t="s">
        <v>44</v>
      </c>
      <c r="B447" t="s">
        <v>45</v>
      </c>
      <c r="C447" s="121" t="s">
        <v>174</v>
      </c>
      <c r="D447" t="s">
        <v>195</v>
      </c>
      <c r="E447" t="s">
        <v>61</v>
      </c>
      <c r="F447">
        <v>2</v>
      </c>
      <c r="G447">
        <v>49</v>
      </c>
      <c r="H447" s="86">
        <v>45961.981146562503</v>
      </c>
      <c r="I447" s="86">
        <v>45962.053333530101</v>
      </c>
      <c r="J447" s="87">
        <v>1.7324872222222201</v>
      </c>
      <c r="K447" s="69" t="s">
        <v>274</v>
      </c>
      <c r="L447" s="69"/>
      <c r="M447" s="71"/>
      <c r="N447" s="71"/>
      <c r="O447" s="71"/>
      <c r="P447" s="71" t="s">
        <v>275</v>
      </c>
      <c r="Q447" s="88">
        <v>1.6109676076977799E-2</v>
      </c>
      <c r="R447" s="89" t="s">
        <v>276</v>
      </c>
      <c r="S447" s="89"/>
      <c r="T447">
        <v>8.1</v>
      </c>
      <c r="U447" s="76">
        <v>0.2</v>
      </c>
      <c r="V447">
        <v>9.1999999999999993</v>
      </c>
      <c r="W447" s="90">
        <v>0.1</v>
      </c>
      <c r="X447" s="90"/>
      <c r="Y447" s="71"/>
      <c r="Z447" s="71"/>
      <c r="AA447" s="71"/>
      <c r="AB447" s="71"/>
      <c r="AC447" s="71"/>
      <c r="AD447" s="71"/>
      <c r="AE447" s="71"/>
      <c r="AF447" s="71"/>
      <c r="AG447" s="82">
        <v>0</v>
      </c>
      <c r="AH447" s="76"/>
      <c r="AI447" s="76"/>
      <c r="AJ447" s="76"/>
      <c r="AK447" s="71">
        <v>0.15</v>
      </c>
      <c r="AL447" s="88">
        <v>3.3848190498164003E-2</v>
      </c>
      <c r="AM447" s="89">
        <f t="shared" si="6"/>
        <v>0.22565460332109336</v>
      </c>
      <c r="AN447" s="78"/>
    </row>
    <row r="448" spans="1:40" x14ac:dyDescent="0.25">
      <c r="A448" t="s">
        <v>44</v>
      </c>
      <c r="B448" t="s">
        <v>45</v>
      </c>
      <c r="C448" s="121" t="s">
        <v>174</v>
      </c>
      <c r="D448" t="s">
        <v>195</v>
      </c>
      <c r="E448" t="s">
        <v>61</v>
      </c>
      <c r="F448">
        <v>2</v>
      </c>
      <c r="G448">
        <v>50</v>
      </c>
      <c r="H448" s="86">
        <v>45962.053333530101</v>
      </c>
      <c r="I448" s="86">
        <v>45962.125516562497</v>
      </c>
      <c r="J448" s="87">
        <v>1.7323927777777799</v>
      </c>
      <c r="K448" s="69" t="s">
        <v>274</v>
      </c>
      <c r="L448" s="69"/>
      <c r="M448" s="71"/>
      <c r="N448" s="71"/>
      <c r="O448" s="71"/>
      <c r="P448" s="71" t="s">
        <v>275</v>
      </c>
      <c r="Q448" s="88">
        <v>2.0219048150362198E-2</v>
      </c>
      <c r="R448" s="89" t="s">
        <v>276</v>
      </c>
      <c r="S448" s="89"/>
      <c r="T448">
        <v>8.1999999999999993</v>
      </c>
      <c r="U448" s="76">
        <v>0.2</v>
      </c>
      <c r="V448">
        <v>9.1999999999999993</v>
      </c>
      <c r="W448" s="90">
        <v>0.1</v>
      </c>
      <c r="X448" s="90"/>
      <c r="Y448" s="71"/>
      <c r="Z448" s="71"/>
      <c r="AA448" s="71"/>
      <c r="AB448" s="71"/>
      <c r="AC448" s="71"/>
      <c r="AD448" s="71"/>
      <c r="AE448" s="71"/>
      <c r="AF448" s="71"/>
      <c r="AG448" s="82">
        <v>0</v>
      </c>
      <c r="AH448" s="76"/>
      <c r="AI448" s="76"/>
      <c r="AJ448" s="76"/>
      <c r="AK448" s="71">
        <v>0.15</v>
      </c>
      <c r="AL448" s="88">
        <v>3.3848190498164003E-2</v>
      </c>
      <c r="AM448" s="89">
        <f t="shared" si="6"/>
        <v>0.22565460332109336</v>
      </c>
      <c r="AN448" s="78"/>
    </row>
    <row r="449" spans="1:40" x14ac:dyDescent="0.25">
      <c r="A449" t="s">
        <v>44</v>
      </c>
      <c r="B449" t="s">
        <v>45</v>
      </c>
      <c r="C449" s="121" t="s">
        <v>174</v>
      </c>
      <c r="D449" t="s">
        <v>195</v>
      </c>
      <c r="E449" t="s">
        <v>61</v>
      </c>
      <c r="F449">
        <v>2</v>
      </c>
      <c r="G449">
        <v>51</v>
      </c>
      <c r="H449" s="86">
        <v>45962.125516562497</v>
      </c>
      <c r="I449" s="86">
        <v>45962.197711793997</v>
      </c>
      <c r="J449" s="87">
        <v>1.73268555555556</v>
      </c>
      <c r="K449" s="69" t="s">
        <v>274</v>
      </c>
      <c r="L449" s="69"/>
      <c r="M449" s="71"/>
      <c r="N449" s="71"/>
      <c r="O449" s="71"/>
      <c r="P449" s="71" t="s">
        <v>275</v>
      </c>
      <c r="Q449" s="88">
        <v>2.0864533885173502E-2</v>
      </c>
      <c r="R449" s="89" t="s">
        <v>276</v>
      </c>
      <c r="S449" s="89"/>
      <c r="T449">
        <v>8</v>
      </c>
      <c r="U449" s="76">
        <v>0.2</v>
      </c>
      <c r="V449">
        <v>9.1999999999999993</v>
      </c>
      <c r="W449" s="90">
        <v>0.1</v>
      </c>
      <c r="X449" s="90"/>
      <c r="Y449" s="71"/>
      <c r="Z449" s="71"/>
      <c r="AA449" s="71"/>
      <c r="AB449" s="71"/>
      <c r="AC449" s="71"/>
      <c r="AD449" s="71"/>
      <c r="AE449" s="71"/>
      <c r="AF449" s="71"/>
      <c r="AG449" s="82">
        <v>0</v>
      </c>
      <c r="AH449" s="76"/>
      <c r="AI449" s="76"/>
      <c r="AJ449" s="76"/>
      <c r="AK449" s="71">
        <v>0.15</v>
      </c>
      <c r="AL449" s="88">
        <v>3.3848190498164003E-2</v>
      </c>
      <c r="AM449" s="89">
        <f t="shared" si="6"/>
        <v>0.22565460332109336</v>
      </c>
      <c r="AN449" s="78"/>
    </row>
    <row r="450" spans="1:40" x14ac:dyDescent="0.25">
      <c r="A450" t="s">
        <v>44</v>
      </c>
      <c r="B450" t="s">
        <v>45</v>
      </c>
      <c r="C450" s="121" t="s">
        <v>174</v>
      </c>
      <c r="D450" t="s">
        <v>195</v>
      </c>
      <c r="E450" t="s">
        <v>61</v>
      </c>
      <c r="F450">
        <v>2</v>
      </c>
      <c r="G450">
        <v>52</v>
      </c>
      <c r="H450" s="86">
        <v>45962.197711793997</v>
      </c>
      <c r="I450" s="86">
        <v>45962.269899282401</v>
      </c>
      <c r="J450" s="87">
        <v>1.73249972222222</v>
      </c>
      <c r="K450" s="69" t="s">
        <v>274</v>
      </c>
      <c r="L450" s="69"/>
      <c r="M450" s="71"/>
      <c r="N450" s="71"/>
      <c r="O450" s="71"/>
      <c r="P450" s="71" t="s">
        <v>275</v>
      </c>
      <c r="Q450" s="88">
        <v>2.0591814386420298E-2</v>
      </c>
      <c r="R450" s="89" t="s">
        <v>276</v>
      </c>
      <c r="S450" s="89"/>
      <c r="T450">
        <v>8</v>
      </c>
      <c r="U450" s="76">
        <v>0.2</v>
      </c>
      <c r="V450">
        <v>9.1999999999999993</v>
      </c>
      <c r="W450" s="90">
        <v>0.1</v>
      </c>
      <c r="X450" s="90"/>
      <c r="Y450" s="71"/>
      <c r="Z450" s="71"/>
      <c r="AA450" s="71"/>
      <c r="AB450" s="71"/>
      <c r="AC450" s="71"/>
      <c r="AD450" s="71"/>
      <c r="AE450" s="71"/>
      <c r="AF450" s="71"/>
      <c r="AG450" s="82">
        <v>0</v>
      </c>
      <c r="AH450" s="76"/>
      <c r="AI450" s="76"/>
      <c r="AJ450" s="76"/>
      <c r="AK450" s="71">
        <v>0.15</v>
      </c>
      <c r="AL450" s="88">
        <v>3.3848190498164003E-2</v>
      </c>
      <c r="AM450" s="89">
        <f t="shared" si="6"/>
        <v>0.22565460332109336</v>
      </c>
      <c r="AN450" s="78"/>
    </row>
    <row r="451" spans="1:40" x14ac:dyDescent="0.25">
      <c r="A451" t="s">
        <v>44</v>
      </c>
      <c r="B451" t="s">
        <v>45</v>
      </c>
      <c r="C451" s="121" t="s">
        <v>174</v>
      </c>
      <c r="D451" t="s">
        <v>195</v>
      </c>
      <c r="E451" t="s">
        <v>61</v>
      </c>
      <c r="F451">
        <v>2</v>
      </c>
      <c r="G451">
        <v>53</v>
      </c>
      <c r="H451" s="86">
        <v>45962.269899282401</v>
      </c>
      <c r="I451" s="86">
        <v>45962.3420801389</v>
      </c>
      <c r="J451" s="87">
        <v>1.73234055555556</v>
      </c>
      <c r="K451" s="69" t="s">
        <v>274</v>
      </c>
      <c r="L451" s="69"/>
      <c r="M451" s="71"/>
      <c r="N451" s="71"/>
      <c r="O451" s="71"/>
      <c r="P451" s="71" t="s">
        <v>275</v>
      </c>
      <c r="Q451" s="88">
        <v>1.41847568168496E-2</v>
      </c>
      <c r="R451" s="89" t="s">
        <v>276</v>
      </c>
      <c r="S451" s="89"/>
      <c r="T451">
        <v>7.5</v>
      </c>
      <c r="U451" s="76">
        <v>0.2</v>
      </c>
      <c r="V451">
        <v>9.1999999999999993</v>
      </c>
      <c r="W451" s="90">
        <v>0.1</v>
      </c>
      <c r="X451" s="90"/>
      <c r="Y451" s="71"/>
      <c r="Z451" s="71"/>
      <c r="AA451" s="71"/>
      <c r="AB451" s="71"/>
      <c r="AC451" s="71"/>
      <c r="AD451" s="71"/>
      <c r="AE451" s="71"/>
      <c r="AF451" s="71"/>
      <c r="AG451" s="82">
        <v>0</v>
      </c>
      <c r="AH451" s="76"/>
      <c r="AI451" s="76"/>
      <c r="AJ451" s="76"/>
      <c r="AK451" s="71">
        <v>0.15</v>
      </c>
      <c r="AL451" s="88">
        <v>3.3848190498164003E-2</v>
      </c>
      <c r="AM451" s="89">
        <f t="shared" si="6"/>
        <v>0.22565460332109336</v>
      </c>
      <c r="AN451" s="78"/>
    </row>
    <row r="452" spans="1:40" x14ac:dyDescent="0.25">
      <c r="A452" t="s">
        <v>44</v>
      </c>
      <c r="B452" t="s">
        <v>45</v>
      </c>
      <c r="C452" s="121" t="s">
        <v>174</v>
      </c>
      <c r="D452" t="s">
        <v>195</v>
      </c>
      <c r="E452" t="s">
        <v>61</v>
      </c>
      <c r="F452">
        <v>2</v>
      </c>
      <c r="G452">
        <v>54</v>
      </c>
      <c r="H452" s="86">
        <v>45962.3420801389</v>
      </c>
      <c r="I452" s="86">
        <v>45962.414265810199</v>
      </c>
      <c r="J452" s="87">
        <v>1.7324561111111101</v>
      </c>
      <c r="K452" s="69" t="s">
        <v>274</v>
      </c>
      <c r="L452" s="69"/>
      <c r="M452" s="71"/>
      <c r="N452" s="71"/>
      <c r="O452" s="71"/>
      <c r="P452" s="71" t="s">
        <v>275</v>
      </c>
      <c r="Q452" s="88">
        <v>1.7431942317086401E-2</v>
      </c>
      <c r="R452" s="89" t="s">
        <v>276</v>
      </c>
      <c r="S452" s="89"/>
      <c r="T452">
        <v>7.6</v>
      </c>
      <c r="U452" s="76">
        <v>0.2</v>
      </c>
      <c r="V452">
        <v>9.1999999999999993</v>
      </c>
      <c r="W452" s="90">
        <v>0.1</v>
      </c>
      <c r="X452" s="90"/>
      <c r="Y452" s="71"/>
      <c r="Z452" s="71"/>
      <c r="AA452" s="71"/>
      <c r="AB452" s="71"/>
      <c r="AC452" s="71"/>
      <c r="AD452" s="71"/>
      <c r="AE452" s="71"/>
      <c r="AF452" s="71"/>
      <c r="AG452" s="82">
        <v>0</v>
      </c>
      <c r="AH452" s="76"/>
      <c r="AI452" s="76"/>
      <c r="AJ452" s="76"/>
      <c r="AK452" s="71">
        <v>0.15</v>
      </c>
      <c r="AL452" s="88">
        <v>3.3848190498164003E-2</v>
      </c>
      <c r="AM452" s="89">
        <f t="shared" si="6"/>
        <v>0.22565460332109336</v>
      </c>
      <c r="AN452" s="78"/>
    </row>
    <row r="453" spans="1:40" x14ac:dyDescent="0.25">
      <c r="A453" t="s">
        <v>44</v>
      </c>
      <c r="B453" t="s">
        <v>45</v>
      </c>
      <c r="C453" s="121" t="s">
        <v>174</v>
      </c>
      <c r="D453" t="s">
        <v>195</v>
      </c>
      <c r="E453" t="s">
        <v>61</v>
      </c>
      <c r="F453">
        <v>2</v>
      </c>
      <c r="G453">
        <v>55</v>
      </c>
      <c r="H453" s="86">
        <v>45962.414265810199</v>
      </c>
      <c r="I453" s="86">
        <v>45962.486459050902</v>
      </c>
      <c r="J453" s="87">
        <v>1.7326377777777799</v>
      </c>
      <c r="K453" s="69" t="s">
        <v>274</v>
      </c>
      <c r="L453" s="69"/>
      <c r="M453" s="71"/>
      <c r="N453" s="71"/>
      <c r="O453" s="71"/>
      <c r="P453" s="71" t="s">
        <v>275</v>
      </c>
      <c r="Q453" s="88">
        <v>3.5476307152741499E-2</v>
      </c>
      <c r="R453" s="89" t="s">
        <v>276</v>
      </c>
      <c r="S453" s="89"/>
      <c r="T453">
        <v>9.6999999999999993</v>
      </c>
      <c r="U453" s="76">
        <v>0.2</v>
      </c>
      <c r="V453">
        <v>9.1999999999999993</v>
      </c>
      <c r="W453" s="90">
        <v>0.1</v>
      </c>
      <c r="X453" s="90"/>
      <c r="Y453" s="71"/>
      <c r="Z453" s="71"/>
      <c r="AA453" s="71"/>
      <c r="AB453" s="71"/>
      <c r="AC453" s="71"/>
      <c r="AD453" s="71"/>
      <c r="AE453" s="71"/>
      <c r="AF453" s="71"/>
      <c r="AG453" s="82">
        <v>0</v>
      </c>
      <c r="AH453" s="76"/>
      <c r="AI453" s="76"/>
      <c r="AJ453" s="76"/>
      <c r="AK453" s="71">
        <v>0.15</v>
      </c>
      <c r="AL453" s="88">
        <v>3.3848190498164003E-2</v>
      </c>
      <c r="AM453" s="89">
        <f t="shared" ref="AM453:AM516" si="7">AL453/AK453</f>
        <v>0.22565460332109336</v>
      </c>
      <c r="AN453" s="78"/>
    </row>
    <row r="454" spans="1:40" x14ac:dyDescent="0.25">
      <c r="A454" t="s">
        <v>44</v>
      </c>
      <c r="B454" t="s">
        <v>45</v>
      </c>
      <c r="C454" s="121" t="s">
        <v>174</v>
      </c>
      <c r="D454" t="s">
        <v>195</v>
      </c>
      <c r="E454" t="s">
        <v>61</v>
      </c>
      <c r="F454">
        <v>2</v>
      </c>
      <c r="G454">
        <v>56</v>
      </c>
      <c r="H454" s="86">
        <v>45962.486459050902</v>
      </c>
      <c r="I454" s="86">
        <v>45962.5586413657</v>
      </c>
      <c r="J454" s="87">
        <v>1.73237555555556</v>
      </c>
      <c r="K454" s="69" t="s">
        <v>274</v>
      </c>
      <c r="L454" s="69"/>
      <c r="M454" s="71"/>
      <c r="N454" s="71"/>
      <c r="O454" s="71"/>
      <c r="P454" s="71" t="s">
        <v>275</v>
      </c>
      <c r="Q454" s="88">
        <v>3.5238535748153402E-2</v>
      </c>
      <c r="R454" s="89" t="s">
        <v>276</v>
      </c>
      <c r="S454" s="89"/>
      <c r="T454">
        <v>10.9</v>
      </c>
      <c r="U454" s="76">
        <v>0.2</v>
      </c>
      <c r="V454">
        <v>9.1999999999999993</v>
      </c>
      <c r="W454" s="90">
        <v>0.1</v>
      </c>
      <c r="X454" s="90"/>
      <c r="Y454" s="71"/>
      <c r="Z454" s="71"/>
      <c r="AA454" s="71"/>
      <c r="AB454" s="71"/>
      <c r="AC454" s="71"/>
      <c r="AD454" s="71"/>
      <c r="AE454" s="71"/>
      <c r="AF454" s="71"/>
      <c r="AG454" s="82">
        <v>0</v>
      </c>
      <c r="AH454" s="76"/>
      <c r="AI454" s="76"/>
      <c r="AJ454" s="76"/>
      <c r="AK454" s="71">
        <v>0.15</v>
      </c>
      <c r="AL454" s="88">
        <v>3.3848190498164003E-2</v>
      </c>
      <c r="AM454" s="89">
        <f t="shared" si="7"/>
        <v>0.22565460332109336</v>
      </c>
      <c r="AN454" s="78"/>
    </row>
    <row r="455" spans="1:40" x14ac:dyDescent="0.25">
      <c r="A455" t="s">
        <v>44</v>
      </c>
      <c r="B455" t="s">
        <v>45</v>
      </c>
      <c r="C455" s="121" t="s">
        <v>174</v>
      </c>
      <c r="D455" t="s">
        <v>195</v>
      </c>
      <c r="E455" t="s">
        <v>61</v>
      </c>
      <c r="F455">
        <v>2</v>
      </c>
      <c r="G455">
        <v>57</v>
      </c>
      <c r="H455" s="86">
        <v>45962.5586413657</v>
      </c>
      <c r="I455" s="86">
        <v>45962.630822557898</v>
      </c>
      <c r="J455" s="87">
        <v>1.7323486111111099</v>
      </c>
      <c r="K455" s="69" t="s">
        <v>274</v>
      </c>
      <c r="L455" s="69"/>
      <c r="M455" s="71"/>
      <c r="N455" s="71"/>
      <c r="O455" s="71"/>
      <c r="P455" s="71" t="s">
        <v>275</v>
      </c>
      <c r="Q455" s="88">
        <v>2.0715118946918899E-2</v>
      </c>
      <c r="R455" s="89" t="s">
        <v>276</v>
      </c>
      <c r="S455" s="89"/>
      <c r="T455">
        <v>10.7</v>
      </c>
      <c r="U455" s="76">
        <v>0.2</v>
      </c>
      <c r="V455">
        <v>9.3000000000000007</v>
      </c>
      <c r="W455" s="90">
        <v>0.1</v>
      </c>
      <c r="X455" s="90"/>
      <c r="Y455" s="71"/>
      <c r="Z455" s="71"/>
      <c r="AA455" s="71"/>
      <c r="AB455" s="71"/>
      <c r="AC455" s="71"/>
      <c r="AD455" s="71"/>
      <c r="AE455" s="71"/>
      <c r="AF455" s="71"/>
      <c r="AG455" s="82">
        <v>0.1</v>
      </c>
      <c r="AH455" s="76"/>
      <c r="AI455" s="76"/>
      <c r="AJ455" s="76"/>
      <c r="AK455" s="71">
        <v>0.15</v>
      </c>
      <c r="AL455" s="88">
        <v>3.3848190498164003E-2</v>
      </c>
      <c r="AM455" s="89">
        <f t="shared" si="7"/>
        <v>0.22565460332109336</v>
      </c>
      <c r="AN455" s="78"/>
    </row>
    <row r="456" spans="1:40" x14ac:dyDescent="0.25">
      <c r="A456" t="s">
        <v>44</v>
      </c>
      <c r="B456" t="s">
        <v>45</v>
      </c>
      <c r="C456" s="121" t="s">
        <v>174</v>
      </c>
      <c r="D456" t="s">
        <v>195</v>
      </c>
      <c r="E456" t="s">
        <v>61</v>
      </c>
      <c r="F456">
        <v>2</v>
      </c>
      <c r="G456">
        <v>58</v>
      </c>
      <c r="H456" s="86">
        <v>45962.630822557898</v>
      </c>
      <c r="I456" s="86">
        <v>45962.7030135069</v>
      </c>
      <c r="J456" s="87">
        <v>1.73258277777778</v>
      </c>
      <c r="K456" s="69" t="s">
        <v>274</v>
      </c>
      <c r="L456" s="69"/>
      <c r="M456" s="71"/>
      <c r="N456" s="71"/>
      <c r="O456" s="71"/>
      <c r="P456" s="71" t="s">
        <v>275</v>
      </c>
      <c r="Q456" s="88">
        <v>1.7260578592861901E-2</v>
      </c>
      <c r="R456" s="89" t="s">
        <v>276</v>
      </c>
      <c r="S456" s="89"/>
      <c r="T456">
        <v>10.7</v>
      </c>
      <c r="U456" s="76">
        <v>0.2</v>
      </c>
      <c r="V456">
        <v>9.5</v>
      </c>
      <c r="W456" s="90">
        <v>0.1</v>
      </c>
      <c r="X456" s="90"/>
      <c r="Y456" s="71"/>
      <c r="Z456" s="71"/>
      <c r="AA456" s="71"/>
      <c r="AB456" s="71"/>
      <c r="AC456" s="71"/>
      <c r="AD456" s="71"/>
      <c r="AE456" s="71"/>
      <c r="AF456" s="71"/>
      <c r="AG456" s="82">
        <v>0.3</v>
      </c>
      <c r="AH456" s="76"/>
      <c r="AI456" s="76"/>
      <c r="AJ456" s="76"/>
      <c r="AK456" s="71">
        <v>0.15</v>
      </c>
      <c r="AL456" s="88">
        <v>3.3848190498164003E-2</v>
      </c>
      <c r="AM456" s="89">
        <f t="shared" si="7"/>
        <v>0.22565460332109336</v>
      </c>
      <c r="AN456" s="78"/>
    </row>
    <row r="457" spans="1:40" x14ac:dyDescent="0.25">
      <c r="A457" t="s">
        <v>44</v>
      </c>
      <c r="B457" t="s">
        <v>45</v>
      </c>
      <c r="C457" s="121" t="s">
        <v>174</v>
      </c>
      <c r="D457" t="s">
        <v>195</v>
      </c>
      <c r="E457" t="s">
        <v>61</v>
      </c>
      <c r="F457">
        <v>2</v>
      </c>
      <c r="G457">
        <v>59</v>
      </c>
      <c r="H457" s="86">
        <v>45962.7030135069</v>
      </c>
      <c r="I457" s="86">
        <v>45962.775185520797</v>
      </c>
      <c r="J457" s="87">
        <v>1.7321283333333299</v>
      </c>
      <c r="K457" s="69" t="s">
        <v>274</v>
      </c>
      <c r="L457" s="69"/>
      <c r="M457" s="71"/>
      <c r="N457" s="71"/>
      <c r="O457" s="71"/>
      <c r="P457" s="71" t="s">
        <v>275</v>
      </c>
      <c r="Q457" s="88">
        <v>1.18354239566037E-2</v>
      </c>
      <c r="R457" s="89" t="s">
        <v>276</v>
      </c>
      <c r="S457" s="89"/>
      <c r="T457">
        <v>10.6</v>
      </c>
      <c r="U457" s="76">
        <v>0.2</v>
      </c>
      <c r="V457">
        <v>9.6</v>
      </c>
      <c r="W457" s="90">
        <v>0.1</v>
      </c>
      <c r="X457" s="90"/>
      <c r="Y457" s="71"/>
      <c r="Z457" s="71"/>
      <c r="AA457" s="71"/>
      <c r="AB457" s="71"/>
      <c r="AC457" s="71"/>
      <c r="AD457" s="71"/>
      <c r="AE457" s="71"/>
      <c r="AF457" s="71"/>
      <c r="AG457" s="82">
        <v>1.7</v>
      </c>
      <c r="AH457" s="76"/>
      <c r="AI457" s="76"/>
      <c r="AJ457" s="76"/>
      <c r="AK457" s="71">
        <v>0.15</v>
      </c>
      <c r="AL457" s="88">
        <v>3.3848190498164003E-2</v>
      </c>
      <c r="AM457" s="89">
        <f t="shared" si="7"/>
        <v>0.22565460332109336</v>
      </c>
      <c r="AN457" s="78"/>
    </row>
    <row r="458" spans="1:40" x14ac:dyDescent="0.25">
      <c r="A458" t="s">
        <v>44</v>
      </c>
      <c r="B458" t="s">
        <v>45</v>
      </c>
      <c r="C458" s="121" t="s">
        <v>174</v>
      </c>
      <c r="D458" t="s">
        <v>195</v>
      </c>
      <c r="E458" t="s">
        <v>61</v>
      </c>
      <c r="F458">
        <v>2</v>
      </c>
      <c r="G458">
        <v>60</v>
      </c>
      <c r="H458" s="86">
        <v>45962.775185520797</v>
      </c>
      <c r="I458" s="86">
        <v>45962.847376840298</v>
      </c>
      <c r="J458" s="87">
        <v>1.7325916666666701</v>
      </c>
      <c r="K458" s="69" t="s">
        <v>274</v>
      </c>
      <c r="L458" s="69"/>
      <c r="M458" s="71"/>
      <c r="N458" s="71"/>
      <c r="O458" s="71"/>
      <c r="P458" s="71" t="s">
        <v>275</v>
      </c>
      <c r="Q458" s="88">
        <v>1.21596786259358E-2</v>
      </c>
      <c r="R458" s="89" t="s">
        <v>276</v>
      </c>
      <c r="S458" s="89"/>
      <c r="T458">
        <v>10.4</v>
      </c>
      <c r="U458" s="76">
        <v>0.2</v>
      </c>
      <c r="V458">
        <v>9.6999999999999993</v>
      </c>
      <c r="W458" s="90">
        <v>0.1</v>
      </c>
      <c r="X458" s="90"/>
      <c r="Y458" s="71"/>
      <c r="Z458" s="71"/>
      <c r="AA458" s="71"/>
      <c r="AB458" s="71"/>
      <c r="AC458" s="71"/>
      <c r="AD458" s="71"/>
      <c r="AE458" s="71"/>
      <c r="AF458" s="71"/>
      <c r="AG458" s="82">
        <v>0</v>
      </c>
      <c r="AH458" s="76"/>
      <c r="AI458" s="76"/>
      <c r="AJ458" s="76"/>
      <c r="AK458" s="71">
        <v>0.15</v>
      </c>
      <c r="AL458" s="88">
        <v>3.3848190498164003E-2</v>
      </c>
      <c r="AM458" s="89">
        <f t="shared" si="7"/>
        <v>0.22565460332109336</v>
      </c>
      <c r="AN458" s="78"/>
    </row>
    <row r="459" spans="1:40" x14ac:dyDescent="0.25">
      <c r="A459" t="s">
        <v>44</v>
      </c>
      <c r="B459" t="s">
        <v>45</v>
      </c>
      <c r="C459" s="121" t="s">
        <v>174</v>
      </c>
      <c r="D459" t="s">
        <v>195</v>
      </c>
      <c r="E459" t="s">
        <v>61</v>
      </c>
      <c r="F459">
        <v>2</v>
      </c>
      <c r="G459">
        <v>61</v>
      </c>
      <c r="H459" s="86">
        <v>45962.847376840298</v>
      </c>
      <c r="I459" s="86">
        <v>45962.9195512269</v>
      </c>
      <c r="J459" s="87">
        <v>1.73218527777778</v>
      </c>
      <c r="K459" s="69" t="s">
        <v>274</v>
      </c>
      <c r="L459" s="69"/>
      <c r="M459" s="71"/>
      <c r="N459" s="71"/>
      <c r="O459" s="71"/>
      <c r="P459" s="71" t="s">
        <v>275</v>
      </c>
      <c r="Q459" s="88">
        <v>1.2582635686366901E-2</v>
      </c>
      <c r="R459" s="89" t="s">
        <v>276</v>
      </c>
      <c r="S459" s="89"/>
      <c r="T459">
        <v>10.4</v>
      </c>
      <c r="U459" s="76">
        <v>0.2</v>
      </c>
      <c r="V459">
        <v>9.6999999999999993</v>
      </c>
      <c r="W459" s="90">
        <v>0.1</v>
      </c>
      <c r="X459" s="90"/>
      <c r="Y459" s="71"/>
      <c r="Z459" s="71"/>
      <c r="AA459" s="71"/>
      <c r="AB459" s="71"/>
      <c r="AC459" s="71"/>
      <c r="AD459" s="71"/>
      <c r="AE459" s="71"/>
      <c r="AF459" s="71"/>
      <c r="AG459" s="82">
        <v>0</v>
      </c>
      <c r="AH459" s="76"/>
      <c r="AI459" s="76"/>
      <c r="AJ459" s="76"/>
      <c r="AK459" s="71">
        <v>0.15</v>
      </c>
      <c r="AL459" s="88">
        <v>3.3848190498164003E-2</v>
      </c>
      <c r="AM459" s="89">
        <f t="shared" si="7"/>
        <v>0.22565460332109336</v>
      </c>
      <c r="AN459" s="78"/>
    </row>
    <row r="460" spans="1:40" x14ac:dyDescent="0.25">
      <c r="A460" t="s">
        <v>44</v>
      </c>
      <c r="B460" t="s">
        <v>45</v>
      </c>
      <c r="C460" s="121" t="s">
        <v>174</v>
      </c>
      <c r="D460" t="s">
        <v>195</v>
      </c>
      <c r="E460" t="s">
        <v>61</v>
      </c>
      <c r="F460">
        <v>2</v>
      </c>
      <c r="G460">
        <v>62</v>
      </c>
      <c r="H460" s="86">
        <v>45962.9195512269</v>
      </c>
      <c r="I460" s="86">
        <v>45962.9917371759</v>
      </c>
      <c r="J460" s="87">
        <v>1.7324627777777799</v>
      </c>
      <c r="K460" s="69" t="s">
        <v>274</v>
      </c>
      <c r="L460" s="69"/>
      <c r="M460" s="71"/>
      <c r="N460" s="71"/>
      <c r="O460" s="71"/>
      <c r="P460" s="71" t="s">
        <v>275</v>
      </c>
      <c r="Q460" s="88">
        <v>1.4096603235258701E-2</v>
      </c>
      <c r="R460" s="89" t="s">
        <v>276</v>
      </c>
      <c r="S460" s="89"/>
      <c r="T460">
        <v>10</v>
      </c>
      <c r="U460" s="76">
        <v>0.2</v>
      </c>
      <c r="V460">
        <v>9.8000000000000007</v>
      </c>
      <c r="W460" s="90">
        <v>0.1</v>
      </c>
      <c r="X460" s="90"/>
      <c r="Y460" s="71"/>
      <c r="Z460" s="71"/>
      <c r="AA460" s="71"/>
      <c r="AB460" s="71"/>
      <c r="AC460" s="71"/>
      <c r="AD460" s="71"/>
      <c r="AE460" s="71"/>
      <c r="AF460" s="71"/>
      <c r="AG460" s="82">
        <v>0.2</v>
      </c>
      <c r="AH460" s="76"/>
      <c r="AI460" s="76"/>
      <c r="AJ460" s="76"/>
      <c r="AK460" s="71">
        <v>0.15</v>
      </c>
      <c r="AL460" s="88">
        <v>3.3848190498164003E-2</v>
      </c>
      <c r="AM460" s="89">
        <f t="shared" si="7"/>
        <v>0.22565460332109336</v>
      </c>
      <c r="AN460" s="78"/>
    </row>
    <row r="461" spans="1:40" x14ac:dyDescent="0.25">
      <c r="A461" t="s">
        <v>44</v>
      </c>
      <c r="B461" t="s">
        <v>45</v>
      </c>
      <c r="C461" s="121" t="s">
        <v>174</v>
      </c>
      <c r="D461" t="s">
        <v>195</v>
      </c>
      <c r="E461" t="s">
        <v>61</v>
      </c>
      <c r="F461">
        <v>2</v>
      </c>
      <c r="G461">
        <v>63</v>
      </c>
      <c r="H461" s="86">
        <v>45962.9917371759</v>
      </c>
      <c r="I461" s="86">
        <v>45963.063932349498</v>
      </c>
      <c r="J461" s="87">
        <v>1.7326841666666699</v>
      </c>
      <c r="K461" s="69" t="s">
        <v>274</v>
      </c>
      <c r="L461" s="69"/>
      <c r="M461" s="71"/>
      <c r="N461" s="71"/>
      <c r="O461" s="71"/>
      <c r="P461" s="71" t="s">
        <v>275</v>
      </c>
      <c r="Q461" s="88">
        <v>9.5218352316245002E-3</v>
      </c>
      <c r="R461" s="89" t="s">
        <v>276</v>
      </c>
      <c r="S461" s="89"/>
      <c r="T461">
        <v>9.1</v>
      </c>
      <c r="U461" s="76">
        <v>0.2</v>
      </c>
      <c r="V461">
        <v>9.8000000000000007</v>
      </c>
      <c r="W461" s="90">
        <v>0.1</v>
      </c>
      <c r="X461" s="90"/>
      <c r="Y461" s="71"/>
      <c r="Z461" s="71"/>
      <c r="AA461" s="71"/>
      <c r="AB461" s="71"/>
      <c r="AC461" s="71"/>
      <c r="AD461" s="71"/>
      <c r="AE461" s="71"/>
      <c r="AF461" s="71"/>
      <c r="AG461" s="82">
        <v>0</v>
      </c>
      <c r="AH461" s="76"/>
      <c r="AI461" s="76"/>
      <c r="AJ461" s="76"/>
      <c r="AK461" s="71">
        <v>0.15</v>
      </c>
      <c r="AL461" s="88">
        <v>3.3848190498164003E-2</v>
      </c>
      <c r="AM461" s="89">
        <f t="shared" si="7"/>
        <v>0.22565460332109336</v>
      </c>
      <c r="AN461" s="78"/>
    </row>
    <row r="462" spans="1:40" x14ac:dyDescent="0.25">
      <c r="A462" t="s">
        <v>44</v>
      </c>
      <c r="B462" t="s">
        <v>45</v>
      </c>
      <c r="C462" s="121" t="s">
        <v>174</v>
      </c>
      <c r="D462" t="s">
        <v>195</v>
      </c>
      <c r="E462" t="s">
        <v>61</v>
      </c>
      <c r="F462">
        <v>2</v>
      </c>
      <c r="G462">
        <v>64</v>
      </c>
      <c r="H462" s="86">
        <v>45963.063932349498</v>
      </c>
      <c r="I462" s="86">
        <v>45963.136112025502</v>
      </c>
      <c r="J462" s="87">
        <v>1.73231222222222</v>
      </c>
      <c r="K462" s="69" t="s">
        <v>274</v>
      </c>
      <c r="L462" s="69"/>
      <c r="M462" s="71"/>
      <c r="N462" s="71"/>
      <c r="O462" s="71"/>
      <c r="P462" s="71" t="s">
        <v>275</v>
      </c>
      <c r="Q462" s="88">
        <v>8.8786065589292595E-3</v>
      </c>
      <c r="R462" s="89" t="s">
        <v>276</v>
      </c>
      <c r="S462" s="89"/>
      <c r="T462">
        <v>8.1999999999999993</v>
      </c>
      <c r="U462" s="76">
        <v>0.2</v>
      </c>
      <c r="V462">
        <v>9.8000000000000007</v>
      </c>
      <c r="W462" s="90">
        <v>0.1</v>
      </c>
      <c r="X462" s="90"/>
      <c r="Y462" s="71"/>
      <c r="Z462" s="71"/>
      <c r="AA462" s="71"/>
      <c r="AB462" s="71"/>
      <c r="AC462" s="71"/>
      <c r="AD462" s="71"/>
      <c r="AE462" s="71"/>
      <c r="AF462" s="71"/>
      <c r="AG462" s="82">
        <v>0</v>
      </c>
      <c r="AH462" s="76"/>
      <c r="AI462" s="76"/>
      <c r="AJ462" s="76"/>
      <c r="AK462" s="71">
        <v>0.15</v>
      </c>
      <c r="AL462" s="88">
        <v>3.3848190498164003E-2</v>
      </c>
      <c r="AM462" s="89">
        <f t="shared" si="7"/>
        <v>0.22565460332109336</v>
      </c>
      <c r="AN462" s="78"/>
    </row>
    <row r="463" spans="1:40" x14ac:dyDescent="0.25">
      <c r="A463" t="s">
        <v>44</v>
      </c>
      <c r="B463" t="s">
        <v>45</v>
      </c>
      <c r="C463" s="121" t="s">
        <v>174</v>
      </c>
      <c r="D463" t="s">
        <v>195</v>
      </c>
      <c r="E463" t="s">
        <v>61</v>
      </c>
      <c r="F463">
        <v>2</v>
      </c>
      <c r="G463">
        <v>65</v>
      </c>
      <c r="H463" s="86">
        <v>45963.136112025502</v>
      </c>
      <c r="I463" s="86">
        <v>45963.208285254601</v>
      </c>
      <c r="J463" s="87">
        <v>1.7321575</v>
      </c>
      <c r="K463" s="69" t="s">
        <v>274</v>
      </c>
      <c r="L463" s="69"/>
      <c r="M463" s="71"/>
      <c r="N463" s="71"/>
      <c r="O463" s="71"/>
      <c r="P463" s="71" t="s">
        <v>275</v>
      </c>
      <c r="Q463" s="88">
        <v>8.7985922816653604E-3</v>
      </c>
      <c r="R463" s="89" t="s">
        <v>276</v>
      </c>
      <c r="S463" s="89"/>
      <c r="T463">
        <v>8.1</v>
      </c>
      <c r="U463" s="76">
        <v>0.2</v>
      </c>
      <c r="V463">
        <v>9.6999999999999993</v>
      </c>
      <c r="W463" s="90">
        <v>0.1</v>
      </c>
      <c r="X463" s="90"/>
      <c r="Y463" s="71"/>
      <c r="Z463" s="71"/>
      <c r="AA463" s="71"/>
      <c r="AB463" s="71"/>
      <c r="AC463" s="71"/>
      <c r="AD463" s="71"/>
      <c r="AE463" s="71"/>
      <c r="AF463" s="71"/>
      <c r="AG463" s="82">
        <v>0</v>
      </c>
      <c r="AH463" s="76"/>
      <c r="AI463" s="76"/>
      <c r="AJ463" s="76"/>
      <c r="AK463" s="71">
        <v>0.15</v>
      </c>
      <c r="AL463" s="88">
        <v>3.3848190498164003E-2</v>
      </c>
      <c r="AM463" s="89">
        <f t="shared" si="7"/>
        <v>0.22565460332109336</v>
      </c>
      <c r="AN463" s="78"/>
    </row>
    <row r="464" spans="1:40" x14ac:dyDescent="0.25">
      <c r="A464" t="s">
        <v>44</v>
      </c>
      <c r="B464" t="s">
        <v>45</v>
      </c>
      <c r="C464" s="121" t="s">
        <v>174</v>
      </c>
      <c r="D464" t="s">
        <v>195</v>
      </c>
      <c r="E464" t="s">
        <v>61</v>
      </c>
      <c r="F464">
        <v>2</v>
      </c>
      <c r="G464">
        <v>66</v>
      </c>
      <c r="H464" s="86">
        <v>45963.208285254601</v>
      </c>
      <c r="I464" s="86">
        <v>45963.280478541703</v>
      </c>
      <c r="J464" s="87">
        <v>1.7326388888888899</v>
      </c>
      <c r="K464" s="69" t="s">
        <v>274</v>
      </c>
      <c r="L464" s="69"/>
      <c r="M464" s="71"/>
      <c r="N464" s="71"/>
      <c r="O464" s="71"/>
      <c r="P464" s="71" t="s">
        <v>275</v>
      </c>
      <c r="Q464" s="88">
        <v>8.8906502005037004E-3</v>
      </c>
      <c r="R464" s="89" t="s">
        <v>276</v>
      </c>
      <c r="S464" s="89"/>
      <c r="T464">
        <v>8.1999999999999993</v>
      </c>
      <c r="U464" s="76">
        <v>0.2</v>
      </c>
      <c r="V464">
        <v>9.6999999999999993</v>
      </c>
      <c r="W464" s="90">
        <v>0.1</v>
      </c>
      <c r="X464" s="90"/>
      <c r="Y464" s="71"/>
      <c r="Z464" s="71"/>
      <c r="AA464" s="71"/>
      <c r="AB464" s="71"/>
      <c r="AC464" s="71"/>
      <c r="AD464" s="71"/>
      <c r="AE464" s="71"/>
      <c r="AF464" s="71"/>
      <c r="AG464" s="82">
        <v>0</v>
      </c>
      <c r="AH464" s="76"/>
      <c r="AI464" s="76"/>
      <c r="AJ464" s="76"/>
      <c r="AK464" s="71">
        <v>0.15</v>
      </c>
      <c r="AL464" s="88">
        <v>3.3848190498164003E-2</v>
      </c>
      <c r="AM464" s="89">
        <f t="shared" si="7"/>
        <v>0.22565460332109336</v>
      </c>
      <c r="AN464" s="78"/>
    </row>
    <row r="465" spans="1:40" x14ac:dyDescent="0.25">
      <c r="A465" t="s">
        <v>44</v>
      </c>
      <c r="B465" t="s">
        <v>45</v>
      </c>
      <c r="C465" s="121" t="s">
        <v>174</v>
      </c>
      <c r="D465" t="s">
        <v>195</v>
      </c>
      <c r="E465" t="s">
        <v>61</v>
      </c>
      <c r="F465">
        <v>2</v>
      </c>
      <c r="G465">
        <v>67</v>
      </c>
      <c r="H465" s="86">
        <v>45963.280478541703</v>
      </c>
      <c r="I465" s="86">
        <v>45963.352661261597</v>
      </c>
      <c r="J465" s="87">
        <v>1.73238527777778</v>
      </c>
      <c r="K465" s="69" t="s">
        <v>274</v>
      </c>
      <c r="L465" s="69"/>
      <c r="M465" s="71"/>
      <c r="N465" s="71"/>
      <c r="O465" s="71"/>
      <c r="P465" s="71" t="s">
        <v>275</v>
      </c>
      <c r="Q465" s="88">
        <v>9.3802897557891205E-3</v>
      </c>
      <c r="R465" s="89" t="s">
        <v>276</v>
      </c>
      <c r="S465" s="89"/>
      <c r="T465">
        <v>8.9</v>
      </c>
      <c r="U465" s="76">
        <v>0.2</v>
      </c>
      <c r="V465">
        <v>9.6</v>
      </c>
      <c r="W465" s="90">
        <v>0.1</v>
      </c>
      <c r="X465" s="90"/>
      <c r="Y465" s="71"/>
      <c r="Z465" s="71"/>
      <c r="AA465" s="71"/>
      <c r="AB465" s="71"/>
      <c r="AC465" s="71"/>
      <c r="AD465" s="71"/>
      <c r="AE465" s="71"/>
      <c r="AF465" s="71"/>
      <c r="AG465" s="82">
        <v>2.6</v>
      </c>
      <c r="AH465" s="76"/>
      <c r="AI465" s="76"/>
      <c r="AJ465" s="76"/>
      <c r="AK465" s="71">
        <v>0.15</v>
      </c>
      <c r="AL465" s="88">
        <v>3.3848190498164003E-2</v>
      </c>
      <c r="AM465" s="89">
        <f t="shared" si="7"/>
        <v>0.22565460332109336</v>
      </c>
      <c r="AN465" s="78"/>
    </row>
    <row r="466" spans="1:40" x14ac:dyDescent="0.25">
      <c r="A466" t="s">
        <v>44</v>
      </c>
      <c r="B466" t="s">
        <v>45</v>
      </c>
      <c r="C466" s="121" t="s">
        <v>174</v>
      </c>
      <c r="D466" t="s">
        <v>195</v>
      </c>
      <c r="E466" t="s">
        <v>61</v>
      </c>
      <c r="F466">
        <v>2</v>
      </c>
      <c r="G466">
        <v>68</v>
      </c>
      <c r="H466" s="86">
        <v>45963.352661261597</v>
      </c>
      <c r="I466" s="86">
        <v>45963.424845752299</v>
      </c>
      <c r="J466" s="87">
        <v>1.7324277777777799</v>
      </c>
      <c r="K466" s="69" t="s">
        <v>274</v>
      </c>
      <c r="L466" s="69"/>
      <c r="M466" s="71"/>
      <c r="N466" s="71"/>
      <c r="O466" s="71"/>
      <c r="P466" s="71" t="s">
        <v>275</v>
      </c>
      <c r="Q466" s="88">
        <v>1.23075899346929E-2</v>
      </c>
      <c r="R466" s="89" t="s">
        <v>276</v>
      </c>
      <c r="S466" s="89"/>
      <c r="T466">
        <v>8.9</v>
      </c>
      <c r="U466" s="76">
        <v>0.2</v>
      </c>
      <c r="V466">
        <v>9.6</v>
      </c>
      <c r="W466" s="90">
        <v>0.1</v>
      </c>
      <c r="X466" s="90"/>
      <c r="Y466" s="71"/>
      <c r="Z466" s="71"/>
      <c r="AA466" s="71"/>
      <c r="AB466" s="71"/>
      <c r="AC466" s="71"/>
      <c r="AD466" s="71"/>
      <c r="AE466" s="71"/>
      <c r="AF466" s="71"/>
      <c r="AG466" s="82">
        <v>3.9</v>
      </c>
      <c r="AH466" s="76"/>
      <c r="AI466" s="76"/>
      <c r="AJ466" s="76"/>
      <c r="AK466" s="71">
        <v>0.15</v>
      </c>
      <c r="AL466" s="88">
        <v>3.3848190498164003E-2</v>
      </c>
      <c r="AM466" s="89">
        <f t="shared" si="7"/>
        <v>0.22565460332109336</v>
      </c>
      <c r="AN466" s="78"/>
    </row>
    <row r="467" spans="1:40" x14ac:dyDescent="0.25">
      <c r="A467" t="s">
        <v>44</v>
      </c>
      <c r="B467" t="s">
        <v>45</v>
      </c>
      <c r="C467" s="121" t="s">
        <v>174</v>
      </c>
      <c r="D467" t="s">
        <v>195</v>
      </c>
      <c r="E467" t="s">
        <v>61</v>
      </c>
      <c r="F467">
        <v>2</v>
      </c>
      <c r="G467">
        <v>69</v>
      </c>
      <c r="H467" s="86">
        <v>45963.424845752299</v>
      </c>
      <c r="I467" s="86">
        <v>45963.497037534697</v>
      </c>
      <c r="J467" s="87">
        <v>1.7326027777777799</v>
      </c>
      <c r="K467" s="69" t="s">
        <v>274</v>
      </c>
      <c r="L467" s="69"/>
      <c r="M467" s="71"/>
      <c r="N467" s="71"/>
      <c r="O467" s="71"/>
      <c r="P467" s="71" t="s">
        <v>275</v>
      </c>
      <c r="Q467" s="88">
        <v>2.6862863101625001E-2</v>
      </c>
      <c r="R467" s="89" t="s">
        <v>276</v>
      </c>
      <c r="S467" s="89"/>
      <c r="T467">
        <v>10</v>
      </c>
      <c r="U467" s="76">
        <v>0.2</v>
      </c>
      <c r="V467">
        <v>9.6</v>
      </c>
      <c r="W467" s="90">
        <v>0.1</v>
      </c>
      <c r="X467" s="90"/>
      <c r="Y467" s="71"/>
      <c r="Z467" s="71"/>
      <c r="AA467" s="71"/>
      <c r="AB467" s="71"/>
      <c r="AC467" s="71"/>
      <c r="AD467" s="71"/>
      <c r="AE467" s="71"/>
      <c r="AF467" s="71"/>
      <c r="AG467" s="82">
        <v>0</v>
      </c>
      <c r="AH467" s="76"/>
      <c r="AI467" s="76"/>
      <c r="AJ467" s="76"/>
      <c r="AK467" s="71">
        <v>0.15</v>
      </c>
      <c r="AL467" s="88">
        <v>3.3848190498164003E-2</v>
      </c>
      <c r="AM467" s="89">
        <f t="shared" si="7"/>
        <v>0.22565460332109336</v>
      </c>
      <c r="AN467" s="78"/>
    </row>
    <row r="468" spans="1:40" x14ac:dyDescent="0.25">
      <c r="A468" t="s">
        <v>44</v>
      </c>
      <c r="B468" t="s">
        <v>45</v>
      </c>
      <c r="C468" s="121" t="s">
        <v>174</v>
      </c>
      <c r="D468" t="s">
        <v>195</v>
      </c>
      <c r="E468" t="s">
        <v>61</v>
      </c>
      <c r="F468">
        <v>2</v>
      </c>
      <c r="G468">
        <v>70</v>
      </c>
      <c r="H468" s="86">
        <v>45963.497037534697</v>
      </c>
      <c r="I468" s="86">
        <v>45963.569212118098</v>
      </c>
      <c r="J468" s="87">
        <v>1.7321899999999999</v>
      </c>
      <c r="K468" s="69" t="s">
        <v>274</v>
      </c>
      <c r="L468" s="69"/>
      <c r="M468" s="71"/>
      <c r="N468" s="71"/>
      <c r="O468" s="71"/>
      <c r="P468" s="71" t="s">
        <v>275</v>
      </c>
      <c r="Q468" s="88">
        <v>7.6259741358349994E-2</v>
      </c>
      <c r="R468" s="89" t="s">
        <v>276</v>
      </c>
      <c r="S468" s="89"/>
      <c r="T468">
        <v>12.6</v>
      </c>
      <c r="U468" s="76">
        <v>0.2</v>
      </c>
      <c r="V468">
        <v>9.6999999999999993</v>
      </c>
      <c r="W468" s="90">
        <v>0.1</v>
      </c>
      <c r="X468" s="90"/>
      <c r="Y468" s="71"/>
      <c r="Z468" s="71"/>
      <c r="AA468" s="71"/>
      <c r="AB468" s="71"/>
      <c r="AC468" s="71"/>
      <c r="AD468" s="71"/>
      <c r="AE468" s="71"/>
      <c r="AF468" s="71"/>
      <c r="AG468" s="82">
        <v>0</v>
      </c>
      <c r="AH468" s="76"/>
      <c r="AI468" s="76"/>
      <c r="AJ468" s="76"/>
      <c r="AK468" s="71">
        <v>0.15</v>
      </c>
      <c r="AL468" s="88">
        <v>3.3848190498164003E-2</v>
      </c>
      <c r="AM468" s="89">
        <f t="shared" si="7"/>
        <v>0.22565460332109336</v>
      </c>
      <c r="AN468" s="78"/>
    </row>
    <row r="469" spans="1:40" x14ac:dyDescent="0.25">
      <c r="A469" t="s">
        <v>44</v>
      </c>
      <c r="B469" t="s">
        <v>45</v>
      </c>
      <c r="C469" s="121" t="s">
        <v>174</v>
      </c>
      <c r="D469" t="s">
        <v>195</v>
      </c>
      <c r="E469" t="s">
        <v>61</v>
      </c>
      <c r="F469">
        <v>2</v>
      </c>
      <c r="G469">
        <v>71</v>
      </c>
      <c r="H469" s="86">
        <v>45963.569212118098</v>
      </c>
      <c r="I469" s="86">
        <v>45963.6414074653</v>
      </c>
      <c r="J469" s="87">
        <v>1.7326883333333301</v>
      </c>
      <c r="K469" s="69" t="s">
        <v>274</v>
      </c>
      <c r="L469" s="69"/>
      <c r="M469" s="71"/>
      <c r="N469" s="71"/>
      <c r="O469" s="71"/>
      <c r="P469" s="71" t="s">
        <v>275</v>
      </c>
      <c r="Q469" s="88">
        <v>4.7250400686634102E-2</v>
      </c>
      <c r="R469" s="89" t="s">
        <v>276</v>
      </c>
      <c r="S469" s="89"/>
      <c r="T469">
        <v>12.2</v>
      </c>
      <c r="U469" s="76">
        <v>0.2</v>
      </c>
      <c r="V469">
        <v>9.9</v>
      </c>
      <c r="W469" s="90">
        <v>0.1</v>
      </c>
      <c r="X469" s="90"/>
      <c r="Y469" s="71"/>
      <c r="Z469" s="71"/>
      <c r="AA469" s="71"/>
      <c r="AB469" s="71"/>
      <c r="AC469" s="71"/>
      <c r="AD469" s="71"/>
      <c r="AE469" s="71"/>
      <c r="AF469" s="71"/>
      <c r="AG469" s="82">
        <v>0</v>
      </c>
      <c r="AH469" s="76"/>
      <c r="AI469" s="76"/>
      <c r="AJ469" s="76"/>
      <c r="AK469" s="71">
        <v>0.15</v>
      </c>
      <c r="AL469" s="88">
        <v>3.3848190498164003E-2</v>
      </c>
      <c r="AM469" s="89">
        <f t="shared" si="7"/>
        <v>0.22565460332109336</v>
      </c>
      <c r="AN469" s="78"/>
    </row>
    <row r="470" spans="1:40" x14ac:dyDescent="0.25">
      <c r="A470" t="s">
        <v>44</v>
      </c>
      <c r="B470" t="s">
        <v>45</v>
      </c>
      <c r="C470" s="121" t="s">
        <v>174</v>
      </c>
      <c r="D470" t="s">
        <v>195</v>
      </c>
      <c r="E470" t="s">
        <v>61</v>
      </c>
      <c r="F470">
        <v>2</v>
      </c>
      <c r="G470">
        <v>72</v>
      </c>
      <c r="H470" s="86">
        <v>45963.6414074653</v>
      </c>
      <c r="I470" s="86">
        <v>45963.713597696798</v>
      </c>
      <c r="J470" s="87">
        <v>1.7325655555555599</v>
      </c>
      <c r="K470" s="69" t="s">
        <v>274</v>
      </c>
      <c r="L470" s="69"/>
      <c r="M470" s="71"/>
      <c r="N470" s="71"/>
      <c r="O470" s="71"/>
      <c r="P470" s="71" t="s">
        <v>275</v>
      </c>
      <c r="Q470" s="88">
        <v>1.7583245948359701E-2</v>
      </c>
      <c r="R470" s="89" t="s">
        <v>276</v>
      </c>
      <c r="S470" s="89"/>
      <c r="T470">
        <v>10.8</v>
      </c>
      <c r="U470" s="76">
        <v>0.2</v>
      </c>
      <c r="V470">
        <v>10.1</v>
      </c>
      <c r="W470" s="90">
        <v>0.1</v>
      </c>
      <c r="X470" s="90"/>
      <c r="Y470" s="71"/>
      <c r="Z470" s="71"/>
      <c r="AA470" s="71"/>
      <c r="AB470" s="71"/>
      <c r="AC470" s="71"/>
      <c r="AD470" s="71"/>
      <c r="AE470" s="71"/>
      <c r="AF470" s="71"/>
      <c r="AG470" s="82">
        <v>0</v>
      </c>
      <c r="AH470" s="76"/>
      <c r="AI470" s="76"/>
      <c r="AJ470" s="76"/>
      <c r="AK470" s="71">
        <v>0.15</v>
      </c>
      <c r="AL470" s="88">
        <v>3.3848190498164003E-2</v>
      </c>
      <c r="AM470" s="89">
        <f t="shared" si="7"/>
        <v>0.22565460332109336</v>
      </c>
      <c r="AN470" s="78"/>
    </row>
    <row r="471" spans="1:40" x14ac:dyDescent="0.25">
      <c r="A471" t="s">
        <v>44</v>
      </c>
      <c r="B471" t="s">
        <v>45</v>
      </c>
      <c r="C471" s="121" t="s">
        <v>174</v>
      </c>
      <c r="D471" t="s">
        <v>195</v>
      </c>
      <c r="E471" t="s">
        <v>61</v>
      </c>
      <c r="F471">
        <v>2</v>
      </c>
      <c r="G471">
        <v>73</v>
      </c>
      <c r="H471" s="86">
        <v>45963.713597696798</v>
      </c>
      <c r="I471" s="86">
        <v>45963.785770960698</v>
      </c>
      <c r="J471" s="87">
        <v>1.7321583333333299</v>
      </c>
      <c r="K471" s="69" t="s">
        <v>274</v>
      </c>
      <c r="L471" s="69"/>
      <c r="M471" s="71"/>
      <c r="N471" s="71"/>
      <c r="O471" s="71"/>
      <c r="P471" s="71" t="s">
        <v>275</v>
      </c>
      <c r="Q471" s="88">
        <v>4.8938367996394904E-3</v>
      </c>
      <c r="R471" s="89" t="s">
        <v>276</v>
      </c>
      <c r="S471" s="89"/>
      <c r="T471">
        <v>6.4</v>
      </c>
      <c r="U471" s="76">
        <v>0.2</v>
      </c>
      <c r="V471">
        <v>10.199999999999999</v>
      </c>
      <c r="W471" s="90">
        <v>0.1</v>
      </c>
      <c r="X471" s="90"/>
      <c r="Y471" s="71"/>
      <c r="Z471" s="71"/>
      <c r="AA471" s="71"/>
      <c r="AB471" s="71"/>
      <c r="AC471" s="71"/>
      <c r="AD471" s="71"/>
      <c r="AE471" s="71"/>
      <c r="AF471" s="71"/>
      <c r="AG471" s="82">
        <v>0</v>
      </c>
      <c r="AH471" s="76"/>
      <c r="AI471" s="76"/>
      <c r="AJ471" s="76"/>
      <c r="AK471" s="71">
        <v>0.15</v>
      </c>
      <c r="AL471" s="88">
        <v>3.3848190498164003E-2</v>
      </c>
      <c r="AM471" s="89">
        <f t="shared" si="7"/>
        <v>0.22565460332109336</v>
      </c>
      <c r="AN471" s="78"/>
    </row>
    <row r="472" spans="1:40" x14ac:dyDescent="0.25">
      <c r="A472" t="s">
        <v>44</v>
      </c>
      <c r="B472" t="s">
        <v>45</v>
      </c>
      <c r="C472" s="121" t="s">
        <v>174</v>
      </c>
      <c r="D472" t="s">
        <v>195</v>
      </c>
      <c r="E472" t="s">
        <v>61</v>
      </c>
      <c r="F472">
        <v>2</v>
      </c>
      <c r="G472">
        <v>74</v>
      </c>
      <c r="H472" s="86">
        <v>45963.785770960698</v>
      </c>
      <c r="I472" s="86">
        <v>45963.8579579051</v>
      </c>
      <c r="J472" s="87">
        <v>1.7324866666666701</v>
      </c>
      <c r="K472" s="69" t="s">
        <v>274</v>
      </c>
      <c r="L472" s="69"/>
      <c r="M472" s="71"/>
      <c r="N472" s="71"/>
      <c r="O472" s="71"/>
      <c r="P472" s="71" t="s">
        <v>275</v>
      </c>
      <c r="Q472" s="88">
        <v>3.7929354224629798E-3</v>
      </c>
      <c r="R472" s="89" t="s">
        <v>276</v>
      </c>
      <c r="S472" s="89"/>
      <c r="T472">
        <v>5.8</v>
      </c>
      <c r="U472" s="76">
        <v>0.2</v>
      </c>
      <c r="V472">
        <v>10</v>
      </c>
      <c r="W472" s="90">
        <v>0.1</v>
      </c>
      <c r="X472" s="90"/>
      <c r="Y472" s="71"/>
      <c r="Z472" s="71"/>
      <c r="AA472" s="71"/>
      <c r="AB472" s="71"/>
      <c r="AC472" s="71"/>
      <c r="AD472" s="71"/>
      <c r="AE472" s="71"/>
      <c r="AF472" s="71"/>
      <c r="AG472" s="82">
        <v>0</v>
      </c>
      <c r="AH472" s="76"/>
      <c r="AI472" s="76"/>
      <c r="AJ472" s="76"/>
      <c r="AK472" s="71">
        <v>0.15</v>
      </c>
      <c r="AL472" s="88">
        <v>3.3848190498164003E-2</v>
      </c>
      <c r="AM472" s="89">
        <f t="shared" si="7"/>
        <v>0.22565460332109336</v>
      </c>
      <c r="AN472" s="78"/>
    </row>
    <row r="473" spans="1:40" x14ac:dyDescent="0.25">
      <c r="A473" t="s">
        <v>44</v>
      </c>
      <c r="B473" t="s">
        <v>45</v>
      </c>
      <c r="C473" s="121" t="s">
        <v>174</v>
      </c>
      <c r="D473" t="s">
        <v>195</v>
      </c>
      <c r="E473" t="s">
        <v>61</v>
      </c>
      <c r="F473">
        <v>2</v>
      </c>
      <c r="G473">
        <v>75</v>
      </c>
      <c r="H473" s="86">
        <v>45963.8579579051</v>
      </c>
      <c r="I473" s="86">
        <v>45963.930140439799</v>
      </c>
      <c r="J473" s="87">
        <v>1.7323808333333299</v>
      </c>
      <c r="K473" s="69" t="s">
        <v>274</v>
      </c>
      <c r="L473" s="69"/>
      <c r="M473" s="71"/>
      <c r="N473" s="71"/>
      <c r="O473" s="71"/>
      <c r="P473" s="71" t="s">
        <v>275</v>
      </c>
      <c r="Q473" s="88">
        <v>2.4901072022473201E-3</v>
      </c>
      <c r="R473" s="89" t="s">
        <v>276</v>
      </c>
      <c r="S473" s="89"/>
      <c r="T473">
        <v>7.2</v>
      </c>
      <c r="U473" s="76">
        <v>0.2</v>
      </c>
      <c r="V473">
        <v>9.8000000000000007</v>
      </c>
      <c r="W473" s="90">
        <v>0.1</v>
      </c>
      <c r="X473" s="90"/>
      <c r="Y473" s="71"/>
      <c r="Z473" s="71"/>
      <c r="AA473" s="71"/>
      <c r="AB473" s="71"/>
      <c r="AC473" s="71"/>
      <c r="AD473" s="71"/>
      <c r="AE473" s="71"/>
      <c r="AF473" s="71"/>
      <c r="AG473" s="82">
        <v>0</v>
      </c>
      <c r="AH473" s="76"/>
      <c r="AI473" s="76"/>
      <c r="AJ473" s="76"/>
      <c r="AK473" s="71">
        <v>0.15</v>
      </c>
      <c r="AL473" s="88">
        <v>3.3848190498164003E-2</v>
      </c>
      <c r="AM473" s="89">
        <f t="shared" si="7"/>
        <v>0.22565460332109336</v>
      </c>
      <c r="AN473" s="78"/>
    </row>
    <row r="474" spans="1:40" x14ac:dyDescent="0.25">
      <c r="A474" t="s">
        <v>44</v>
      </c>
      <c r="B474" t="s">
        <v>45</v>
      </c>
      <c r="C474" s="121" t="s">
        <v>174</v>
      </c>
      <c r="D474" t="s">
        <v>195</v>
      </c>
      <c r="E474" t="s">
        <v>61</v>
      </c>
      <c r="F474">
        <v>2</v>
      </c>
      <c r="G474">
        <v>76</v>
      </c>
      <c r="H474" s="86">
        <v>45963.930140439799</v>
      </c>
      <c r="I474" s="86">
        <v>45964.002322002299</v>
      </c>
      <c r="J474" s="87">
        <v>1.7323575</v>
      </c>
      <c r="K474" s="69" t="s">
        <v>274</v>
      </c>
      <c r="L474" s="69"/>
      <c r="M474" s="71"/>
      <c r="N474" s="71"/>
      <c r="O474" s="71"/>
      <c r="P474" s="71" t="s">
        <v>275</v>
      </c>
      <c r="Q474" s="88">
        <v>3.0045236592837398E-3</v>
      </c>
      <c r="R474" s="89" t="s">
        <v>276</v>
      </c>
      <c r="S474" s="89"/>
      <c r="T474">
        <v>6.7</v>
      </c>
      <c r="U474" s="76">
        <v>0.2</v>
      </c>
      <c r="V474">
        <v>9.6999999999999993</v>
      </c>
      <c r="W474" s="90">
        <v>0.1</v>
      </c>
      <c r="X474" s="90"/>
      <c r="Y474" s="71"/>
      <c r="Z474" s="71"/>
      <c r="AA474" s="71"/>
      <c r="AB474" s="71"/>
      <c r="AC474" s="71"/>
      <c r="AD474" s="71"/>
      <c r="AE474" s="71"/>
      <c r="AF474" s="71"/>
      <c r="AG474" s="82">
        <v>0</v>
      </c>
      <c r="AH474" s="76"/>
      <c r="AI474" s="76"/>
      <c r="AJ474" s="76"/>
      <c r="AK474" s="71">
        <v>0.15</v>
      </c>
      <c r="AL474" s="88">
        <v>3.3848190498164003E-2</v>
      </c>
      <c r="AM474" s="89">
        <f t="shared" si="7"/>
        <v>0.22565460332109336</v>
      </c>
      <c r="AN474" s="78"/>
    </row>
    <row r="475" spans="1:40" x14ac:dyDescent="0.25">
      <c r="A475" t="s">
        <v>44</v>
      </c>
      <c r="B475" t="s">
        <v>45</v>
      </c>
      <c r="C475" s="121" t="s">
        <v>174</v>
      </c>
      <c r="D475" t="s">
        <v>195</v>
      </c>
      <c r="E475" t="s">
        <v>61</v>
      </c>
      <c r="F475">
        <v>2</v>
      </c>
      <c r="G475">
        <v>77</v>
      </c>
      <c r="H475" s="86">
        <v>45964.002322002299</v>
      </c>
      <c r="I475" s="86">
        <v>45964.074511168998</v>
      </c>
      <c r="J475" s="87">
        <v>1.73254</v>
      </c>
      <c r="K475" s="69" t="s">
        <v>274</v>
      </c>
      <c r="L475" s="69"/>
      <c r="M475" s="71"/>
      <c r="N475" s="71"/>
      <c r="O475" s="71"/>
      <c r="P475" s="71" t="s">
        <v>275</v>
      </c>
      <c r="Q475" s="88">
        <v>3.3778794648634601E-3</v>
      </c>
      <c r="R475" s="89" t="s">
        <v>276</v>
      </c>
      <c r="S475" s="89"/>
      <c r="T475">
        <v>6.8</v>
      </c>
      <c r="U475" s="76">
        <v>0.2</v>
      </c>
      <c r="V475">
        <v>9.6</v>
      </c>
      <c r="W475" s="90">
        <v>0.1</v>
      </c>
      <c r="X475" s="90"/>
      <c r="Y475" s="71"/>
      <c r="Z475" s="71"/>
      <c r="AA475" s="71"/>
      <c r="AB475" s="71"/>
      <c r="AC475" s="71"/>
      <c r="AD475" s="71"/>
      <c r="AE475" s="71"/>
      <c r="AF475" s="71"/>
      <c r="AG475" s="82">
        <v>0</v>
      </c>
      <c r="AH475" s="76"/>
      <c r="AI475" s="76"/>
      <c r="AJ475" s="76"/>
      <c r="AK475" s="71">
        <v>0.15</v>
      </c>
      <c r="AL475" s="88">
        <v>3.3848190498164003E-2</v>
      </c>
      <c r="AM475" s="89">
        <f t="shared" si="7"/>
        <v>0.22565460332109336</v>
      </c>
      <c r="AN475" s="78"/>
    </row>
    <row r="476" spans="1:40" x14ac:dyDescent="0.25">
      <c r="A476" t="s">
        <v>44</v>
      </c>
      <c r="B476" t="s">
        <v>45</v>
      </c>
      <c r="C476" s="121" t="s">
        <v>174</v>
      </c>
      <c r="D476" t="s">
        <v>195</v>
      </c>
      <c r="E476" t="s">
        <v>61</v>
      </c>
      <c r="F476">
        <v>2</v>
      </c>
      <c r="G476">
        <v>78</v>
      </c>
      <c r="H476" s="86">
        <v>45964.074511168998</v>
      </c>
      <c r="I476" s="86">
        <v>45964.146689687499</v>
      </c>
      <c r="J476" s="87">
        <v>1.7322844444444501</v>
      </c>
      <c r="K476" s="69" t="s">
        <v>274</v>
      </c>
      <c r="L476" s="69"/>
      <c r="M476" s="71"/>
      <c r="N476" s="71"/>
      <c r="O476" s="71"/>
      <c r="P476" s="71" t="s">
        <v>275</v>
      </c>
      <c r="Q476" s="88">
        <v>4.2585146785722797E-3</v>
      </c>
      <c r="R476" s="89" t="s">
        <v>276</v>
      </c>
      <c r="S476" s="89"/>
      <c r="T476">
        <v>6.7</v>
      </c>
      <c r="U476" s="76">
        <v>0.2</v>
      </c>
      <c r="V476">
        <v>9.5</v>
      </c>
      <c r="W476" s="90">
        <v>0.1</v>
      </c>
      <c r="X476" s="90"/>
      <c r="Y476" s="71"/>
      <c r="Z476" s="71"/>
      <c r="AA476" s="71"/>
      <c r="AB476" s="71"/>
      <c r="AC476" s="71"/>
      <c r="AD476" s="71"/>
      <c r="AE476" s="71"/>
      <c r="AF476" s="71"/>
      <c r="AG476" s="82">
        <v>0</v>
      </c>
      <c r="AH476" s="76"/>
      <c r="AI476" s="76"/>
      <c r="AJ476" s="76"/>
      <c r="AK476" s="71">
        <v>0.15</v>
      </c>
      <c r="AL476" s="88">
        <v>3.3848190498164003E-2</v>
      </c>
      <c r="AM476" s="89">
        <f t="shared" si="7"/>
        <v>0.22565460332109336</v>
      </c>
      <c r="AN476" s="78"/>
    </row>
    <row r="477" spans="1:40" x14ac:dyDescent="0.25">
      <c r="A477" t="s">
        <v>44</v>
      </c>
      <c r="B477" t="s">
        <v>45</v>
      </c>
      <c r="C477" s="121" t="s">
        <v>174</v>
      </c>
      <c r="D477" t="s">
        <v>195</v>
      </c>
      <c r="E477" t="s">
        <v>61</v>
      </c>
      <c r="F477">
        <v>2</v>
      </c>
      <c r="G477">
        <v>79</v>
      </c>
      <c r="H477" s="86">
        <v>45964.146689687499</v>
      </c>
      <c r="I477" s="86">
        <v>45964.218874085702</v>
      </c>
      <c r="J477" s="87">
        <v>1.7324255555555601</v>
      </c>
      <c r="K477" s="69" t="s">
        <v>274</v>
      </c>
      <c r="L477" s="69"/>
      <c r="M477" s="71"/>
      <c r="N477" s="71"/>
      <c r="O477" s="71"/>
      <c r="P477" s="71" t="s">
        <v>275</v>
      </c>
      <c r="Q477" s="88">
        <v>6.0327404015571903E-3</v>
      </c>
      <c r="R477" s="89" t="s">
        <v>276</v>
      </c>
      <c r="S477" s="89"/>
      <c r="T477">
        <v>6.1</v>
      </c>
      <c r="U477" s="76">
        <v>0.2</v>
      </c>
      <c r="V477">
        <v>9.4</v>
      </c>
      <c r="W477" s="90">
        <v>0.1</v>
      </c>
      <c r="X477" s="90"/>
      <c r="Y477" s="71"/>
      <c r="Z477" s="71"/>
      <c r="AA477" s="71"/>
      <c r="AB477" s="71"/>
      <c r="AC477" s="71"/>
      <c r="AD477" s="71"/>
      <c r="AE477" s="71"/>
      <c r="AF477" s="71"/>
      <c r="AG477" s="82">
        <v>0</v>
      </c>
      <c r="AH477" s="76"/>
      <c r="AI477" s="76"/>
      <c r="AJ477" s="76"/>
      <c r="AK477" s="71">
        <v>0.15</v>
      </c>
      <c r="AL477" s="88">
        <v>3.3848190498164003E-2</v>
      </c>
      <c r="AM477" s="89">
        <f t="shared" si="7"/>
        <v>0.22565460332109336</v>
      </c>
      <c r="AN477" s="78"/>
    </row>
    <row r="478" spans="1:40" x14ac:dyDescent="0.25">
      <c r="A478" t="s">
        <v>44</v>
      </c>
      <c r="B478" t="s">
        <v>45</v>
      </c>
      <c r="C478" s="121" t="s">
        <v>174</v>
      </c>
      <c r="D478" t="s">
        <v>195</v>
      </c>
      <c r="E478" t="s">
        <v>61</v>
      </c>
      <c r="F478">
        <v>2</v>
      </c>
      <c r="G478">
        <v>80</v>
      </c>
      <c r="H478" s="86">
        <v>45964.218874085702</v>
      </c>
      <c r="I478" s="86">
        <v>45964.363242326399</v>
      </c>
      <c r="J478" s="87">
        <v>3.4648377777777801</v>
      </c>
      <c r="K478" s="69" t="s">
        <v>274</v>
      </c>
      <c r="L478" s="69"/>
      <c r="M478" s="71"/>
      <c r="N478" s="71"/>
      <c r="O478" s="71"/>
      <c r="P478" s="71" t="s">
        <v>275</v>
      </c>
      <c r="Q478" s="88">
        <v>4.4192411014280604E-3</v>
      </c>
      <c r="R478" s="89" t="s">
        <v>276</v>
      </c>
      <c r="S478" s="89"/>
      <c r="T478">
        <v>6.5</v>
      </c>
      <c r="U478" s="76">
        <v>0.2</v>
      </c>
      <c r="V478">
        <v>9.4</v>
      </c>
      <c r="W478" s="90">
        <v>0.1</v>
      </c>
      <c r="X478" s="90"/>
      <c r="Y478" s="71"/>
      <c r="Z478" s="71"/>
      <c r="AA478" s="71"/>
      <c r="AB478" s="71"/>
      <c r="AC478" s="71"/>
      <c r="AD478" s="71"/>
      <c r="AE478" s="71"/>
      <c r="AF478" s="71"/>
      <c r="AG478" s="82">
        <v>0</v>
      </c>
      <c r="AH478" s="76"/>
      <c r="AI478" s="76"/>
      <c r="AJ478" s="76"/>
      <c r="AK478" s="71">
        <v>0.15</v>
      </c>
      <c r="AL478" s="88">
        <v>3.3848190498164003E-2</v>
      </c>
      <c r="AM478" s="89">
        <f t="shared" si="7"/>
        <v>0.22565460332109336</v>
      </c>
      <c r="AN478" s="78"/>
    </row>
    <row r="479" spans="1:40" x14ac:dyDescent="0.25">
      <c r="A479" t="s">
        <v>44</v>
      </c>
      <c r="B479" t="s">
        <v>45</v>
      </c>
      <c r="C479" s="121" t="s">
        <v>174</v>
      </c>
      <c r="D479" t="s">
        <v>195</v>
      </c>
      <c r="E479" t="s">
        <v>61</v>
      </c>
      <c r="F479">
        <v>2</v>
      </c>
      <c r="G479">
        <v>81</v>
      </c>
      <c r="H479" s="86">
        <v>45964.363242326399</v>
      </c>
      <c r="I479" s="86">
        <v>45964.4354242708</v>
      </c>
      <c r="J479" s="87">
        <v>1.7323666666666699</v>
      </c>
      <c r="K479" s="69" t="s">
        <v>274</v>
      </c>
      <c r="L479" s="69"/>
      <c r="M479" s="71"/>
      <c r="N479" s="71"/>
      <c r="O479" s="71"/>
      <c r="P479" s="71" t="s">
        <v>275</v>
      </c>
      <c r="Q479" s="88">
        <v>1.42654194012921E-2</v>
      </c>
      <c r="R479" s="89" t="s">
        <v>276</v>
      </c>
      <c r="S479" s="89"/>
      <c r="T479">
        <v>7.9</v>
      </c>
      <c r="U479" s="76">
        <v>0.2</v>
      </c>
      <c r="V479">
        <v>9.1999999999999993</v>
      </c>
      <c r="W479" s="90">
        <v>0.1</v>
      </c>
      <c r="X479" s="90"/>
      <c r="Y479" s="71"/>
      <c r="Z479" s="71"/>
      <c r="AA479" s="71"/>
      <c r="AB479" s="71"/>
      <c r="AC479" s="71"/>
      <c r="AD479" s="71"/>
      <c r="AE479" s="71"/>
      <c r="AF479" s="71"/>
      <c r="AG479" s="82">
        <v>0</v>
      </c>
      <c r="AH479" s="76"/>
      <c r="AI479" s="76"/>
      <c r="AJ479" s="76"/>
      <c r="AK479" s="71">
        <v>0.15</v>
      </c>
      <c r="AL479" s="88">
        <v>3.3848190498164003E-2</v>
      </c>
      <c r="AM479" s="89">
        <f t="shared" si="7"/>
        <v>0.22565460332109336</v>
      </c>
      <c r="AN479" s="78"/>
    </row>
    <row r="480" spans="1:40" x14ac:dyDescent="0.25">
      <c r="A480" t="s">
        <v>44</v>
      </c>
      <c r="B480" t="s">
        <v>45</v>
      </c>
      <c r="C480" s="121" t="s">
        <v>174</v>
      </c>
      <c r="D480" t="s">
        <v>195</v>
      </c>
      <c r="E480" t="s">
        <v>61</v>
      </c>
      <c r="F480">
        <v>2</v>
      </c>
      <c r="G480">
        <v>82</v>
      </c>
      <c r="H480" s="86">
        <v>45964.4354242708</v>
      </c>
      <c r="I480" s="86">
        <v>45964.507597800897</v>
      </c>
      <c r="J480" s="87">
        <v>1.7321647222222201</v>
      </c>
      <c r="K480" s="69" t="s">
        <v>274</v>
      </c>
      <c r="L480" s="69"/>
      <c r="M480" s="71"/>
      <c r="N480" s="71"/>
      <c r="O480" s="71"/>
      <c r="P480" s="71" t="s">
        <v>275</v>
      </c>
      <c r="Q480" s="88">
        <v>4.8750485341874997E-2</v>
      </c>
      <c r="R480" s="89" t="s">
        <v>276</v>
      </c>
      <c r="S480" s="89"/>
      <c r="T480">
        <v>9.3000000000000007</v>
      </c>
      <c r="U480" s="76">
        <v>0.2</v>
      </c>
      <c r="V480">
        <v>9.1999999999999993</v>
      </c>
      <c r="W480" s="90">
        <v>0.1</v>
      </c>
      <c r="X480" s="90"/>
      <c r="Y480" s="71"/>
      <c r="Z480" s="71"/>
      <c r="AA480" s="71"/>
      <c r="AB480" s="71"/>
      <c r="AC480" s="71"/>
      <c r="AD480" s="71"/>
      <c r="AE480" s="71"/>
      <c r="AF480" s="71"/>
      <c r="AG480" s="82">
        <v>0</v>
      </c>
      <c r="AH480" s="76"/>
      <c r="AI480" s="76"/>
      <c r="AJ480" s="76"/>
      <c r="AK480" s="71">
        <v>0.15</v>
      </c>
      <c r="AL480" s="88">
        <v>3.3848190498164003E-2</v>
      </c>
      <c r="AM480" s="89">
        <f t="shared" si="7"/>
        <v>0.22565460332109336</v>
      </c>
      <c r="AN480" s="78"/>
    </row>
    <row r="481" spans="1:40" x14ac:dyDescent="0.25">
      <c r="A481" t="s">
        <v>44</v>
      </c>
      <c r="B481" t="s">
        <v>45</v>
      </c>
      <c r="C481" s="121" t="s">
        <v>174</v>
      </c>
      <c r="D481" t="s">
        <v>195</v>
      </c>
      <c r="E481" t="s">
        <v>61</v>
      </c>
      <c r="F481">
        <v>2</v>
      </c>
      <c r="G481">
        <v>83</v>
      </c>
      <c r="H481" s="86">
        <v>45964.507597800897</v>
      </c>
      <c r="I481" s="86">
        <v>45964.579787777802</v>
      </c>
      <c r="J481" s="87">
        <v>1.7325594444444401</v>
      </c>
      <c r="K481" s="69" t="s">
        <v>274</v>
      </c>
      <c r="L481" s="69"/>
      <c r="M481" s="71"/>
      <c r="N481" s="71"/>
      <c r="O481" s="71"/>
      <c r="P481" s="71" t="s">
        <v>275</v>
      </c>
      <c r="Q481" s="88">
        <v>3.4866002896894503E-2</v>
      </c>
      <c r="R481" s="89" t="s">
        <v>276</v>
      </c>
      <c r="S481" s="89"/>
      <c r="T481">
        <v>10.5</v>
      </c>
      <c r="U481" s="76">
        <v>0.2</v>
      </c>
      <c r="V481">
        <v>9.1999999999999993</v>
      </c>
      <c r="W481" s="90">
        <v>0.1</v>
      </c>
      <c r="X481" s="90"/>
      <c r="Y481" s="71"/>
      <c r="Z481" s="71"/>
      <c r="AA481" s="71"/>
      <c r="AB481" s="71"/>
      <c r="AC481" s="71"/>
      <c r="AD481" s="71"/>
      <c r="AE481" s="71"/>
      <c r="AF481" s="71"/>
      <c r="AG481" s="82">
        <v>0</v>
      </c>
      <c r="AH481" s="76"/>
      <c r="AI481" s="76"/>
      <c r="AJ481" s="76"/>
      <c r="AK481" s="71">
        <v>0.15</v>
      </c>
      <c r="AL481" s="88">
        <v>3.3848190498164003E-2</v>
      </c>
      <c r="AM481" s="89">
        <f t="shared" si="7"/>
        <v>0.22565460332109336</v>
      </c>
      <c r="AN481" s="78"/>
    </row>
    <row r="482" spans="1:40" x14ac:dyDescent="0.25">
      <c r="A482" t="s">
        <v>44</v>
      </c>
      <c r="B482" t="s">
        <v>45</v>
      </c>
      <c r="C482" s="121" t="s">
        <v>174</v>
      </c>
      <c r="D482" t="s">
        <v>195</v>
      </c>
      <c r="E482" t="s">
        <v>61</v>
      </c>
      <c r="F482">
        <v>2</v>
      </c>
      <c r="G482">
        <v>84</v>
      </c>
      <c r="H482" s="86">
        <v>45964.579787777802</v>
      </c>
      <c r="I482" s="86">
        <v>45964.651963124998</v>
      </c>
      <c r="J482" s="87">
        <v>1.73220833333333</v>
      </c>
      <c r="K482" s="69" t="s">
        <v>274</v>
      </c>
      <c r="L482" s="69"/>
      <c r="M482" s="71"/>
      <c r="N482" s="71"/>
      <c r="O482" s="71"/>
      <c r="P482" s="71" t="s">
        <v>275</v>
      </c>
      <c r="Q482" s="88">
        <v>2.0259701101722202E-2</v>
      </c>
      <c r="R482" s="89" t="s">
        <v>276</v>
      </c>
      <c r="S482" s="89"/>
      <c r="T482">
        <v>10.1</v>
      </c>
      <c r="U482" s="76">
        <v>0.2</v>
      </c>
      <c r="V482">
        <v>9.4</v>
      </c>
      <c r="W482" s="90">
        <v>0.1</v>
      </c>
      <c r="X482" s="90"/>
      <c r="Y482" s="71"/>
      <c r="Z482" s="71"/>
      <c r="AA482" s="71"/>
      <c r="AB482" s="71"/>
      <c r="AC482" s="71"/>
      <c r="AD482" s="71"/>
      <c r="AE482" s="71"/>
      <c r="AF482" s="71"/>
      <c r="AG482" s="82">
        <v>0.3</v>
      </c>
      <c r="AH482" s="76"/>
      <c r="AI482" s="76"/>
      <c r="AJ482" s="76"/>
      <c r="AK482" s="71">
        <v>0.15</v>
      </c>
      <c r="AL482" s="88">
        <v>3.3848190498164003E-2</v>
      </c>
      <c r="AM482" s="89">
        <f t="shared" si="7"/>
        <v>0.22565460332109336</v>
      </c>
      <c r="AN482" s="78"/>
    </row>
    <row r="483" spans="1:40" x14ac:dyDescent="0.25">
      <c r="A483" t="s">
        <v>44</v>
      </c>
      <c r="B483" t="s">
        <v>45</v>
      </c>
      <c r="C483" s="121" t="s">
        <v>174</v>
      </c>
      <c r="D483" t="s">
        <v>195</v>
      </c>
      <c r="E483" t="s">
        <v>61</v>
      </c>
      <c r="F483">
        <v>2</v>
      </c>
      <c r="G483">
        <v>85</v>
      </c>
      <c r="H483" s="86">
        <v>45964.651963124998</v>
      </c>
      <c r="I483" s="86">
        <v>45964.724159583297</v>
      </c>
      <c r="J483" s="87">
        <v>1.732715</v>
      </c>
      <c r="K483" s="69" t="s">
        <v>274</v>
      </c>
      <c r="L483" s="69"/>
      <c r="M483" s="71"/>
      <c r="N483" s="71"/>
      <c r="O483" s="71"/>
      <c r="P483" s="71" t="s">
        <v>275</v>
      </c>
      <c r="Q483" s="88">
        <v>7.6795014368501897E-3</v>
      </c>
      <c r="R483" s="89" t="s">
        <v>276</v>
      </c>
      <c r="S483" s="89"/>
      <c r="T483">
        <v>9.3000000000000007</v>
      </c>
      <c r="U483" s="76">
        <v>0.2</v>
      </c>
      <c r="V483">
        <v>9.6</v>
      </c>
      <c r="W483" s="90">
        <v>0.1</v>
      </c>
      <c r="X483" s="90"/>
      <c r="Y483" s="71"/>
      <c r="Z483" s="71"/>
      <c r="AA483" s="71"/>
      <c r="AB483" s="71"/>
      <c r="AC483" s="71"/>
      <c r="AD483" s="71"/>
      <c r="AE483" s="71"/>
      <c r="AF483" s="71"/>
      <c r="AG483" s="82">
        <v>0.3</v>
      </c>
      <c r="AH483" s="76"/>
      <c r="AI483" s="76"/>
      <c r="AJ483" s="76"/>
      <c r="AK483" s="71">
        <v>0.15</v>
      </c>
      <c r="AL483" s="88">
        <v>3.3848190498164003E-2</v>
      </c>
      <c r="AM483" s="89">
        <f t="shared" si="7"/>
        <v>0.22565460332109336</v>
      </c>
      <c r="AN483" s="78"/>
    </row>
    <row r="484" spans="1:40" x14ac:dyDescent="0.25">
      <c r="A484" t="s">
        <v>44</v>
      </c>
      <c r="B484" t="s">
        <v>45</v>
      </c>
      <c r="C484" s="121" t="s">
        <v>174</v>
      </c>
      <c r="D484" t="s">
        <v>195</v>
      </c>
      <c r="E484" t="s">
        <v>61</v>
      </c>
      <c r="F484">
        <v>2</v>
      </c>
      <c r="G484">
        <v>86</v>
      </c>
      <c r="H484" s="86">
        <v>45964.724159583297</v>
      </c>
      <c r="I484" s="86">
        <v>45964.796342766203</v>
      </c>
      <c r="J484" s="87">
        <v>1.73239638888889</v>
      </c>
      <c r="K484" s="69" t="s">
        <v>274</v>
      </c>
      <c r="L484" s="69"/>
      <c r="M484" s="71"/>
      <c r="N484" s="71"/>
      <c r="O484" s="71"/>
      <c r="P484" s="71" t="s">
        <v>275</v>
      </c>
      <c r="Q484" s="88">
        <v>5.6527248655353799E-3</v>
      </c>
      <c r="R484" s="89" t="s">
        <v>276</v>
      </c>
      <c r="S484" s="89"/>
      <c r="T484">
        <v>9.3000000000000007</v>
      </c>
      <c r="U484" s="76">
        <v>0.2</v>
      </c>
      <c r="V484">
        <v>9.6</v>
      </c>
      <c r="W484" s="90">
        <v>0.1</v>
      </c>
      <c r="X484" s="90"/>
      <c r="Y484" s="71"/>
      <c r="Z484" s="71"/>
      <c r="AA484" s="71"/>
      <c r="AB484" s="71"/>
      <c r="AC484" s="71"/>
      <c r="AD484" s="71"/>
      <c r="AE484" s="71"/>
      <c r="AF484" s="71"/>
      <c r="AG484" s="82">
        <v>0.2</v>
      </c>
      <c r="AH484" s="76"/>
      <c r="AI484" s="76"/>
      <c r="AJ484" s="76"/>
      <c r="AK484" s="71">
        <v>0.15</v>
      </c>
      <c r="AL484" s="88">
        <v>3.3848190498164003E-2</v>
      </c>
      <c r="AM484" s="89">
        <f t="shared" si="7"/>
        <v>0.22565460332109336</v>
      </c>
      <c r="AN484" s="78"/>
    </row>
    <row r="485" spans="1:40" x14ac:dyDescent="0.25">
      <c r="A485" t="s">
        <v>44</v>
      </c>
      <c r="B485" t="s">
        <v>45</v>
      </c>
      <c r="C485" s="121" t="s">
        <v>174</v>
      </c>
      <c r="D485" t="s">
        <v>195</v>
      </c>
      <c r="E485" t="s">
        <v>61</v>
      </c>
      <c r="F485">
        <v>2</v>
      </c>
      <c r="G485">
        <v>87</v>
      </c>
      <c r="H485" s="86">
        <v>45964.796342766203</v>
      </c>
      <c r="I485" s="86">
        <v>45964.868528229199</v>
      </c>
      <c r="J485" s="87">
        <v>1.7324511111111101</v>
      </c>
      <c r="K485" s="69" t="s">
        <v>274</v>
      </c>
      <c r="L485" s="69"/>
      <c r="M485" s="71"/>
      <c r="N485" s="71"/>
      <c r="O485" s="71"/>
      <c r="P485" s="71" t="s">
        <v>275</v>
      </c>
      <c r="Q485" s="88">
        <v>6.4854008030042097E-3</v>
      </c>
      <c r="R485" s="89" t="s">
        <v>276</v>
      </c>
      <c r="S485" s="89"/>
      <c r="T485">
        <v>10.4</v>
      </c>
      <c r="U485" s="76">
        <v>0.2</v>
      </c>
      <c r="V485">
        <v>9.6999999999999993</v>
      </c>
      <c r="W485" s="90">
        <v>0.1</v>
      </c>
      <c r="X485" s="90"/>
      <c r="Y485" s="71"/>
      <c r="Z485" s="71"/>
      <c r="AA485" s="71"/>
      <c r="AB485" s="71"/>
      <c r="AC485" s="71"/>
      <c r="AD485" s="71"/>
      <c r="AE485" s="71"/>
      <c r="AF485" s="71"/>
      <c r="AG485" s="82">
        <v>0.2</v>
      </c>
      <c r="AH485" s="76"/>
      <c r="AI485" s="76"/>
      <c r="AJ485" s="76"/>
      <c r="AK485" s="71">
        <v>0.15</v>
      </c>
      <c r="AL485" s="88">
        <v>3.3848190498164003E-2</v>
      </c>
      <c r="AM485" s="89">
        <f t="shared" si="7"/>
        <v>0.22565460332109336</v>
      </c>
      <c r="AN485" s="78"/>
    </row>
    <row r="486" spans="1:40" x14ac:dyDescent="0.25">
      <c r="A486" t="s">
        <v>44</v>
      </c>
      <c r="B486" t="s">
        <v>45</v>
      </c>
      <c r="C486" s="121" t="s">
        <v>174</v>
      </c>
      <c r="D486" t="s">
        <v>195</v>
      </c>
      <c r="E486" t="s">
        <v>61</v>
      </c>
      <c r="F486">
        <v>2</v>
      </c>
      <c r="G486">
        <v>88</v>
      </c>
      <c r="H486" s="86">
        <v>45964.868528229199</v>
      </c>
      <c r="I486" s="86">
        <v>45964.940712326403</v>
      </c>
      <c r="J486" s="87">
        <v>1.7324183333333301</v>
      </c>
      <c r="K486" s="69" t="s">
        <v>274</v>
      </c>
      <c r="L486" s="69"/>
      <c r="M486" s="71"/>
      <c r="N486" s="71"/>
      <c r="O486" s="71"/>
      <c r="P486" s="71" t="s">
        <v>275</v>
      </c>
      <c r="Q486" s="88">
        <v>8.6275257492761503E-3</v>
      </c>
      <c r="R486" s="89" t="s">
        <v>276</v>
      </c>
      <c r="S486" s="89"/>
      <c r="T486">
        <v>11.4</v>
      </c>
      <c r="U486" s="76">
        <v>0.2</v>
      </c>
      <c r="V486">
        <v>9.6999999999999993</v>
      </c>
      <c r="W486" s="90">
        <v>0.1</v>
      </c>
      <c r="X486" s="90"/>
      <c r="Y486" s="71"/>
      <c r="Z486" s="71"/>
      <c r="AA486" s="71"/>
      <c r="AB486" s="71"/>
      <c r="AC486" s="71"/>
      <c r="AD486" s="71"/>
      <c r="AE486" s="71"/>
      <c r="AF486" s="71"/>
      <c r="AG486" s="82">
        <v>0.2</v>
      </c>
      <c r="AH486" s="76"/>
      <c r="AI486" s="76"/>
      <c r="AJ486" s="76"/>
      <c r="AK486" s="71">
        <v>0.15</v>
      </c>
      <c r="AL486" s="88">
        <v>3.3848190498164003E-2</v>
      </c>
      <c r="AM486" s="89">
        <f t="shared" si="7"/>
        <v>0.22565460332109336</v>
      </c>
      <c r="AN486" s="78"/>
    </row>
    <row r="487" spans="1:40" x14ac:dyDescent="0.25">
      <c r="A487" t="s">
        <v>44</v>
      </c>
      <c r="B487" t="s">
        <v>45</v>
      </c>
      <c r="C487" s="121" t="s">
        <v>174</v>
      </c>
      <c r="D487" t="s">
        <v>195</v>
      </c>
      <c r="E487" t="s">
        <v>61</v>
      </c>
      <c r="F487">
        <v>2</v>
      </c>
      <c r="G487">
        <v>89</v>
      </c>
      <c r="H487" s="86">
        <v>45964.940712326403</v>
      </c>
      <c r="I487" s="86">
        <v>45965.012898854198</v>
      </c>
      <c r="J487" s="87">
        <v>1.73247666666667</v>
      </c>
      <c r="K487" s="69" t="s">
        <v>274</v>
      </c>
      <c r="L487" s="69"/>
      <c r="M487" s="71"/>
      <c r="N487" s="71"/>
      <c r="O487" s="71"/>
      <c r="P487" s="71" t="s">
        <v>275</v>
      </c>
      <c r="Q487" s="88">
        <v>1.50629409178848E-2</v>
      </c>
      <c r="R487" s="89" t="s">
        <v>276</v>
      </c>
      <c r="S487" s="89"/>
      <c r="T487">
        <v>12.3</v>
      </c>
      <c r="U487" s="76">
        <v>0.2</v>
      </c>
      <c r="V487">
        <v>9.8000000000000007</v>
      </c>
      <c r="W487" s="90">
        <v>0.1</v>
      </c>
      <c r="X487" s="90"/>
      <c r="Y487" s="71"/>
      <c r="Z487" s="71"/>
      <c r="AA487" s="71"/>
      <c r="AB487" s="71"/>
      <c r="AC487" s="71"/>
      <c r="AD487" s="71"/>
      <c r="AE487" s="71"/>
      <c r="AF487" s="71"/>
      <c r="AG487" s="82">
        <v>0.2</v>
      </c>
      <c r="AH487" s="76"/>
      <c r="AI487" s="76"/>
      <c r="AJ487" s="76"/>
      <c r="AK487" s="71">
        <v>0.15</v>
      </c>
      <c r="AL487" s="88">
        <v>3.3848190498164003E-2</v>
      </c>
      <c r="AM487" s="89">
        <f t="shared" si="7"/>
        <v>0.22565460332109336</v>
      </c>
      <c r="AN487" s="78"/>
    </row>
    <row r="488" spans="1:40" x14ac:dyDescent="0.25">
      <c r="A488" t="s">
        <v>44</v>
      </c>
      <c r="B488" t="s">
        <v>45</v>
      </c>
      <c r="C488" s="121" t="s">
        <v>174</v>
      </c>
      <c r="D488" t="s">
        <v>195</v>
      </c>
      <c r="E488" t="s">
        <v>61</v>
      </c>
      <c r="F488">
        <v>2</v>
      </c>
      <c r="G488">
        <v>90</v>
      </c>
      <c r="H488" s="86">
        <v>45965.012898854198</v>
      </c>
      <c r="I488" s="86">
        <v>45965.085083761602</v>
      </c>
      <c r="J488" s="87">
        <v>1.73243777777778</v>
      </c>
      <c r="K488" s="69" t="s">
        <v>274</v>
      </c>
      <c r="L488" s="69"/>
      <c r="M488" s="71"/>
      <c r="N488" s="71"/>
      <c r="O488" s="71"/>
      <c r="P488" s="71" t="s">
        <v>275</v>
      </c>
      <c r="Q488" s="88">
        <v>2.1274005728675899E-2</v>
      </c>
      <c r="R488" s="89" t="s">
        <v>276</v>
      </c>
      <c r="S488" s="89"/>
      <c r="T488">
        <v>12.5</v>
      </c>
      <c r="U488" s="76">
        <v>0.2</v>
      </c>
      <c r="V488">
        <v>9.9</v>
      </c>
      <c r="W488" s="90">
        <v>0.1</v>
      </c>
      <c r="X488" s="90"/>
      <c r="Y488" s="71"/>
      <c r="Z488" s="71"/>
      <c r="AA488" s="71"/>
      <c r="AB488" s="71"/>
      <c r="AC488" s="71"/>
      <c r="AD488" s="71"/>
      <c r="AE488" s="71"/>
      <c r="AF488" s="71"/>
      <c r="AG488" s="82">
        <v>0.2</v>
      </c>
      <c r="AH488" s="76"/>
      <c r="AI488" s="76"/>
      <c r="AJ488" s="76"/>
      <c r="AK488" s="71">
        <v>0.15</v>
      </c>
      <c r="AL488" s="88">
        <v>3.3848190498164003E-2</v>
      </c>
      <c r="AM488" s="89">
        <f t="shared" si="7"/>
        <v>0.22565460332109336</v>
      </c>
      <c r="AN488" s="78"/>
    </row>
    <row r="489" spans="1:40" x14ac:dyDescent="0.25">
      <c r="A489" t="s">
        <v>44</v>
      </c>
      <c r="B489" t="s">
        <v>45</v>
      </c>
      <c r="C489" s="121" t="s">
        <v>174</v>
      </c>
      <c r="D489" t="s">
        <v>195</v>
      </c>
      <c r="E489" t="s">
        <v>61</v>
      </c>
      <c r="F489">
        <v>2</v>
      </c>
      <c r="G489">
        <v>91</v>
      </c>
      <c r="H489" s="86">
        <v>45965.085083761602</v>
      </c>
      <c r="I489" s="86">
        <v>45965.157270520802</v>
      </c>
      <c r="J489" s="87">
        <v>1.73248222222222</v>
      </c>
      <c r="K489" s="69" t="s">
        <v>274</v>
      </c>
      <c r="L489" s="69"/>
      <c r="M489" s="71"/>
      <c r="N489" s="71"/>
      <c r="O489" s="71"/>
      <c r="P489" s="71" t="s">
        <v>275</v>
      </c>
      <c r="Q489" s="88">
        <v>3.4938905033146499E-2</v>
      </c>
      <c r="R489" s="89" t="s">
        <v>276</v>
      </c>
      <c r="S489" s="89"/>
      <c r="T489">
        <v>12.6</v>
      </c>
      <c r="U489" s="76">
        <v>0.2</v>
      </c>
      <c r="V489">
        <v>10</v>
      </c>
      <c r="W489" s="90">
        <v>0.1</v>
      </c>
      <c r="X489" s="90"/>
      <c r="Y489" s="71"/>
      <c r="Z489" s="71"/>
      <c r="AA489" s="71"/>
      <c r="AB489" s="71"/>
      <c r="AC489" s="71"/>
      <c r="AD489" s="71"/>
      <c r="AE489" s="71"/>
      <c r="AF489" s="71"/>
      <c r="AG489" s="82">
        <v>0</v>
      </c>
      <c r="AH489" s="76"/>
      <c r="AI489" s="76"/>
      <c r="AJ489" s="76"/>
      <c r="AK489" s="71">
        <v>0.15</v>
      </c>
      <c r="AL489" s="88">
        <v>3.3848190498164003E-2</v>
      </c>
      <c r="AM489" s="89">
        <f t="shared" si="7"/>
        <v>0.22565460332109336</v>
      </c>
      <c r="AN489" s="78"/>
    </row>
    <row r="490" spans="1:40" x14ac:dyDescent="0.25">
      <c r="A490" t="s">
        <v>44</v>
      </c>
      <c r="B490" t="s">
        <v>45</v>
      </c>
      <c r="C490" s="121" t="s">
        <v>174</v>
      </c>
      <c r="D490" t="s">
        <v>195</v>
      </c>
      <c r="E490" t="s">
        <v>61</v>
      </c>
      <c r="F490">
        <v>2</v>
      </c>
      <c r="G490">
        <v>92</v>
      </c>
      <c r="H490" s="86">
        <v>45965.157270520802</v>
      </c>
      <c r="I490" s="86">
        <v>45965.229451874999</v>
      </c>
      <c r="J490" s="87">
        <v>1.7323525</v>
      </c>
      <c r="K490" s="69" t="s">
        <v>274</v>
      </c>
      <c r="L490" s="69"/>
      <c r="M490" s="71"/>
      <c r="N490" s="71"/>
      <c r="O490" s="71"/>
      <c r="P490" s="71" t="s">
        <v>275</v>
      </c>
      <c r="Q490" s="88">
        <v>3.5979664970749801E-2</v>
      </c>
      <c r="R490" s="89" t="s">
        <v>276</v>
      </c>
      <c r="S490" s="89"/>
      <c r="T490">
        <v>12.6</v>
      </c>
      <c r="U490" s="76">
        <v>0.2</v>
      </c>
      <c r="V490">
        <v>10.199999999999999</v>
      </c>
      <c r="W490" s="90">
        <v>0.1</v>
      </c>
      <c r="X490" s="90"/>
      <c r="Y490" s="71"/>
      <c r="Z490" s="71"/>
      <c r="AA490" s="71"/>
      <c r="AB490" s="71"/>
      <c r="AC490" s="71"/>
      <c r="AD490" s="71"/>
      <c r="AE490" s="71"/>
      <c r="AF490" s="71"/>
      <c r="AG490" s="82">
        <v>0.2</v>
      </c>
      <c r="AH490" s="76"/>
      <c r="AI490" s="76"/>
      <c r="AJ490" s="76"/>
      <c r="AK490" s="71">
        <v>0.15</v>
      </c>
      <c r="AL490" s="88">
        <v>3.3848190498164003E-2</v>
      </c>
      <c r="AM490" s="89">
        <f t="shared" si="7"/>
        <v>0.22565460332109336</v>
      </c>
      <c r="AN490" s="78"/>
    </row>
    <row r="491" spans="1:40" x14ac:dyDescent="0.25">
      <c r="A491" t="s">
        <v>44</v>
      </c>
      <c r="B491" t="s">
        <v>45</v>
      </c>
      <c r="C491" s="121" t="s">
        <v>174</v>
      </c>
      <c r="D491" t="s">
        <v>195</v>
      </c>
      <c r="E491" t="s">
        <v>61</v>
      </c>
      <c r="F491">
        <v>2</v>
      </c>
      <c r="G491">
        <v>93</v>
      </c>
      <c r="H491" s="86">
        <v>45965.229451874999</v>
      </c>
      <c r="I491" s="86">
        <v>45965.301641562502</v>
      </c>
      <c r="J491" s="87">
        <v>1.7325524999999999</v>
      </c>
      <c r="K491" s="69" t="s">
        <v>274</v>
      </c>
      <c r="L491" s="69"/>
      <c r="M491" s="71"/>
      <c r="N491" s="71"/>
      <c r="O491" s="71"/>
      <c r="P491" s="71" t="s">
        <v>275</v>
      </c>
      <c r="Q491" s="88">
        <v>3.2273234469745303E-2</v>
      </c>
      <c r="R491" s="89" t="s">
        <v>276</v>
      </c>
      <c r="S491" s="89"/>
      <c r="T491">
        <v>12.5</v>
      </c>
      <c r="U491" s="76">
        <v>0.2</v>
      </c>
      <c r="V491">
        <v>10.3</v>
      </c>
      <c r="W491" s="90">
        <v>0.1</v>
      </c>
      <c r="X491" s="90"/>
      <c r="Y491" s="71"/>
      <c r="Z491" s="71"/>
      <c r="AA491" s="71"/>
      <c r="AB491" s="71"/>
      <c r="AC491" s="71"/>
      <c r="AD491" s="71"/>
      <c r="AE491" s="71"/>
      <c r="AF491" s="71"/>
      <c r="AG491" s="82">
        <v>0.4</v>
      </c>
      <c r="AH491" s="76"/>
      <c r="AI491" s="76"/>
      <c r="AJ491" s="76"/>
      <c r="AK491" s="71">
        <v>0.15</v>
      </c>
      <c r="AL491" s="88">
        <v>3.3848190498164003E-2</v>
      </c>
      <c r="AM491" s="89">
        <f t="shared" si="7"/>
        <v>0.22565460332109336</v>
      </c>
      <c r="AN491" s="78"/>
    </row>
    <row r="492" spans="1:40" x14ac:dyDescent="0.25">
      <c r="A492" t="s">
        <v>44</v>
      </c>
      <c r="B492" t="s">
        <v>45</v>
      </c>
      <c r="C492" s="121" t="s">
        <v>174</v>
      </c>
      <c r="D492" t="s">
        <v>195</v>
      </c>
      <c r="E492" t="s">
        <v>61</v>
      </c>
      <c r="F492">
        <v>2</v>
      </c>
      <c r="G492">
        <v>94</v>
      </c>
      <c r="H492" s="86">
        <v>45965.301641562502</v>
      </c>
      <c r="I492" s="86">
        <v>45965.373837719897</v>
      </c>
      <c r="J492" s="87">
        <v>1.73270777777778</v>
      </c>
      <c r="K492" s="69" t="s">
        <v>274</v>
      </c>
      <c r="L492" s="69"/>
      <c r="M492" s="71"/>
      <c r="N492" s="71"/>
      <c r="O492" s="71"/>
      <c r="P492" s="71" t="s">
        <v>275</v>
      </c>
      <c r="Q492" s="88">
        <v>3.3342165056512801E-2</v>
      </c>
      <c r="R492" s="89" t="s">
        <v>276</v>
      </c>
      <c r="S492" s="89"/>
      <c r="T492">
        <v>12.4</v>
      </c>
      <c r="U492" s="76">
        <v>0.2</v>
      </c>
      <c r="V492">
        <v>10.4</v>
      </c>
      <c r="W492" s="90">
        <v>0.1</v>
      </c>
      <c r="X492" s="90"/>
      <c r="Y492" s="71"/>
      <c r="Z492" s="71"/>
      <c r="AA492" s="71"/>
      <c r="AB492" s="71"/>
      <c r="AC492" s="71"/>
      <c r="AD492" s="71"/>
      <c r="AE492" s="71"/>
      <c r="AF492" s="71"/>
      <c r="AG492" s="82">
        <v>0</v>
      </c>
      <c r="AH492" s="76"/>
      <c r="AI492" s="76"/>
      <c r="AJ492" s="76"/>
      <c r="AK492" s="71">
        <v>0.15</v>
      </c>
      <c r="AL492" s="88">
        <v>3.3848190498164003E-2</v>
      </c>
      <c r="AM492" s="89">
        <f t="shared" si="7"/>
        <v>0.22565460332109336</v>
      </c>
      <c r="AN492" s="78"/>
    </row>
    <row r="493" spans="1:40" x14ac:dyDescent="0.25">
      <c r="A493" t="s">
        <v>44</v>
      </c>
      <c r="B493" t="s">
        <v>45</v>
      </c>
      <c r="C493" s="121" t="s">
        <v>174</v>
      </c>
      <c r="D493" t="s">
        <v>195</v>
      </c>
      <c r="E493" t="s">
        <v>61</v>
      </c>
      <c r="F493">
        <v>2</v>
      </c>
      <c r="G493">
        <v>95</v>
      </c>
      <c r="H493" s="86">
        <v>45965.373837719897</v>
      </c>
      <c r="I493" s="86">
        <v>45965.446028946797</v>
      </c>
      <c r="J493" s="87">
        <v>1.7325894444444501</v>
      </c>
      <c r="K493" s="69" t="s">
        <v>274</v>
      </c>
      <c r="L493" s="69"/>
      <c r="M493" s="71"/>
      <c r="N493" s="71"/>
      <c r="O493" s="71"/>
      <c r="P493" s="71" t="s">
        <v>275</v>
      </c>
      <c r="Q493" s="88">
        <v>3.4736551625093003E-2</v>
      </c>
      <c r="R493" s="89" t="s">
        <v>276</v>
      </c>
      <c r="S493" s="89"/>
      <c r="T493">
        <v>12.6</v>
      </c>
      <c r="U493" s="76">
        <v>0.2</v>
      </c>
      <c r="V493">
        <v>10.5</v>
      </c>
      <c r="W493" s="90">
        <v>0.1</v>
      </c>
      <c r="X493" s="90"/>
      <c r="Y493" s="71"/>
      <c r="Z493" s="71"/>
      <c r="AA493" s="71"/>
      <c r="AB493" s="71"/>
      <c r="AC493" s="71"/>
      <c r="AD493" s="71"/>
      <c r="AE493" s="71"/>
      <c r="AF493" s="71"/>
      <c r="AG493" s="82">
        <v>0.1</v>
      </c>
      <c r="AH493" s="76"/>
      <c r="AI493" s="76"/>
      <c r="AJ493" s="76"/>
      <c r="AK493" s="71">
        <v>0.15</v>
      </c>
      <c r="AL493" s="88">
        <v>3.3848190498164003E-2</v>
      </c>
      <c r="AM493" s="89">
        <f t="shared" si="7"/>
        <v>0.22565460332109336</v>
      </c>
      <c r="AN493" s="78"/>
    </row>
    <row r="494" spans="1:40" x14ac:dyDescent="0.25">
      <c r="A494" t="s">
        <v>44</v>
      </c>
      <c r="B494" t="s">
        <v>45</v>
      </c>
      <c r="C494" s="121" t="s">
        <v>174</v>
      </c>
      <c r="D494" t="s">
        <v>195</v>
      </c>
      <c r="E494" t="s">
        <v>61</v>
      </c>
      <c r="F494">
        <v>2</v>
      </c>
      <c r="G494">
        <v>96</v>
      </c>
      <c r="H494" s="86">
        <v>45965.446028946797</v>
      </c>
      <c r="I494" s="86">
        <v>45965.5182300694</v>
      </c>
      <c r="J494" s="87">
        <v>1.73282694444444</v>
      </c>
      <c r="K494" s="69" t="s">
        <v>274</v>
      </c>
      <c r="L494" s="69"/>
      <c r="M494" s="71"/>
      <c r="N494" s="71"/>
      <c r="O494" s="71"/>
      <c r="P494" s="71" t="s">
        <v>275</v>
      </c>
      <c r="Q494" s="88">
        <v>4.0807522343215802E-2</v>
      </c>
      <c r="R494" s="89" t="s">
        <v>276</v>
      </c>
      <c r="S494" s="89"/>
      <c r="T494">
        <v>12.8</v>
      </c>
      <c r="U494" s="76">
        <v>0.2</v>
      </c>
      <c r="V494">
        <v>10.6</v>
      </c>
      <c r="W494" s="90">
        <v>0.1</v>
      </c>
      <c r="X494" s="90"/>
      <c r="Y494" s="71"/>
      <c r="Z494" s="71"/>
      <c r="AA494" s="71"/>
      <c r="AB494" s="71"/>
      <c r="AC494" s="71"/>
      <c r="AD494" s="71"/>
      <c r="AE494" s="71"/>
      <c r="AF494" s="71"/>
      <c r="AG494" s="82">
        <v>0.2</v>
      </c>
      <c r="AH494" s="76"/>
      <c r="AI494" s="76"/>
      <c r="AJ494" s="76"/>
      <c r="AK494" s="71">
        <v>0.15</v>
      </c>
      <c r="AL494" s="88">
        <v>3.3848190498164003E-2</v>
      </c>
      <c r="AM494" s="89">
        <f t="shared" si="7"/>
        <v>0.22565460332109336</v>
      </c>
      <c r="AN494" s="78"/>
    </row>
    <row r="495" spans="1:40" x14ac:dyDescent="0.25">
      <c r="A495" t="s">
        <v>44</v>
      </c>
      <c r="B495" t="s">
        <v>45</v>
      </c>
      <c r="C495" s="121" t="s">
        <v>174</v>
      </c>
      <c r="D495" t="s">
        <v>189</v>
      </c>
      <c r="E495" t="s">
        <v>57</v>
      </c>
      <c r="F495">
        <v>2</v>
      </c>
      <c r="G495">
        <v>1</v>
      </c>
      <c r="H495" s="86">
        <v>45958.547001886604</v>
      </c>
      <c r="I495" s="86">
        <v>45958.6409455787</v>
      </c>
      <c r="J495" s="87">
        <v>2.2546486111111101</v>
      </c>
      <c r="K495" s="69" t="s">
        <v>274</v>
      </c>
      <c r="L495" s="69"/>
      <c r="M495" s="71"/>
      <c r="N495" s="71"/>
      <c r="O495" s="71"/>
      <c r="P495" s="71" t="s">
        <v>275</v>
      </c>
      <c r="Q495" s="88" t="s">
        <v>277</v>
      </c>
      <c r="R495" s="89" t="s">
        <v>276</v>
      </c>
      <c r="S495" s="89"/>
      <c r="T495">
        <v>7.7</v>
      </c>
      <c r="U495" s="76">
        <v>0.2</v>
      </c>
      <c r="V495">
        <v>9.5</v>
      </c>
      <c r="W495" s="90">
        <v>0.1</v>
      </c>
      <c r="X495" s="90"/>
      <c r="Y495" s="71"/>
      <c r="Z495" s="71"/>
      <c r="AA495" s="71"/>
      <c r="AB495" s="71"/>
      <c r="AC495" s="71"/>
      <c r="AD495" s="71"/>
      <c r="AE495" s="71"/>
      <c r="AF495" s="71"/>
      <c r="AG495" s="82">
        <v>0.1</v>
      </c>
      <c r="AH495" s="76"/>
      <c r="AI495" s="76"/>
      <c r="AJ495" s="76"/>
      <c r="AK495" s="71">
        <v>0.15</v>
      </c>
      <c r="AL495" s="88">
        <v>3.441511295928E-2</v>
      </c>
      <c r="AM495" s="89">
        <f t="shared" si="7"/>
        <v>0.22943408639520002</v>
      </c>
      <c r="AN495" s="78"/>
    </row>
    <row r="496" spans="1:40" x14ac:dyDescent="0.25">
      <c r="A496" t="s">
        <v>44</v>
      </c>
      <c r="B496" t="s">
        <v>45</v>
      </c>
      <c r="C496" s="121" t="s">
        <v>174</v>
      </c>
      <c r="D496" t="s">
        <v>189</v>
      </c>
      <c r="E496" t="s">
        <v>57</v>
      </c>
      <c r="F496">
        <v>2</v>
      </c>
      <c r="G496">
        <v>2</v>
      </c>
      <c r="H496" s="86">
        <v>45958.6409455787</v>
      </c>
      <c r="I496" s="86">
        <v>45958.738402094903</v>
      </c>
      <c r="J496" s="87">
        <v>2.33895638888889</v>
      </c>
      <c r="K496" s="69" t="s">
        <v>274</v>
      </c>
      <c r="L496" s="69"/>
      <c r="M496" s="71"/>
      <c r="N496" s="71"/>
      <c r="O496" s="71"/>
      <c r="P496" s="71" t="s">
        <v>275</v>
      </c>
      <c r="Q496" s="88" t="s">
        <v>277</v>
      </c>
      <c r="R496" s="89" t="s">
        <v>276</v>
      </c>
      <c r="S496" s="89"/>
      <c r="T496">
        <v>8.4</v>
      </c>
      <c r="U496" s="76">
        <v>0.2</v>
      </c>
      <c r="V496">
        <v>9.6</v>
      </c>
      <c r="W496" s="90">
        <v>0.1</v>
      </c>
      <c r="X496" s="90"/>
      <c r="Y496" s="71"/>
      <c r="Z496" s="71"/>
      <c r="AA496" s="71"/>
      <c r="AB496" s="71"/>
      <c r="AC496" s="71"/>
      <c r="AD496" s="71"/>
      <c r="AE496" s="71"/>
      <c r="AF496" s="71"/>
      <c r="AG496" s="82">
        <v>0</v>
      </c>
      <c r="AH496" s="76"/>
      <c r="AI496" s="76"/>
      <c r="AJ496" s="76"/>
      <c r="AK496" s="71">
        <v>0.15</v>
      </c>
      <c r="AL496" s="88">
        <v>3.441511295928E-2</v>
      </c>
      <c r="AM496" s="89">
        <f t="shared" si="7"/>
        <v>0.22943408639520002</v>
      </c>
      <c r="AN496" s="78"/>
    </row>
    <row r="497" spans="1:40" x14ac:dyDescent="0.25">
      <c r="A497" t="s">
        <v>44</v>
      </c>
      <c r="B497" t="s">
        <v>45</v>
      </c>
      <c r="C497" s="121" t="s">
        <v>174</v>
      </c>
      <c r="D497" t="s">
        <v>189</v>
      </c>
      <c r="E497" t="s">
        <v>57</v>
      </c>
      <c r="F497">
        <v>2</v>
      </c>
      <c r="G497">
        <v>3</v>
      </c>
      <c r="H497" s="86">
        <v>45958.738402094903</v>
      </c>
      <c r="I497" s="86">
        <v>45958.810580266203</v>
      </c>
      <c r="J497" s="87">
        <v>1.73227611111111</v>
      </c>
      <c r="K497" s="69" t="s">
        <v>274</v>
      </c>
      <c r="L497" s="69"/>
      <c r="M497" s="71"/>
      <c r="N497" s="71"/>
      <c r="O497" s="71"/>
      <c r="P497" s="71" t="s">
        <v>275</v>
      </c>
      <c r="Q497" s="88">
        <v>1.58432785040243E-2</v>
      </c>
      <c r="R497" s="89" t="s">
        <v>276</v>
      </c>
      <c r="S497" s="89"/>
      <c r="T497">
        <v>6</v>
      </c>
      <c r="U497" s="76">
        <v>0.2</v>
      </c>
      <c r="V497">
        <v>9.6999999999999993</v>
      </c>
      <c r="W497" s="90">
        <v>0.1</v>
      </c>
      <c r="X497" s="90"/>
      <c r="Y497" s="71"/>
      <c r="Z497" s="71"/>
      <c r="AA497" s="71"/>
      <c r="AB497" s="71"/>
      <c r="AC497" s="71"/>
      <c r="AD497" s="71"/>
      <c r="AE497" s="71"/>
      <c r="AF497" s="71"/>
      <c r="AG497" s="82">
        <v>0</v>
      </c>
      <c r="AH497" s="76"/>
      <c r="AI497" s="76"/>
      <c r="AJ497" s="76"/>
      <c r="AK497" s="71">
        <v>0.15</v>
      </c>
      <c r="AL497" s="88">
        <v>3.441511295928E-2</v>
      </c>
      <c r="AM497" s="89">
        <f t="shared" si="7"/>
        <v>0.22943408639520002</v>
      </c>
      <c r="AN497" s="78"/>
    </row>
    <row r="498" spans="1:40" x14ac:dyDescent="0.25">
      <c r="A498" t="s">
        <v>44</v>
      </c>
      <c r="B498" t="s">
        <v>45</v>
      </c>
      <c r="C498" s="121" t="s">
        <v>174</v>
      </c>
      <c r="D498" t="s">
        <v>189</v>
      </c>
      <c r="E498" t="s">
        <v>57</v>
      </c>
      <c r="F498">
        <v>2</v>
      </c>
      <c r="G498">
        <v>4</v>
      </c>
      <c r="H498" s="86">
        <v>45958.810580266203</v>
      </c>
      <c r="I498" s="86">
        <v>45958.882772824101</v>
      </c>
      <c r="J498" s="87">
        <v>1.7326213888888899</v>
      </c>
      <c r="K498" s="69" t="s">
        <v>274</v>
      </c>
      <c r="L498" s="69"/>
      <c r="M498" s="71"/>
      <c r="N498" s="71"/>
      <c r="O498" s="71"/>
      <c r="P498" s="71" t="s">
        <v>275</v>
      </c>
      <c r="Q498" s="88">
        <v>3.3726945452947098E-2</v>
      </c>
      <c r="R498" s="89" t="s">
        <v>276</v>
      </c>
      <c r="S498" s="89"/>
      <c r="T498">
        <v>6.5</v>
      </c>
      <c r="U498" s="76">
        <v>0.2</v>
      </c>
      <c r="V498">
        <v>9.6</v>
      </c>
      <c r="W498" s="90">
        <v>0.1</v>
      </c>
      <c r="X498" s="90"/>
      <c r="Y498" s="71"/>
      <c r="Z498" s="71"/>
      <c r="AA498" s="71"/>
      <c r="AB498" s="71"/>
      <c r="AC498" s="71"/>
      <c r="AD498" s="71"/>
      <c r="AE498" s="71"/>
      <c r="AF498" s="71"/>
      <c r="AG498" s="82">
        <v>0</v>
      </c>
      <c r="AH498" s="76"/>
      <c r="AI498" s="76"/>
      <c r="AJ498" s="76"/>
      <c r="AK498" s="71">
        <v>0.15</v>
      </c>
      <c r="AL498" s="88">
        <v>3.441511295928E-2</v>
      </c>
      <c r="AM498" s="89">
        <f t="shared" si="7"/>
        <v>0.22943408639520002</v>
      </c>
      <c r="AN498" s="78"/>
    </row>
    <row r="499" spans="1:40" x14ac:dyDescent="0.25">
      <c r="A499" t="s">
        <v>44</v>
      </c>
      <c r="B499" t="s">
        <v>45</v>
      </c>
      <c r="C499" s="121" t="s">
        <v>174</v>
      </c>
      <c r="D499" t="s">
        <v>189</v>
      </c>
      <c r="E499" t="s">
        <v>57</v>
      </c>
      <c r="F499">
        <v>2</v>
      </c>
      <c r="G499">
        <v>5</v>
      </c>
      <c r="H499" s="86">
        <v>45958.882772824101</v>
      </c>
      <c r="I499" s="86">
        <v>45958.954964849501</v>
      </c>
      <c r="J499" s="87">
        <v>1.7326086111111101</v>
      </c>
      <c r="K499" s="69" t="s">
        <v>274</v>
      </c>
      <c r="L499" s="69"/>
      <c r="M499" s="71"/>
      <c r="N499" s="71"/>
      <c r="O499" s="71"/>
      <c r="P499" s="71" t="s">
        <v>275</v>
      </c>
      <c r="Q499" s="88">
        <v>3.9907326813404503E-2</v>
      </c>
      <c r="R499" s="89" t="s">
        <v>276</v>
      </c>
      <c r="S499" s="89"/>
      <c r="T499">
        <v>6.6</v>
      </c>
      <c r="U499" s="76">
        <v>0.2</v>
      </c>
      <c r="V499">
        <v>9.6</v>
      </c>
      <c r="W499" s="90">
        <v>0.1</v>
      </c>
      <c r="X499" s="90"/>
      <c r="Y499" s="71"/>
      <c r="Z499" s="71"/>
      <c r="AA499" s="71"/>
      <c r="AB499" s="71"/>
      <c r="AC499" s="71"/>
      <c r="AD499" s="71"/>
      <c r="AE499" s="71"/>
      <c r="AF499" s="71"/>
      <c r="AG499" s="82">
        <v>0</v>
      </c>
      <c r="AH499" s="76"/>
      <c r="AI499" s="76"/>
      <c r="AJ499" s="76"/>
      <c r="AK499" s="71">
        <v>0.15</v>
      </c>
      <c r="AL499" s="88">
        <v>3.441511295928E-2</v>
      </c>
      <c r="AM499" s="89">
        <f t="shared" si="7"/>
        <v>0.22943408639520002</v>
      </c>
      <c r="AN499" s="78"/>
    </row>
    <row r="500" spans="1:40" x14ac:dyDescent="0.25">
      <c r="A500" t="s">
        <v>44</v>
      </c>
      <c r="B500" t="s">
        <v>45</v>
      </c>
      <c r="C500" s="121" t="s">
        <v>174</v>
      </c>
      <c r="D500" t="s">
        <v>189</v>
      </c>
      <c r="E500" t="s">
        <v>57</v>
      </c>
      <c r="F500">
        <v>2</v>
      </c>
      <c r="G500">
        <v>6</v>
      </c>
      <c r="H500" s="86">
        <v>45958.954964849501</v>
      </c>
      <c r="I500" s="86">
        <v>45959.027131793999</v>
      </c>
      <c r="J500" s="87">
        <v>1.73200666666667</v>
      </c>
      <c r="K500" s="69" t="s">
        <v>274</v>
      </c>
      <c r="L500" s="69"/>
      <c r="M500" s="71"/>
      <c r="N500" s="71"/>
      <c r="O500" s="71"/>
      <c r="P500" s="71" t="s">
        <v>275</v>
      </c>
      <c r="Q500" s="88">
        <v>3.4757573558151997E-2</v>
      </c>
      <c r="R500" s="89" t="s">
        <v>276</v>
      </c>
      <c r="S500" s="89"/>
      <c r="T500">
        <v>6.7</v>
      </c>
      <c r="U500" s="76">
        <v>0.2</v>
      </c>
      <c r="V500">
        <v>9.6</v>
      </c>
      <c r="W500" s="90">
        <v>0.1</v>
      </c>
      <c r="X500" s="90"/>
      <c r="Y500" s="71"/>
      <c r="Z500" s="71"/>
      <c r="AA500" s="71"/>
      <c r="AB500" s="71"/>
      <c r="AC500" s="71"/>
      <c r="AD500" s="71"/>
      <c r="AE500" s="71"/>
      <c r="AF500" s="71"/>
      <c r="AG500" s="82">
        <v>0</v>
      </c>
      <c r="AH500" s="76"/>
      <c r="AI500" s="76"/>
      <c r="AJ500" s="76"/>
      <c r="AK500" s="71">
        <v>0.15</v>
      </c>
      <c r="AL500" s="88">
        <v>3.441511295928E-2</v>
      </c>
      <c r="AM500" s="89">
        <f t="shared" si="7"/>
        <v>0.22943408639520002</v>
      </c>
      <c r="AN500" s="78"/>
    </row>
    <row r="501" spans="1:40" x14ac:dyDescent="0.25">
      <c r="A501" t="s">
        <v>44</v>
      </c>
      <c r="B501" t="s">
        <v>45</v>
      </c>
      <c r="C501" s="121" t="s">
        <v>174</v>
      </c>
      <c r="D501" t="s">
        <v>189</v>
      </c>
      <c r="E501" t="s">
        <v>57</v>
      </c>
      <c r="F501">
        <v>2</v>
      </c>
      <c r="G501">
        <v>7</v>
      </c>
      <c r="H501" s="86">
        <v>45959.027131793999</v>
      </c>
      <c r="I501" s="86">
        <v>45959.099315937499</v>
      </c>
      <c r="J501" s="87">
        <v>1.7324194444444501</v>
      </c>
      <c r="K501" s="69" t="s">
        <v>274</v>
      </c>
      <c r="L501" s="69"/>
      <c r="M501" s="71"/>
      <c r="N501" s="71"/>
      <c r="O501" s="71"/>
      <c r="P501" s="71" t="s">
        <v>275</v>
      </c>
      <c r="Q501" s="88">
        <v>4.2935122104969199E-2</v>
      </c>
      <c r="R501" s="89" t="s">
        <v>276</v>
      </c>
      <c r="S501" s="89"/>
      <c r="T501">
        <v>6.2</v>
      </c>
      <c r="U501" s="76">
        <v>0.2</v>
      </c>
      <c r="V501">
        <v>9.5</v>
      </c>
      <c r="W501" s="90">
        <v>0.1</v>
      </c>
      <c r="X501" s="90"/>
      <c r="Y501" s="71"/>
      <c r="Z501" s="71"/>
      <c r="AA501" s="71"/>
      <c r="AB501" s="71"/>
      <c r="AC501" s="71"/>
      <c r="AD501" s="71"/>
      <c r="AE501" s="71"/>
      <c r="AF501" s="71"/>
      <c r="AG501" s="82">
        <v>0</v>
      </c>
      <c r="AH501" s="76"/>
      <c r="AI501" s="76"/>
      <c r="AJ501" s="76"/>
      <c r="AK501" s="71">
        <v>0.15</v>
      </c>
      <c r="AL501" s="88">
        <v>3.441511295928E-2</v>
      </c>
      <c r="AM501" s="89">
        <f t="shared" si="7"/>
        <v>0.22943408639520002</v>
      </c>
      <c r="AN501" s="78"/>
    </row>
    <row r="502" spans="1:40" x14ac:dyDescent="0.25">
      <c r="A502" t="s">
        <v>44</v>
      </c>
      <c r="B502" t="s">
        <v>45</v>
      </c>
      <c r="C502" s="121" t="s">
        <v>174</v>
      </c>
      <c r="D502" t="s">
        <v>189</v>
      </c>
      <c r="E502" t="s">
        <v>57</v>
      </c>
      <c r="F502">
        <v>2</v>
      </c>
      <c r="G502">
        <v>8</v>
      </c>
      <c r="H502" s="86">
        <v>45959.099315937499</v>
      </c>
      <c r="I502" s="86">
        <v>45959.171505763901</v>
      </c>
      <c r="J502" s="87">
        <v>1.73255583333333</v>
      </c>
      <c r="K502" s="69" t="s">
        <v>274</v>
      </c>
      <c r="L502" s="69"/>
      <c r="M502" s="71"/>
      <c r="N502" s="71"/>
      <c r="O502" s="71"/>
      <c r="P502" s="71" t="s">
        <v>275</v>
      </c>
      <c r="Q502" s="88">
        <v>3.1986443609217999E-2</v>
      </c>
      <c r="R502" s="89" t="s">
        <v>276</v>
      </c>
      <c r="S502" s="89"/>
      <c r="T502">
        <v>6.3</v>
      </c>
      <c r="U502" s="76">
        <v>0.2</v>
      </c>
      <c r="V502">
        <v>9.5</v>
      </c>
      <c r="W502" s="90">
        <v>0.1</v>
      </c>
      <c r="X502" s="90"/>
      <c r="Y502" s="71"/>
      <c r="Z502" s="71"/>
      <c r="AA502" s="71"/>
      <c r="AB502" s="71"/>
      <c r="AC502" s="71"/>
      <c r="AD502" s="71"/>
      <c r="AE502" s="71"/>
      <c r="AF502" s="71"/>
      <c r="AG502" s="82">
        <v>0</v>
      </c>
      <c r="AH502" s="76"/>
      <c r="AI502" s="76"/>
      <c r="AJ502" s="76"/>
      <c r="AK502" s="71">
        <v>0.15</v>
      </c>
      <c r="AL502" s="88">
        <v>3.441511295928E-2</v>
      </c>
      <c r="AM502" s="89">
        <f t="shared" si="7"/>
        <v>0.22943408639520002</v>
      </c>
      <c r="AN502" s="78"/>
    </row>
    <row r="503" spans="1:40" x14ac:dyDescent="0.25">
      <c r="A503" t="s">
        <v>44</v>
      </c>
      <c r="B503" t="s">
        <v>45</v>
      </c>
      <c r="C503" s="121" t="s">
        <v>174</v>
      </c>
      <c r="D503" t="s">
        <v>189</v>
      </c>
      <c r="E503" t="s">
        <v>57</v>
      </c>
      <c r="F503">
        <v>2</v>
      </c>
      <c r="G503">
        <v>9</v>
      </c>
      <c r="H503" s="86">
        <v>45959.171505763901</v>
      </c>
      <c r="I503" s="86">
        <v>45959.243680405103</v>
      </c>
      <c r="J503" s="87">
        <v>1.73219138888889</v>
      </c>
      <c r="K503" s="69" t="s">
        <v>274</v>
      </c>
      <c r="L503" s="69"/>
      <c r="M503" s="71"/>
      <c r="N503" s="71"/>
      <c r="O503" s="71"/>
      <c r="P503" s="71" t="s">
        <v>275</v>
      </c>
      <c r="Q503" s="88">
        <v>3.3186614257928598E-2</v>
      </c>
      <c r="R503" s="89" t="s">
        <v>276</v>
      </c>
      <c r="S503" s="89"/>
      <c r="T503">
        <v>5.4</v>
      </c>
      <c r="U503" s="76">
        <v>0.2</v>
      </c>
      <c r="V503">
        <v>9.5</v>
      </c>
      <c r="W503" s="90">
        <v>0.1</v>
      </c>
      <c r="X503" s="90"/>
      <c r="Y503" s="71"/>
      <c r="Z503" s="71"/>
      <c r="AA503" s="71"/>
      <c r="AB503" s="71"/>
      <c r="AC503" s="71"/>
      <c r="AD503" s="71"/>
      <c r="AE503" s="71"/>
      <c r="AF503" s="71"/>
      <c r="AG503" s="82">
        <v>0</v>
      </c>
      <c r="AH503" s="76"/>
      <c r="AI503" s="76"/>
      <c r="AJ503" s="76"/>
      <c r="AK503" s="71">
        <v>0.15</v>
      </c>
      <c r="AL503" s="88">
        <v>3.441511295928E-2</v>
      </c>
      <c r="AM503" s="89">
        <f t="shared" si="7"/>
        <v>0.22943408639520002</v>
      </c>
      <c r="AN503" s="78"/>
    </row>
    <row r="504" spans="1:40" x14ac:dyDescent="0.25">
      <c r="A504" t="s">
        <v>44</v>
      </c>
      <c r="B504" t="s">
        <v>45</v>
      </c>
      <c r="C504" s="121" t="s">
        <v>174</v>
      </c>
      <c r="D504" t="s">
        <v>189</v>
      </c>
      <c r="E504" t="s">
        <v>57</v>
      </c>
      <c r="F504">
        <v>2</v>
      </c>
      <c r="G504">
        <v>10</v>
      </c>
      <c r="H504" s="86">
        <v>45959.243680405103</v>
      </c>
      <c r="I504" s="86">
        <v>45959.315874027801</v>
      </c>
      <c r="J504" s="87">
        <v>1.7326469444444501</v>
      </c>
      <c r="K504" s="69" t="s">
        <v>274</v>
      </c>
      <c r="L504" s="69"/>
      <c r="M504" s="71"/>
      <c r="N504" s="71"/>
      <c r="O504" s="71"/>
      <c r="P504" s="71" t="s">
        <v>275</v>
      </c>
      <c r="Q504" s="88">
        <v>2.8279699995705398E-2</v>
      </c>
      <c r="R504" s="89" t="s">
        <v>276</v>
      </c>
      <c r="S504" s="89"/>
      <c r="T504">
        <v>7.2</v>
      </c>
      <c r="U504" s="76">
        <v>0.2</v>
      </c>
      <c r="V504">
        <v>9.4</v>
      </c>
      <c r="W504" s="90">
        <v>0.1</v>
      </c>
      <c r="X504" s="90"/>
      <c r="Y504" s="71"/>
      <c r="Z504" s="71"/>
      <c r="AA504" s="71"/>
      <c r="AB504" s="71"/>
      <c r="AC504" s="71"/>
      <c r="AD504" s="71"/>
      <c r="AE504" s="71"/>
      <c r="AF504" s="71"/>
      <c r="AG504" s="82">
        <v>0</v>
      </c>
      <c r="AH504" s="76"/>
      <c r="AI504" s="76"/>
      <c r="AJ504" s="76"/>
      <c r="AK504" s="71">
        <v>0.15</v>
      </c>
      <c r="AL504" s="88">
        <v>3.441511295928E-2</v>
      </c>
      <c r="AM504" s="89">
        <f t="shared" si="7"/>
        <v>0.22943408639520002</v>
      </c>
      <c r="AN504" s="78"/>
    </row>
    <row r="505" spans="1:40" x14ac:dyDescent="0.25">
      <c r="A505" t="s">
        <v>44</v>
      </c>
      <c r="B505" t="s">
        <v>45</v>
      </c>
      <c r="C505" s="121" t="s">
        <v>174</v>
      </c>
      <c r="D505" t="s">
        <v>189</v>
      </c>
      <c r="E505" t="s">
        <v>57</v>
      </c>
      <c r="F505">
        <v>2</v>
      </c>
      <c r="G505">
        <v>11</v>
      </c>
      <c r="H505" s="86">
        <v>45959.315874027801</v>
      </c>
      <c r="I505" s="86">
        <v>45959.388060347199</v>
      </c>
      <c r="J505" s="87">
        <v>1.73247166666667</v>
      </c>
      <c r="K505" s="69" t="s">
        <v>274</v>
      </c>
      <c r="L505" s="69"/>
      <c r="M505" s="71"/>
      <c r="N505" s="71"/>
      <c r="O505" s="71"/>
      <c r="P505" s="71" t="s">
        <v>275</v>
      </c>
      <c r="Q505" s="88">
        <v>3.4200599567624397E-2</v>
      </c>
      <c r="R505" s="89" t="s">
        <v>276</v>
      </c>
      <c r="S505" s="89"/>
      <c r="T505">
        <v>8</v>
      </c>
      <c r="U505" s="76">
        <v>0.2</v>
      </c>
      <c r="V505">
        <v>9.4</v>
      </c>
      <c r="W505" s="90">
        <v>0.1</v>
      </c>
      <c r="X505" s="90"/>
      <c r="Y505" s="71"/>
      <c r="Z505" s="71"/>
      <c r="AA505" s="71"/>
      <c r="AB505" s="71"/>
      <c r="AC505" s="71"/>
      <c r="AD505" s="71"/>
      <c r="AE505" s="71"/>
      <c r="AF505" s="71"/>
      <c r="AG505" s="82">
        <v>0</v>
      </c>
      <c r="AH505" s="76"/>
      <c r="AI505" s="76"/>
      <c r="AJ505" s="76"/>
      <c r="AK505" s="71">
        <v>0.15</v>
      </c>
      <c r="AL505" s="88">
        <v>3.441511295928E-2</v>
      </c>
      <c r="AM505" s="89">
        <f t="shared" si="7"/>
        <v>0.22943408639520002</v>
      </c>
      <c r="AN505" s="78"/>
    </row>
    <row r="506" spans="1:40" x14ac:dyDescent="0.25">
      <c r="A506" t="s">
        <v>44</v>
      </c>
      <c r="B506" t="s">
        <v>45</v>
      </c>
      <c r="C506" s="121" t="s">
        <v>174</v>
      </c>
      <c r="D506" t="s">
        <v>189</v>
      </c>
      <c r="E506" t="s">
        <v>57</v>
      </c>
      <c r="F506">
        <v>2</v>
      </c>
      <c r="G506">
        <v>12</v>
      </c>
      <c r="H506" s="86">
        <v>45959.388060347199</v>
      </c>
      <c r="I506" s="86">
        <v>45959.4602487269</v>
      </c>
      <c r="J506" s="87">
        <v>1.7325211111111101</v>
      </c>
      <c r="K506" s="69" t="s">
        <v>274</v>
      </c>
      <c r="L506" s="69"/>
      <c r="M506" s="71"/>
      <c r="N506" s="71"/>
      <c r="O506" s="71"/>
      <c r="P506" s="71" t="s">
        <v>275</v>
      </c>
      <c r="Q506" s="88">
        <v>6.1749812378978697E-2</v>
      </c>
      <c r="R506" s="89" t="s">
        <v>276</v>
      </c>
      <c r="S506" s="89"/>
      <c r="T506">
        <v>8.6</v>
      </c>
      <c r="U506" s="76">
        <v>0.2</v>
      </c>
      <c r="V506">
        <v>9.4</v>
      </c>
      <c r="W506" s="90">
        <v>0.1</v>
      </c>
      <c r="X506" s="90"/>
      <c r="Y506" s="71"/>
      <c r="Z506" s="71"/>
      <c r="AA506" s="71"/>
      <c r="AB506" s="71"/>
      <c r="AC506" s="71"/>
      <c r="AD506" s="71"/>
      <c r="AE506" s="71"/>
      <c r="AF506" s="71"/>
      <c r="AG506" s="82">
        <v>1.6</v>
      </c>
      <c r="AH506" s="76"/>
      <c r="AI506" s="76"/>
      <c r="AJ506" s="76"/>
      <c r="AK506" s="71">
        <v>0.15</v>
      </c>
      <c r="AL506" s="88">
        <v>3.441511295928E-2</v>
      </c>
      <c r="AM506" s="89">
        <f t="shared" si="7"/>
        <v>0.22943408639520002</v>
      </c>
      <c r="AN506" s="78"/>
    </row>
    <row r="507" spans="1:40" x14ac:dyDescent="0.25">
      <c r="A507" t="s">
        <v>44</v>
      </c>
      <c r="B507" t="s">
        <v>45</v>
      </c>
      <c r="C507" s="121" t="s">
        <v>174</v>
      </c>
      <c r="D507" t="s">
        <v>189</v>
      </c>
      <c r="E507" t="s">
        <v>57</v>
      </c>
      <c r="F507">
        <v>2</v>
      </c>
      <c r="G507">
        <v>13</v>
      </c>
      <c r="H507" s="86">
        <v>45959.4602487269</v>
      </c>
      <c r="I507" s="86">
        <v>45959.5324296412</v>
      </c>
      <c r="J507" s="87">
        <v>1.7323419444444399</v>
      </c>
      <c r="K507" s="69" t="s">
        <v>274</v>
      </c>
      <c r="L507" s="69"/>
      <c r="M507" s="71"/>
      <c r="N507" s="71"/>
      <c r="O507" s="71"/>
      <c r="P507" s="71" t="s">
        <v>275</v>
      </c>
      <c r="Q507" s="88">
        <v>7.0888270450772201E-2</v>
      </c>
      <c r="R507" s="89" t="s">
        <v>276</v>
      </c>
      <c r="S507" s="89"/>
      <c r="T507">
        <v>10.4</v>
      </c>
      <c r="U507" s="76">
        <v>0.2</v>
      </c>
      <c r="V507">
        <v>9.4</v>
      </c>
      <c r="W507" s="90">
        <v>0.1</v>
      </c>
      <c r="X507" s="90"/>
      <c r="Y507" s="71"/>
      <c r="Z507" s="71"/>
      <c r="AA507" s="71"/>
      <c r="AB507" s="71"/>
      <c r="AC507" s="71"/>
      <c r="AD507" s="71"/>
      <c r="AE507" s="71"/>
      <c r="AF507" s="71"/>
      <c r="AG507" s="82">
        <v>0</v>
      </c>
      <c r="AH507" s="76"/>
      <c r="AI507" s="76"/>
      <c r="AJ507" s="76"/>
      <c r="AK507" s="71">
        <v>0.15</v>
      </c>
      <c r="AL507" s="88">
        <v>3.441511295928E-2</v>
      </c>
      <c r="AM507" s="89">
        <f t="shared" si="7"/>
        <v>0.22943408639520002</v>
      </c>
      <c r="AN507" s="78"/>
    </row>
    <row r="508" spans="1:40" x14ac:dyDescent="0.25">
      <c r="A508" t="s">
        <v>44</v>
      </c>
      <c r="B508" t="s">
        <v>45</v>
      </c>
      <c r="C508" s="121" t="s">
        <v>174</v>
      </c>
      <c r="D508" t="s">
        <v>189</v>
      </c>
      <c r="E508" t="s">
        <v>57</v>
      </c>
      <c r="F508">
        <v>2</v>
      </c>
      <c r="G508">
        <v>14</v>
      </c>
      <c r="H508" s="86">
        <v>45959.5324296412</v>
      </c>
      <c r="I508" s="86">
        <v>45959.604623344901</v>
      </c>
      <c r="J508" s="87">
        <v>1.73264888888889</v>
      </c>
      <c r="K508" s="69" t="s">
        <v>274</v>
      </c>
      <c r="L508" s="69"/>
      <c r="M508" s="71"/>
      <c r="N508" s="71"/>
      <c r="O508" s="71"/>
      <c r="P508" s="71" t="s">
        <v>275</v>
      </c>
      <c r="Q508" s="88">
        <v>4.5076033377261203E-2</v>
      </c>
      <c r="R508" s="89" t="s">
        <v>276</v>
      </c>
      <c r="S508" s="89"/>
      <c r="T508">
        <v>9.4</v>
      </c>
      <c r="U508" s="76">
        <v>0.2</v>
      </c>
      <c r="V508">
        <v>9.6</v>
      </c>
      <c r="W508" s="90">
        <v>0.1</v>
      </c>
      <c r="X508" s="90"/>
      <c r="Y508" s="71"/>
      <c r="Z508" s="71"/>
      <c r="AA508" s="71"/>
      <c r="AB508" s="71"/>
      <c r="AC508" s="71"/>
      <c r="AD508" s="71"/>
      <c r="AE508" s="71"/>
      <c r="AF508" s="71"/>
      <c r="AG508" s="82">
        <v>0.2</v>
      </c>
      <c r="AH508" s="76"/>
      <c r="AI508" s="76"/>
      <c r="AJ508" s="76"/>
      <c r="AK508" s="71">
        <v>0.15</v>
      </c>
      <c r="AL508" s="88">
        <v>3.441511295928E-2</v>
      </c>
      <c r="AM508" s="89">
        <f t="shared" si="7"/>
        <v>0.22943408639520002</v>
      </c>
      <c r="AN508" s="78"/>
    </row>
    <row r="509" spans="1:40" x14ac:dyDescent="0.25">
      <c r="A509" t="s">
        <v>44</v>
      </c>
      <c r="B509" t="s">
        <v>45</v>
      </c>
      <c r="C509" s="121" t="s">
        <v>174</v>
      </c>
      <c r="D509" t="s">
        <v>189</v>
      </c>
      <c r="E509" t="s">
        <v>57</v>
      </c>
      <c r="F509">
        <v>2</v>
      </c>
      <c r="G509">
        <v>15</v>
      </c>
      <c r="H509" s="86">
        <v>45959.604623344901</v>
      </c>
      <c r="I509" s="86">
        <v>45959.676813310201</v>
      </c>
      <c r="J509" s="87">
        <v>1.73255916666667</v>
      </c>
      <c r="K509" s="69" t="s">
        <v>274</v>
      </c>
      <c r="L509" s="69"/>
      <c r="M509" s="71"/>
      <c r="N509" s="71"/>
      <c r="O509" s="71"/>
      <c r="P509" s="71" t="s">
        <v>275</v>
      </c>
      <c r="Q509" s="88">
        <v>3.56747889795168E-2</v>
      </c>
      <c r="R509" s="89" t="s">
        <v>276</v>
      </c>
      <c r="S509" s="89"/>
      <c r="T509">
        <v>9.4</v>
      </c>
      <c r="U509" s="76">
        <v>0.2</v>
      </c>
      <c r="V509">
        <v>9.6999999999999993</v>
      </c>
      <c r="W509" s="90">
        <v>0.1</v>
      </c>
      <c r="X509" s="90"/>
      <c r="Y509" s="71"/>
      <c r="Z509" s="71"/>
      <c r="AA509" s="71"/>
      <c r="AB509" s="71"/>
      <c r="AC509" s="71"/>
      <c r="AD509" s="71"/>
      <c r="AE509" s="71"/>
      <c r="AF509" s="71"/>
      <c r="AG509" s="82">
        <v>0.1</v>
      </c>
      <c r="AH509" s="76"/>
      <c r="AI509" s="76"/>
      <c r="AJ509" s="76"/>
      <c r="AK509" s="71">
        <v>0.15</v>
      </c>
      <c r="AL509" s="88">
        <v>3.441511295928E-2</v>
      </c>
      <c r="AM509" s="89">
        <f t="shared" si="7"/>
        <v>0.22943408639520002</v>
      </c>
      <c r="AN509" s="78"/>
    </row>
    <row r="510" spans="1:40" x14ac:dyDescent="0.25">
      <c r="A510" t="s">
        <v>44</v>
      </c>
      <c r="B510" t="s">
        <v>45</v>
      </c>
      <c r="C510" s="121" t="s">
        <v>174</v>
      </c>
      <c r="D510" t="s">
        <v>189</v>
      </c>
      <c r="E510" t="s">
        <v>57</v>
      </c>
      <c r="F510">
        <v>2</v>
      </c>
      <c r="G510">
        <v>16</v>
      </c>
      <c r="H510" s="86">
        <v>45959.676813310201</v>
      </c>
      <c r="I510" s="86">
        <v>45959.748993541703</v>
      </c>
      <c r="J510" s="87">
        <v>1.7323255555555599</v>
      </c>
      <c r="K510" s="69" t="s">
        <v>274</v>
      </c>
      <c r="L510" s="69"/>
      <c r="M510" s="71"/>
      <c r="N510" s="71"/>
      <c r="O510" s="71"/>
      <c r="P510" s="71" t="s">
        <v>275</v>
      </c>
      <c r="Q510" s="88">
        <v>2.9991217536940399E-2</v>
      </c>
      <c r="R510" s="89" t="s">
        <v>276</v>
      </c>
      <c r="S510" s="89"/>
      <c r="T510">
        <v>9.1999999999999993</v>
      </c>
      <c r="U510" s="76">
        <v>0.2</v>
      </c>
      <c r="V510">
        <v>9.8000000000000007</v>
      </c>
      <c r="W510" s="90">
        <v>0.1</v>
      </c>
      <c r="X510" s="90"/>
      <c r="Y510" s="71"/>
      <c r="Z510" s="71"/>
      <c r="AA510" s="71"/>
      <c r="AB510" s="71"/>
      <c r="AC510" s="71"/>
      <c r="AD510" s="71"/>
      <c r="AE510" s="71"/>
      <c r="AF510" s="71"/>
      <c r="AG510" s="82">
        <v>0</v>
      </c>
      <c r="AH510" s="76"/>
      <c r="AI510" s="76"/>
      <c r="AJ510" s="76"/>
      <c r="AK510" s="71">
        <v>0.15</v>
      </c>
      <c r="AL510" s="88">
        <v>3.441511295928E-2</v>
      </c>
      <c r="AM510" s="89">
        <f t="shared" si="7"/>
        <v>0.22943408639520002</v>
      </c>
      <c r="AN510" s="78"/>
    </row>
    <row r="511" spans="1:40" x14ac:dyDescent="0.25">
      <c r="A511" t="s">
        <v>44</v>
      </c>
      <c r="B511" t="s">
        <v>45</v>
      </c>
      <c r="C511" s="121" t="s">
        <v>174</v>
      </c>
      <c r="D511" t="s">
        <v>189</v>
      </c>
      <c r="E511" t="s">
        <v>57</v>
      </c>
      <c r="F511">
        <v>2</v>
      </c>
      <c r="G511">
        <v>17</v>
      </c>
      <c r="H511" s="86">
        <v>45959.748993541703</v>
      </c>
      <c r="I511" s="86">
        <v>45959.821169780102</v>
      </c>
      <c r="J511" s="87">
        <v>1.73222972222222</v>
      </c>
      <c r="K511" s="69" t="s">
        <v>274</v>
      </c>
      <c r="L511" s="69"/>
      <c r="M511" s="71"/>
      <c r="N511" s="71"/>
      <c r="O511" s="71"/>
      <c r="P511" s="71" t="s">
        <v>275</v>
      </c>
      <c r="Q511" s="88">
        <v>3.53529789237364E-2</v>
      </c>
      <c r="R511" s="89" t="s">
        <v>276</v>
      </c>
      <c r="S511" s="89"/>
      <c r="T511">
        <v>9</v>
      </c>
      <c r="U511" s="76">
        <v>0.2</v>
      </c>
      <c r="V511">
        <v>9.9</v>
      </c>
      <c r="W511" s="90">
        <v>0.1</v>
      </c>
      <c r="X511" s="90"/>
      <c r="Y511" s="71"/>
      <c r="Z511" s="71"/>
      <c r="AA511" s="71"/>
      <c r="AB511" s="71"/>
      <c r="AC511" s="71"/>
      <c r="AD511" s="71"/>
      <c r="AE511" s="71"/>
      <c r="AF511" s="71"/>
      <c r="AG511" s="82">
        <v>0</v>
      </c>
      <c r="AH511" s="76"/>
      <c r="AI511" s="76"/>
      <c r="AJ511" s="76"/>
      <c r="AK511" s="71">
        <v>0.15</v>
      </c>
      <c r="AL511" s="88">
        <v>3.441511295928E-2</v>
      </c>
      <c r="AM511" s="89">
        <f t="shared" si="7"/>
        <v>0.22943408639520002</v>
      </c>
      <c r="AN511" s="78"/>
    </row>
    <row r="512" spans="1:40" x14ac:dyDescent="0.25">
      <c r="A512" t="s">
        <v>44</v>
      </c>
      <c r="B512" t="s">
        <v>45</v>
      </c>
      <c r="C512" s="121" t="s">
        <v>174</v>
      </c>
      <c r="D512" t="s">
        <v>189</v>
      </c>
      <c r="E512" t="s">
        <v>57</v>
      </c>
      <c r="F512">
        <v>2</v>
      </c>
      <c r="G512">
        <v>18</v>
      </c>
      <c r="H512" s="86">
        <v>45959.821169780102</v>
      </c>
      <c r="I512" s="86">
        <v>45959.8933563194</v>
      </c>
      <c r="J512" s="87">
        <v>1.7324769444444501</v>
      </c>
      <c r="K512" s="69" t="s">
        <v>274</v>
      </c>
      <c r="L512" s="69"/>
      <c r="M512" s="71"/>
      <c r="N512" s="71"/>
      <c r="O512" s="71"/>
      <c r="P512" s="71" t="s">
        <v>275</v>
      </c>
      <c r="Q512" s="88">
        <v>3.1104630078121299E-2</v>
      </c>
      <c r="R512" s="89" t="s">
        <v>276</v>
      </c>
      <c r="S512" s="89"/>
      <c r="T512">
        <v>8.8000000000000007</v>
      </c>
      <c r="U512" s="76">
        <v>0.2</v>
      </c>
      <c r="V512">
        <v>9.9</v>
      </c>
      <c r="W512" s="90">
        <v>0.1</v>
      </c>
      <c r="X512" s="90"/>
      <c r="Y512" s="71"/>
      <c r="Z512" s="71"/>
      <c r="AA512" s="71"/>
      <c r="AB512" s="71"/>
      <c r="AC512" s="71"/>
      <c r="AD512" s="71"/>
      <c r="AE512" s="71"/>
      <c r="AF512" s="71"/>
      <c r="AG512" s="82">
        <v>0.1</v>
      </c>
      <c r="AH512" s="76"/>
      <c r="AI512" s="76"/>
      <c r="AJ512" s="76"/>
      <c r="AK512" s="71">
        <v>0.15</v>
      </c>
      <c r="AL512" s="88">
        <v>3.441511295928E-2</v>
      </c>
      <c r="AM512" s="89">
        <f t="shared" si="7"/>
        <v>0.22943408639520002</v>
      </c>
      <c r="AN512" s="78"/>
    </row>
    <row r="513" spans="1:40" x14ac:dyDescent="0.25">
      <c r="A513" t="s">
        <v>44</v>
      </c>
      <c r="B513" t="s">
        <v>45</v>
      </c>
      <c r="C513" s="121" t="s">
        <v>174</v>
      </c>
      <c r="D513" t="s">
        <v>189</v>
      </c>
      <c r="E513" t="s">
        <v>57</v>
      </c>
      <c r="F513">
        <v>2</v>
      </c>
      <c r="G513">
        <v>19</v>
      </c>
      <c r="H513" s="86">
        <v>45959.8933563194</v>
      </c>
      <c r="I513" s="86">
        <v>45959.965540370402</v>
      </c>
      <c r="J513" s="87">
        <v>1.7324172222222201</v>
      </c>
      <c r="K513" s="69" t="s">
        <v>274</v>
      </c>
      <c r="L513" s="69"/>
      <c r="M513" s="71"/>
      <c r="N513" s="71"/>
      <c r="O513" s="71"/>
      <c r="P513" s="71" t="s">
        <v>275</v>
      </c>
      <c r="Q513" s="88">
        <v>3.0262869589545102E-2</v>
      </c>
      <c r="R513" s="89" t="s">
        <v>276</v>
      </c>
      <c r="S513" s="89"/>
      <c r="T513">
        <v>9</v>
      </c>
      <c r="U513" s="76">
        <v>0.2</v>
      </c>
      <c r="V513">
        <v>9.9</v>
      </c>
      <c r="W513" s="90">
        <v>0.1</v>
      </c>
      <c r="X513" s="90"/>
      <c r="Y513" s="71"/>
      <c r="Z513" s="71"/>
      <c r="AA513" s="71"/>
      <c r="AB513" s="71"/>
      <c r="AC513" s="71"/>
      <c r="AD513" s="71"/>
      <c r="AE513" s="71"/>
      <c r="AF513" s="71"/>
      <c r="AG513" s="82">
        <v>0.1</v>
      </c>
      <c r="AH513" s="76"/>
      <c r="AI513" s="76"/>
      <c r="AJ513" s="76"/>
      <c r="AK513" s="71">
        <v>0.15</v>
      </c>
      <c r="AL513" s="88">
        <v>3.441511295928E-2</v>
      </c>
      <c r="AM513" s="89">
        <f t="shared" si="7"/>
        <v>0.22943408639520002</v>
      </c>
      <c r="AN513" s="78"/>
    </row>
    <row r="514" spans="1:40" x14ac:dyDescent="0.25">
      <c r="A514" t="s">
        <v>44</v>
      </c>
      <c r="B514" t="s">
        <v>45</v>
      </c>
      <c r="C514" s="121" t="s">
        <v>174</v>
      </c>
      <c r="D514" t="s">
        <v>189</v>
      </c>
      <c r="E514" t="s">
        <v>57</v>
      </c>
      <c r="F514">
        <v>2</v>
      </c>
      <c r="G514">
        <v>20</v>
      </c>
      <c r="H514" s="86">
        <v>45959.965540370402</v>
      </c>
      <c r="I514" s="86">
        <v>45960.037734293997</v>
      </c>
      <c r="J514" s="87">
        <v>1.7326541666666699</v>
      </c>
      <c r="K514" s="69" t="s">
        <v>274</v>
      </c>
      <c r="L514" s="69"/>
      <c r="M514" s="71"/>
      <c r="N514" s="71"/>
      <c r="O514" s="71"/>
      <c r="P514" s="71" t="s">
        <v>275</v>
      </c>
      <c r="Q514" s="88">
        <v>3.08675266076597E-2</v>
      </c>
      <c r="R514" s="89" t="s">
        <v>276</v>
      </c>
      <c r="S514" s="89"/>
      <c r="T514">
        <v>8.8000000000000007</v>
      </c>
      <c r="U514" s="76">
        <v>0.2</v>
      </c>
      <c r="V514">
        <v>9.9</v>
      </c>
      <c r="W514" s="90">
        <v>0.1</v>
      </c>
      <c r="X514" s="90"/>
      <c r="Y514" s="71"/>
      <c r="Z514" s="71"/>
      <c r="AA514" s="71"/>
      <c r="AB514" s="71"/>
      <c r="AC514" s="71"/>
      <c r="AD514" s="71"/>
      <c r="AE514" s="71"/>
      <c r="AF514" s="71"/>
      <c r="AG514" s="82">
        <v>1</v>
      </c>
      <c r="AH514" s="76"/>
      <c r="AI514" s="76"/>
      <c r="AJ514" s="76"/>
      <c r="AK514" s="71">
        <v>0.15</v>
      </c>
      <c r="AL514" s="88">
        <v>3.441511295928E-2</v>
      </c>
      <c r="AM514" s="89">
        <f t="shared" si="7"/>
        <v>0.22943408639520002</v>
      </c>
      <c r="AN514" s="78"/>
    </row>
    <row r="515" spans="1:40" x14ac:dyDescent="0.25">
      <c r="A515" t="s">
        <v>44</v>
      </c>
      <c r="B515" t="s">
        <v>45</v>
      </c>
      <c r="C515" s="121" t="s">
        <v>174</v>
      </c>
      <c r="D515" t="s">
        <v>189</v>
      </c>
      <c r="E515" t="s">
        <v>57</v>
      </c>
      <c r="F515">
        <v>2</v>
      </c>
      <c r="G515">
        <v>21</v>
      </c>
      <c r="H515" s="86">
        <v>45960.037734293997</v>
      </c>
      <c r="I515" s="86">
        <v>45960.109917835704</v>
      </c>
      <c r="J515" s="87">
        <v>1.732405</v>
      </c>
      <c r="K515" s="69" t="s">
        <v>274</v>
      </c>
      <c r="L515" s="69"/>
      <c r="M515" s="71"/>
      <c r="N515" s="71"/>
      <c r="O515" s="71"/>
      <c r="P515" s="71" t="s">
        <v>275</v>
      </c>
      <c r="Q515" s="88">
        <v>2.99924602257736E-2</v>
      </c>
      <c r="R515" s="89" t="s">
        <v>276</v>
      </c>
      <c r="S515" s="89"/>
      <c r="T515">
        <v>8.6999999999999993</v>
      </c>
      <c r="U515" s="76">
        <v>0.2</v>
      </c>
      <c r="V515">
        <v>9.9</v>
      </c>
      <c r="W515" s="90">
        <v>0.1</v>
      </c>
      <c r="X515" s="90"/>
      <c r="Y515" s="71"/>
      <c r="Z515" s="71"/>
      <c r="AA515" s="71"/>
      <c r="AB515" s="71"/>
      <c r="AC515" s="71"/>
      <c r="AD515" s="71"/>
      <c r="AE515" s="71"/>
      <c r="AF515" s="71"/>
      <c r="AG515" s="82">
        <v>1.7</v>
      </c>
      <c r="AH515" s="76"/>
      <c r="AI515" s="76"/>
      <c r="AJ515" s="76"/>
      <c r="AK515" s="71">
        <v>0.15</v>
      </c>
      <c r="AL515" s="88">
        <v>3.441511295928E-2</v>
      </c>
      <c r="AM515" s="89">
        <f t="shared" si="7"/>
        <v>0.22943408639520002</v>
      </c>
      <c r="AN515" s="78"/>
    </row>
    <row r="516" spans="1:40" x14ac:dyDescent="0.25">
      <c r="A516" t="s">
        <v>44</v>
      </c>
      <c r="B516" t="s">
        <v>45</v>
      </c>
      <c r="C516" s="121" t="s">
        <v>174</v>
      </c>
      <c r="D516" t="s">
        <v>189</v>
      </c>
      <c r="E516" t="s">
        <v>57</v>
      </c>
      <c r="F516">
        <v>2</v>
      </c>
      <c r="G516">
        <v>22</v>
      </c>
      <c r="H516" s="86">
        <v>45960.109917835704</v>
      </c>
      <c r="I516" s="86">
        <v>45960.182092430601</v>
      </c>
      <c r="J516" s="87">
        <v>1.73219027777778</v>
      </c>
      <c r="K516" s="69" t="s">
        <v>274</v>
      </c>
      <c r="L516" s="69"/>
      <c r="M516" s="71"/>
      <c r="N516" s="71"/>
      <c r="O516" s="71"/>
      <c r="P516" s="71" t="s">
        <v>275</v>
      </c>
      <c r="Q516" s="88">
        <v>2.99868699596074E-2</v>
      </c>
      <c r="R516" s="89" t="s">
        <v>276</v>
      </c>
      <c r="S516" s="89"/>
      <c r="T516">
        <v>8.6999999999999993</v>
      </c>
      <c r="U516" s="76">
        <v>0.2</v>
      </c>
      <c r="V516">
        <v>9.8000000000000007</v>
      </c>
      <c r="W516" s="90">
        <v>0.1</v>
      </c>
      <c r="X516" s="90"/>
      <c r="Y516" s="71"/>
      <c r="Z516" s="71"/>
      <c r="AA516" s="71"/>
      <c r="AB516" s="71"/>
      <c r="AC516" s="71"/>
      <c r="AD516" s="71"/>
      <c r="AE516" s="71"/>
      <c r="AF516" s="71"/>
      <c r="AG516" s="82">
        <v>2.1</v>
      </c>
      <c r="AH516" s="76"/>
      <c r="AI516" s="76"/>
      <c r="AJ516" s="76"/>
      <c r="AK516" s="71">
        <v>0.15</v>
      </c>
      <c r="AL516" s="88">
        <v>3.441511295928E-2</v>
      </c>
      <c r="AM516" s="89">
        <f t="shared" si="7"/>
        <v>0.22943408639520002</v>
      </c>
      <c r="AN516" s="78"/>
    </row>
    <row r="517" spans="1:40" x14ac:dyDescent="0.25">
      <c r="A517" t="s">
        <v>44</v>
      </c>
      <c r="B517" t="s">
        <v>45</v>
      </c>
      <c r="C517" s="121" t="s">
        <v>174</v>
      </c>
      <c r="D517" t="s">
        <v>189</v>
      </c>
      <c r="E517" t="s">
        <v>57</v>
      </c>
      <c r="F517">
        <v>2</v>
      </c>
      <c r="G517">
        <v>23</v>
      </c>
      <c r="H517" s="86">
        <v>45960.182092430601</v>
      </c>
      <c r="I517" s="86">
        <v>45960.254280011599</v>
      </c>
      <c r="J517" s="87">
        <v>1.7325019444444401</v>
      </c>
      <c r="K517" s="69" t="s">
        <v>274</v>
      </c>
      <c r="L517" s="69"/>
      <c r="M517" s="71"/>
      <c r="N517" s="71"/>
      <c r="O517" s="71"/>
      <c r="P517" s="71" t="s">
        <v>275</v>
      </c>
      <c r="Q517" s="88">
        <v>3.08336350678655E-2</v>
      </c>
      <c r="R517" s="89" t="s">
        <v>276</v>
      </c>
      <c r="S517" s="89"/>
      <c r="T517">
        <v>8.6999999999999993</v>
      </c>
      <c r="U517" s="76">
        <v>0.2</v>
      </c>
      <c r="V517">
        <v>9.8000000000000007</v>
      </c>
      <c r="W517" s="90">
        <v>0.1</v>
      </c>
      <c r="X517" s="90"/>
      <c r="Y517" s="71"/>
      <c r="Z517" s="71"/>
      <c r="AA517" s="71"/>
      <c r="AB517" s="71"/>
      <c r="AC517" s="71"/>
      <c r="AD517" s="71"/>
      <c r="AE517" s="71"/>
      <c r="AF517" s="71"/>
      <c r="AG517" s="82">
        <v>3</v>
      </c>
      <c r="AH517" s="76"/>
      <c r="AI517" s="76"/>
      <c r="AJ517" s="76"/>
      <c r="AK517" s="71">
        <v>0.15</v>
      </c>
      <c r="AL517" s="88">
        <v>3.441511295928E-2</v>
      </c>
      <c r="AM517" s="89">
        <f t="shared" ref="AM517:AM580" si="8">AL517/AK517</f>
        <v>0.22943408639520002</v>
      </c>
      <c r="AN517" s="78"/>
    </row>
    <row r="518" spans="1:40" x14ac:dyDescent="0.25">
      <c r="A518" t="s">
        <v>44</v>
      </c>
      <c r="B518" t="s">
        <v>45</v>
      </c>
      <c r="C518" s="121" t="s">
        <v>174</v>
      </c>
      <c r="D518" t="s">
        <v>189</v>
      </c>
      <c r="E518" t="s">
        <v>57</v>
      </c>
      <c r="F518">
        <v>2</v>
      </c>
      <c r="G518">
        <v>24</v>
      </c>
      <c r="H518" s="86">
        <v>45960.254280011599</v>
      </c>
      <c r="I518" s="86">
        <v>45960.326463356498</v>
      </c>
      <c r="J518" s="87">
        <v>1.7324002777777801</v>
      </c>
      <c r="K518" s="69" t="s">
        <v>274</v>
      </c>
      <c r="L518" s="69"/>
      <c r="M518" s="71"/>
      <c r="N518" s="71"/>
      <c r="O518" s="71"/>
      <c r="P518" s="71" t="s">
        <v>275</v>
      </c>
      <c r="Q518" s="88">
        <v>3.15072190958764E-2</v>
      </c>
      <c r="R518" s="89" t="s">
        <v>276</v>
      </c>
      <c r="S518" s="89"/>
      <c r="T518">
        <v>8.6</v>
      </c>
      <c r="U518" s="76">
        <v>0.2</v>
      </c>
      <c r="V518">
        <v>9.8000000000000007</v>
      </c>
      <c r="W518" s="90">
        <v>0.1</v>
      </c>
      <c r="X518" s="90"/>
      <c r="Y518" s="71"/>
      <c r="Z518" s="71"/>
      <c r="AA518" s="71"/>
      <c r="AB518" s="71"/>
      <c r="AC518" s="71"/>
      <c r="AD518" s="71"/>
      <c r="AE518" s="71"/>
      <c r="AF518" s="71"/>
      <c r="AG518" s="82">
        <v>1.2</v>
      </c>
      <c r="AH518" s="76"/>
      <c r="AI518" s="76"/>
      <c r="AJ518" s="76"/>
      <c r="AK518" s="71">
        <v>0.15</v>
      </c>
      <c r="AL518" s="88">
        <v>3.441511295928E-2</v>
      </c>
      <c r="AM518" s="89">
        <f t="shared" si="8"/>
        <v>0.22943408639520002</v>
      </c>
      <c r="AN518" s="78"/>
    </row>
    <row r="519" spans="1:40" x14ac:dyDescent="0.25">
      <c r="A519" t="s">
        <v>44</v>
      </c>
      <c r="B519" t="s">
        <v>45</v>
      </c>
      <c r="C519" s="121" t="s">
        <v>174</v>
      </c>
      <c r="D519" t="s">
        <v>189</v>
      </c>
      <c r="E519" t="s">
        <v>57</v>
      </c>
      <c r="F519">
        <v>2</v>
      </c>
      <c r="G519">
        <v>25</v>
      </c>
      <c r="H519" s="86">
        <v>45960.326463356498</v>
      </c>
      <c r="I519" s="86">
        <v>45960.398648715302</v>
      </c>
      <c r="J519" s="87">
        <v>1.7324486111111099</v>
      </c>
      <c r="K519" s="69" t="s">
        <v>274</v>
      </c>
      <c r="L519" s="69"/>
      <c r="M519" s="71"/>
      <c r="N519" s="71"/>
      <c r="O519" s="71"/>
      <c r="P519" s="71" t="s">
        <v>275</v>
      </c>
      <c r="Q519" s="88">
        <v>3.3952060784791301E-2</v>
      </c>
      <c r="R519" s="89" t="s">
        <v>276</v>
      </c>
      <c r="S519" s="89"/>
      <c r="T519">
        <v>8.1</v>
      </c>
      <c r="U519" s="76">
        <v>0.2</v>
      </c>
      <c r="V519">
        <v>9.8000000000000007</v>
      </c>
      <c r="W519" s="90">
        <v>0.1</v>
      </c>
      <c r="X519" s="90"/>
      <c r="Y519" s="71"/>
      <c r="Z519" s="71"/>
      <c r="AA519" s="71"/>
      <c r="AB519" s="71"/>
      <c r="AC519" s="71"/>
      <c r="AD519" s="71"/>
      <c r="AE519" s="71"/>
      <c r="AF519" s="71"/>
      <c r="AG519" s="82">
        <v>0.3</v>
      </c>
      <c r="AH519" s="76"/>
      <c r="AI519" s="76"/>
      <c r="AJ519" s="76"/>
      <c r="AK519" s="71">
        <v>0.15</v>
      </c>
      <c r="AL519" s="88">
        <v>3.441511295928E-2</v>
      </c>
      <c r="AM519" s="89">
        <f t="shared" si="8"/>
        <v>0.22943408639520002</v>
      </c>
      <c r="AN519" s="78"/>
    </row>
    <row r="520" spans="1:40" x14ac:dyDescent="0.25">
      <c r="A520" t="s">
        <v>44</v>
      </c>
      <c r="B520" t="s">
        <v>45</v>
      </c>
      <c r="C520" s="121" t="s">
        <v>174</v>
      </c>
      <c r="D520" t="s">
        <v>189</v>
      </c>
      <c r="E520" t="s">
        <v>57</v>
      </c>
      <c r="F520">
        <v>2</v>
      </c>
      <c r="G520">
        <v>26</v>
      </c>
      <c r="H520" s="86">
        <v>45960.398648715302</v>
      </c>
      <c r="I520" s="86">
        <v>45960.470834687498</v>
      </c>
      <c r="J520" s="87">
        <v>1.7324633333333299</v>
      </c>
      <c r="K520" s="69" t="s">
        <v>274</v>
      </c>
      <c r="L520" s="69"/>
      <c r="M520" s="71"/>
      <c r="N520" s="71"/>
      <c r="O520" s="71"/>
      <c r="P520" s="71" t="s">
        <v>275</v>
      </c>
      <c r="Q520" s="88">
        <v>4.3859738513845802E-2</v>
      </c>
      <c r="R520" s="89" t="s">
        <v>276</v>
      </c>
      <c r="S520" s="89"/>
      <c r="T520">
        <v>7.4</v>
      </c>
      <c r="U520" s="76">
        <v>0.2</v>
      </c>
      <c r="V520">
        <v>9.8000000000000007</v>
      </c>
      <c r="W520" s="90">
        <v>0.1</v>
      </c>
      <c r="X520" s="90"/>
      <c r="Y520" s="71"/>
      <c r="Z520" s="71"/>
      <c r="AA520" s="71"/>
      <c r="AB520" s="71"/>
      <c r="AC520" s="71"/>
      <c r="AD520" s="71"/>
      <c r="AE520" s="71"/>
      <c r="AF520" s="71"/>
      <c r="AG520" s="82">
        <v>0.1</v>
      </c>
      <c r="AH520" s="76"/>
      <c r="AI520" s="76"/>
      <c r="AJ520" s="76"/>
      <c r="AK520" s="71">
        <v>0.15</v>
      </c>
      <c r="AL520" s="88">
        <v>3.441511295928E-2</v>
      </c>
      <c r="AM520" s="89">
        <f t="shared" si="8"/>
        <v>0.22943408639520002</v>
      </c>
      <c r="AN520" s="78"/>
    </row>
    <row r="521" spans="1:40" x14ac:dyDescent="0.25">
      <c r="A521" t="s">
        <v>44</v>
      </c>
      <c r="B521" t="s">
        <v>45</v>
      </c>
      <c r="C521" s="121" t="s">
        <v>174</v>
      </c>
      <c r="D521" t="s">
        <v>189</v>
      </c>
      <c r="E521" t="s">
        <v>57</v>
      </c>
      <c r="F521">
        <v>2</v>
      </c>
      <c r="G521">
        <v>27</v>
      </c>
      <c r="H521" s="86">
        <v>45960.470834687498</v>
      </c>
      <c r="I521" s="86">
        <v>45960.5430269676</v>
      </c>
      <c r="J521" s="87">
        <v>1.7326147222222199</v>
      </c>
      <c r="K521" s="69" t="s">
        <v>274</v>
      </c>
      <c r="L521" s="69"/>
      <c r="M521" s="71"/>
      <c r="N521" s="71"/>
      <c r="O521" s="71"/>
      <c r="P521" s="71" t="s">
        <v>275</v>
      </c>
      <c r="Q521" s="88">
        <v>8.4103909648574698E-2</v>
      </c>
      <c r="R521" s="89" t="s">
        <v>276</v>
      </c>
      <c r="S521" s="89"/>
      <c r="T521">
        <v>8.1</v>
      </c>
      <c r="U521" s="76">
        <v>0.2</v>
      </c>
      <c r="V521">
        <v>9.8000000000000007</v>
      </c>
      <c r="W521" s="90">
        <v>0.1</v>
      </c>
      <c r="X521" s="90"/>
      <c r="Y521" s="71"/>
      <c r="Z521" s="71"/>
      <c r="AA521" s="71"/>
      <c r="AB521" s="71"/>
      <c r="AC521" s="71"/>
      <c r="AD521" s="71"/>
      <c r="AE521" s="71"/>
      <c r="AF521" s="71"/>
      <c r="AG521" s="82">
        <v>0</v>
      </c>
      <c r="AH521" s="76"/>
      <c r="AI521" s="76"/>
      <c r="AJ521" s="76"/>
      <c r="AK521" s="71">
        <v>0.15</v>
      </c>
      <c r="AL521" s="88">
        <v>3.441511295928E-2</v>
      </c>
      <c r="AM521" s="89">
        <f t="shared" si="8"/>
        <v>0.22943408639520002</v>
      </c>
      <c r="AN521" s="78"/>
    </row>
    <row r="522" spans="1:40" x14ac:dyDescent="0.25">
      <c r="A522" t="s">
        <v>44</v>
      </c>
      <c r="B522" t="s">
        <v>45</v>
      </c>
      <c r="C522" s="121" t="s">
        <v>174</v>
      </c>
      <c r="D522" t="s">
        <v>189</v>
      </c>
      <c r="E522" t="s">
        <v>57</v>
      </c>
      <c r="F522">
        <v>2</v>
      </c>
      <c r="G522">
        <v>28</v>
      </c>
      <c r="H522" s="86">
        <v>45960.5430269676</v>
      </c>
      <c r="I522" s="86">
        <v>45960.615204988397</v>
      </c>
      <c r="J522" s="87">
        <v>1.7322725000000001</v>
      </c>
      <c r="K522" s="69" t="s">
        <v>274</v>
      </c>
      <c r="L522" s="69"/>
      <c r="M522" s="71"/>
      <c r="N522" s="71"/>
      <c r="O522" s="71"/>
      <c r="P522" s="71" t="s">
        <v>275</v>
      </c>
      <c r="Q522" s="88">
        <v>9.8588326342145302E-2</v>
      </c>
      <c r="R522" s="89" t="s">
        <v>276</v>
      </c>
      <c r="S522" s="89"/>
      <c r="T522">
        <v>11</v>
      </c>
      <c r="U522" s="76">
        <v>0.2</v>
      </c>
      <c r="V522">
        <v>9.8000000000000007</v>
      </c>
      <c r="W522" s="90">
        <v>0.1</v>
      </c>
      <c r="X522" s="90"/>
      <c r="Y522" s="71"/>
      <c r="Z522" s="71"/>
      <c r="AA522" s="71"/>
      <c r="AB522" s="71"/>
      <c r="AC522" s="71"/>
      <c r="AD522" s="71"/>
      <c r="AE522" s="71"/>
      <c r="AF522" s="71"/>
      <c r="AG522" s="82">
        <v>0</v>
      </c>
      <c r="AH522" s="76"/>
      <c r="AI522" s="76"/>
      <c r="AJ522" s="76"/>
      <c r="AK522" s="71">
        <v>0.15</v>
      </c>
      <c r="AL522" s="88">
        <v>3.441511295928E-2</v>
      </c>
      <c r="AM522" s="89">
        <f t="shared" si="8"/>
        <v>0.22943408639520002</v>
      </c>
      <c r="AN522" s="78"/>
    </row>
    <row r="523" spans="1:40" x14ac:dyDescent="0.25">
      <c r="A523" t="s">
        <v>44</v>
      </c>
      <c r="B523" t="s">
        <v>45</v>
      </c>
      <c r="C523" s="121" t="s">
        <v>174</v>
      </c>
      <c r="D523" t="s">
        <v>189</v>
      </c>
      <c r="E523" t="s">
        <v>57</v>
      </c>
      <c r="F523">
        <v>2</v>
      </c>
      <c r="G523">
        <v>29</v>
      </c>
      <c r="H523" s="86">
        <v>45960.615204988397</v>
      </c>
      <c r="I523" s="86">
        <v>45960.687396400499</v>
      </c>
      <c r="J523" s="87">
        <v>1.7325938888888901</v>
      </c>
      <c r="K523" s="69" t="s">
        <v>274</v>
      </c>
      <c r="L523" s="69"/>
      <c r="M523" s="71"/>
      <c r="N523" s="71"/>
      <c r="O523" s="71"/>
      <c r="P523" s="71" t="s">
        <v>275</v>
      </c>
      <c r="Q523" s="88">
        <v>8.8065390477430505E-2</v>
      </c>
      <c r="R523" s="89" t="s">
        <v>276</v>
      </c>
      <c r="S523" s="89"/>
      <c r="T523">
        <v>9.1</v>
      </c>
      <c r="U523" s="76">
        <v>0.2</v>
      </c>
      <c r="V523">
        <v>9.9</v>
      </c>
      <c r="W523" s="90">
        <v>0.1</v>
      </c>
      <c r="X523" s="90"/>
      <c r="Y523" s="71"/>
      <c r="Z523" s="71"/>
      <c r="AA523" s="71"/>
      <c r="AB523" s="71"/>
      <c r="AC523" s="71"/>
      <c r="AD523" s="71"/>
      <c r="AE523" s="71"/>
      <c r="AF523" s="71"/>
      <c r="AG523" s="82">
        <v>1.2</v>
      </c>
      <c r="AH523" s="76"/>
      <c r="AI523" s="76"/>
      <c r="AJ523" s="76"/>
      <c r="AK523" s="71">
        <v>0.15</v>
      </c>
      <c r="AL523" s="88">
        <v>3.441511295928E-2</v>
      </c>
      <c r="AM523" s="89">
        <f t="shared" si="8"/>
        <v>0.22943408639520002</v>
      </c>
      <c r="AN523" s="78"/>
    </row>
    <row r="524" spans="1:40" x14ac:dyDescent="0.25">
      <c r="A524" t="s">
        <v>44</v>
      </c>
      <c r="B524" t="s">
        <v>45</v>
      </c>
      <c r="C524" s="121" t="s">
        <v>174</v>
      </c>
      <c r="D524" t="s">
        <v>189</v>
      </c>
      <c r="E524" t="s">
        <v>57</v>
      </c>
      <c r="F524">
        <v>2</v>
      </c>
      <c r="G524">
        <v>30</v>
      </c>
      <c r="H524" s="86">
        <v>45960.687396400499</v>
      </c>
      <c r="I524" s="86">
        <v>45960.759584768501</v>
      </c>
      <c r="J524" s="87">
        <v>1.73252083333333</v>
      </c>
      <c r="K524" s="69" t="s">
        <v>274</v>
      </c>
      <c r="L524" s="69"/>
      <c r="M524" s="71"/>
      <c r="N524" s="71"/>
      <c r="O524" s="71"/>
      <c r="P524" s="71" t="s">
        <v>275</v>
      </c>
      <c r="Q524" s="88">
        <v>3.3722063551929603E-2</v>
      </c>
      <c r="R524" s="89" t="s">
        <v>276</v>
      </c>
      <c r="S524" s="89"/>
      <c r="T524">
        <v>7</v>
      </c>
      <c r="U524" s="76">
        <v>0.2</v>
      </c>
      <c r="V524">
        <v>10</v>
      </c>
      <c r="W524" s="90">
        <v>0.1</v>
      </c>
      <c r="X524" s="90"/>
      <c r="Y524" s="71"/>
      <c r="Z524" s="71"/>
      <c r="AA524" s="71"/>
      <c r="AB524" s="71"/>
      <c r="AC524" s="71"/>
      <c r="AD524" s="71"/>
      <c r="AE524" s="71"/>
      <c r="AF524" s="71"/>
      <c r="AG524" s="82">
        <v>0</v>
      </c>
      <c r="AH524" s="76"/>
      <c r="AI524" s="76"/>
      <c r="AJ524" s="76"/>
      <c r="AK524" s="71">
        <v>0.15</v>
      </c>
      <c r="AL524" s="88">
        <v>3.441511295928E-2</v>
      </c>
      <c r="AM524" s="89">
        <f t="shared" si="8"/>
        <v>0.22943408639520002</v>
      </c>
      <c r="AN524" s="78"/>
    </row>
    <row r="525" spans="1:40" x14ac:dyDescent="0.25">
      <c r="A525" t="s">
        <v>44</v>
      </c>
      <c r="B525" t="s">
        <v>45</v>
      </c>
      <c r="C525" s="121" t="s">
        <v>174</v>
      </c>
      <c r="D525" t="s">
        <v>189</v>
      </c>
      <c r="E525" t="s">
        <v>57</v>
      </c>
      <c r="F525">
        <v>2</v>
      </c>
      <c r="G525">
        <v>31</v>
      </c>
      <c r="H525" s="86">
        <v>45960.759584768501</v>
      </c>
      <c r="I525" s="86">
        <v>45960.831765798597</v>
      </c>
      <c r="J525" s="87">
        <v>1.7323447222222199</v>
      </c>
      <c r="K525" s="69" t="s">
        <v>274</v>
      </c>
      <c r="L525" s="69"/>
      <c r="M525" s="71"/>
      <c r="N525" s="71"/>
      <c r="O525" s="71"/>
      <c r="P525" s="71" t="s">
        <v>275</v>
      </c>
      <c r="Q525" s="88">
        <v>3.3400331909439598E-2</v>
      </c>
      <c r="R525" s="89" t="s">
        <v>276</v>
      </c>
      <c r="S525" s="89"/>
      <c r="T525">
        <v>3.1</v>
      </c>
      <c r="U525" s="76">
        <v>0.2</v>
      </c>
      <c r="V525">
        <v>9.9</v>
      </c>
      <c r="W525" s="90">
        <v>0.1</v>
      </c>
      <c r="X525" s="90"/>
      <c r="Y525" s="71"/>
      <c r="Z525" s="71"/>
      <c r="AA525" s="71"/>
      <c r="AB525" s="71"/>
      <c r="AC525" s="71"/>
      <c r="AD525" s="71"/>
      <c r="AE525" s="71"/>
      <c r="AF525" s="71"/>
      <c r="AG525" s="82">
        <v>0</v>
      </c>
      <c r="AH525" s="76"/>
      <c r="AI525" s="76"/>
      <c r="AJ525" s="76"/>
      <c r="AK525" s="71">
        <v>0.15</v>
      </c>
      <c r="AL525" s="88">
        <v>3.441511295928E-2</v>
      </c>
      <c r="AM525" s="89">
        <f t="shared" si="8"/>
        <v>0.22943408639520002</v>
      </c>
      <c r="AN525" s="78"/>
    </row>
    <row r="526" spans="1:40" x14ac:dyDescent="0.25">
      <c r="A526" t="s">
        <v>44</v>
      </c>
      <c r="B526" t="s">
        <v>45</v>
      </c>
      <c r="C526" s="121" t="s">
        <v>174</v>
      </c>
      <c r="D526" t="s">
        <v>189</v>
      </c>
      <c r="E526" t="s">
        <v>57</v>
      </c>
      <c r="F526">
        <v>2</v>
      </c>
      <c r="G526">
        <v>32</v>
      </c>
      <c r="H526" s="86">
        <v>45960.831765798597</v>
      </c>
      <c r="I526" s="86">
        <v>45960.903940578697</v>
      </c>
      <c r="J526" s="87">
        <v>1.73219472222222</v>
      </c>
      <c r="K526" s="69" t="s">
        <v>274</v>
      </c>
      <c r="L526" s="69"/>
      <c r="M526" s="71"/>
      <c r="N526" s="71"/>
      <c r="O526" s="71"/>
      <c r="P526" s="71" t="s">
        <v>275</v>
      </c>
      <c r="Q526" s="88">
        <v>4.3448097158475002E-2</v>
      </c>
      <c r="R526" s="89" t="s">
        <v>276</v>
      </c>
      <c r="S526" s="89"/>
      <c r="T526">
        <v>3.1</v>
      </c>
      <c r="U526" s="76">
        <v>0.2</v>
      </c>
      <c r="V526">
        <v>9.6999999999999993</v>
      </c>
      <c r="W526" s="90">
        <v>0.1</v>
      </c>
      <c r="X526" s="90"/>
      <c r="Y526" s="71"/>
      <c r="Z526" s="71"/>
      <c r="AA526" s="71"/>
      <c r="AB526" s="71"/>
      <c r="AC526" s="71"/>
      <c r="AD526" s="71"/>
      <c r="AE526" s="71"/>
      <c r="AF526" s="71"/>
      <c r="AG526" s="82">
        <v>0</v>
      </c>
      <c r="AH526" s="76"/>
      <c r="AI526" s="76"/>
      <c r="AJ526" s="76"/>
      <c r="AK526" s="71">
        <v>0.15</v>
      </c>
      <c r="AL526" s="88">
        <v>3.441511295928E-2</v>
      </c>
      <c r="AM526" s="89">
        <f t="shared" si="8"/>
        <v>0.22943408639520002</v>
      </c>
      <c r="AN526" s="78"/>
    </row>
    <row r="527" spans="1:40" x14ac:dyDescent="0.25">
      <c r="A527" t="s">
        <v>44</v>
      </c>
      <c r="B527" t="s">
        <v>45</v>
      </c>
      <c r="C527" s="121" t="s">
        <v>174</v>
      </c>
      <c r="D527" t="s">
        <v>189</v>
      </c>
      <c r="E527" t="s">
        <v>57</v>
      </c>
      <c r="F527">
        <v>2</v>
      </c>
      <c r="G527">
        <v>33</v>
      </c>
      <c r="H527" s="86">
        <v>45960.903940578697</v>
      </c>
      <c r="I527" s="86">
        <v>45960.976117500002</v>
      </c>
      <c r="J527" s="87">
        <v>1.73224611111111</v>
      </c>
      <c r="K527" s="69" t="s">
        <v>274</v>
      </c>
      <c r="L527" s="69"/>
      <c r="M527" s="71"/>
      <c r="N527" s="71"/>
      <c r="O527" s="71"/>
      <c r="P527" s="71" t="s">
        <v>275</v>
      </c>
      <c r="Q527" s="88">
        <v>5.4427577817822897E-2</v>
      </c>
      <c r="R527" s="89" t="s">
        <v>276</v>
      </c>
      <c r="S527" s="89"/>
      <c r="T527">
        <v>3.6</v>
      </c>
      <c r="U527" s="76">
        <v>0.2</v>
      </c>
      <c r="V527">
        <v>9.5</v>
      </c>
      <c r="W527" s="90">
        <v>0.1</v>
      </c>
      <c r="X527" s="90"/>
      <c r="Y527" s="71"/>
      <c r="Z527" s="71"/>
      <c r="AA527" s="71"/>
      <c r="AB527" s="71"/>
      <c r="AC527" s="71"/>
      <c r="AD527" s="71"/>
      <c r="AE527" s="71"/>
      <c r="AF527" s="71"/>
      <c r="AG527" s="82">
        <v>0</v>
      </c>
      <c r="AH527" s="76"/>
      <c r="AI527" s="76"/>
      <c r="AJ527" s="76"/>
      <c r="AK527" s="71">
        <v>0.15</v>
      </c>
      <c r="AL527" s="88">
        <v>3.441511295928E-2</v>
      </c>
      <c r="AM527" s="89">
        <f t="shared" si="8"/>
        <v>0.22943408639520002</v>
      </c>
      <c r="AN527" s="78"/>
    </row>
    <row r="528" spans="1:40" x14ac:dyDescent="0.25">
      <c r="A528" t="s">
        <v>44</v>
      </c>
      <c r="B528" t="s">
        <v>45</v>
      </c>
      <c r="C528" s="121" t="s">
        <v>174</v>
      </c>
      <c r="D528" t="s">
        <v>189</v>
      </c>
      <c r="E528" t="s">
        <v>57</v>
      </c>
      <c r="F528">
        <v>2</v>
      </c>
      <c r="G528">
        <v>34</v>
      </c>
      <c r="H528" s="86">
        <v>45960.976117500002</v>
      </c>
      <c r="I528" s="86">
        <v>45961.048312916697</v>
      </c>
      <c r="J528" s="87">
        <v>1.7326900000000001</v>
      </c>
      <c r="K528" s="69" t="s">
        <v>274</v>
      </c>
      <c r="L528" s="69"/>
      <c r="M528" s="71"/>
      <c r="N528" s="71"/>
      <c r="O528" s="71"/>
      <c r="P528" s="71" t="s">
        <v>275</v>
      </c>
      <c r="Q528" s="88">
        <v>5.28916587794582E-2</v>
      </c>
      <c r="R528" s="89" t="s">
        <v>276</v>
      </c>
      <c r="S528" s="89"/>
      <c r="T528">
        <v>2.7</v>
      </c>
      <c r="U528" s="76">
        <v>0.2</v>
      </c>
      <c r="V528">
        <v>9.3000000000000007</v>
      </c>
      <c r="W528" s="90">
        <v>0.1</v>
      </c>
      <c r="X528" s="90"/>
      <c r="Y528" s="71"/>
      <c r="Z528" s="71"/>
      <c r="AA528" s="71"/>
      <c r="AB528" s="71"/>
      <c r="AC528" s="71"/>
      <c r="AD528" s="71"/>
      <c r="AE528" s="71"/>
      <c r="AF528" s="71"/>
      <c r="AG528" s="82">
        <v>0</v>
      </c>
      <c r="AH528" s="76"/>
      <c r="AI528" s="76"/>
      <c r="AJ528" s="76"/>
      <c r="AK528" s="71">
        <v>0.15</v>
      </c>
      <c r="AL528" s="88">
        <v>3.441511295928E-2</v>
      </c>
      <c r="AM528" s="89">
        <f t="shared" si="8"/>
        <v>0.22943408639520002</v>
      </c>
      <c r="AN528" s="78"/>
    </row>
    <row r="529" spans="1:40" x14ac:dyDescent="0.25">
      <c r="A529" t="s">
        <v>44</v>
      </c>
      <c r="B529" t="s">
        <v>45</v>
      </c>
      <c r="C529" s="121" t="s">
        <v>174</v>
      </c>
      <c r="D529" t="s">
        <v>189</v>
      </c>
      <c r="E529" t="s">
        <v>57</v>
      </c>
      <c r="F529">
        <v>2</v>
      </c>
      <c r="G529">
        <v>35</v>
      </c>
      <c r="H529" s="86">
        <v>45961.048312916697</v>
      </c>
      <c r="I529" s="86">
        <v>45961.120494074101</v>
      </c>
      <c r="J529" s="87">
        <v>1.73234777777778</v>
      </c>
      <c r="K529" s="69" t="s">
        <v>274</v>
      </c>
      <c r="L529" s="69"/>
      <c r="M529" s="71"/>
      <c r="N529" s="71"/>
      <c r="O529" s="71"/>
      <c r="P529" s="71" t="s">
        <v>275</v>
      </c>
      <c r="Q529" s="88">
        <v>6.5547264310811496E-2</v>
      </c>
      <c r="R529" s="89" t="s">
        <v>276</v>
      </c>
      <c r="S529" s="89"/>
      <c r="T529">
        <v>3.4</v>
      </c>
      <c r="U529" s="76">
        <v>0.2</v>
      </c>
      <c r="V529">
        <v>9.1</v>
      </c>
      <c r="W529" s="90">
        <v>0.1</v>
      </c>
      <c r="X529" s="90"/>
      <c r="Y529" s="71"/>
      <c r="Z529" s="71"/>
      <c r="AA529" s="71"/>
      <c r="AB529" s="71"/>
      <c r="AC529" s="71"/>
      <c r="AD529" s="71"/>
      <c r="AE529" s="71"/>
      <c r="AF529" s="71"/>
      <c r="AG529" s="82">
        <v>0</v>
      </c>
      <c r="AH529" s="76"/>
      <c r="AI529" s="76"/>
      <c r="AJ529" s="76"/>
      <c r="AK529" s="71">
        <v>0.15</v>
      </c>
      <c r="AL529" s="88">
        <v>3.441511295928E-2</v>
      </c>
      <c r="AM529" s="89">
        <f t="shared" si="8"/>
        <v>0.22943408639520002</v>
      </c>
      <c r="AN529" s="78"/>
    </row>
    <row r="530" spans="1:40" x14ac:dyDescent="0.25">
      <c r="A530" t="s">
        <v>44</v>
      </c>
      <c r="B530" t="s">
        <v>45</v>
      </c>
      <c r="C530" s="121" t="s">
        <v>174</v>
      </c>
      <c r="D530" t="s">
        <v>189</v>
      </c>
      <c r="E530" t="s">
        <v>57</v>
      </c>
      <c r="F530">
        <v>2</v>
      </c>
      <c r="G530">
        <v>36</v>
      </c>
      <c r="H530" s="86">
        <v>45961.120494074101</v>
      </c>
      <c r="I530" s="86">
        <v>45961.192671898199</v>
      </c>
      <c r="J530" s="87">
        <v>1.73226777777778</v>
      </c>
      <c r="K530" s="69" t="s">
        <v>274</v>
      </c>
      <c r="L530" s="69"/>
      <c r="M530" s="71"/>
      <c r="N530" s="71"/>
      <c r="O530" s="71"/>
      <c r="P530" s="71" t="s">
        <v>275</v>
      </c>
      <c r="Q530" s="88">
        <v>7.5034638646483201E-2</v>
      </c>
      <c r="R530" s="89" t="s">
        <v>276</v>
      </c>
      <c r="S530" s="89"/>
      <c r="T530">
        <v>4.5999999999999996</v>
      </c>
      <c r="U530" s="76">
        <v>0.2</v>
      </c>
      <c r="V530">
        <v>9</v>
      </c>
      <c r="W530" s="90">
        <v>0.1</v>
      </c>
      <c r="X530" s="90"/>
      <c r="Y530" s="71"/>
      <c r="Z530" s="71"/>
      <c r="AA530" s="71"/>
      <c r="AB530" s="71"/>
      <c r="AC530" s="71"/>
      <c r="AD530" s="71"/>
      <c r="AE530" s="71"/>
      <c r="AF530" s="71"/>
      <c r="AG530" s="82">
        <v>0</v>
      </c>
      <c r="AH530" s="76"/>
      <c r="AI530" s="76"/>
      <c r="AJ530" s="76"/>
      <c r="AK530" s="71">
        <v>0.15</v>
      </c>
      <c r="AL530" s="88">
        <v>3.441511295928E-2</v>
      </c>
      <c r="AM530" s="89">
        <f t="shared" si="8"/>
        <v>0.22943408639520002</v>
      </c>
      <c r="AN530" s="78"/>
    </row>
    <row r="531" spans="1:40" x14ac:dyDescent="0.25">
      <c r="A531" t="s">
        <v>44</v>
      </c>
      <c r="B531" t="s">
        <v>45</v>
      </c>
      <c r="C531" s="121" t="s">
        <v>174</v>
      </c>
      <c r="D531" t="s">
        <v>189</v>
      </c>
      <c r="E531" t="s">
        <v>57</v>
      </c>
      <c r="F531">
        <v>2</v>
      </c>
      <c r="G531">
        <v>37</v>
      </c>
      <c r="H531" s="86">
        <v>45961.192671898199</v>
      </c>
      <c r="I531" s="86">
        <v>45961.264861527801</v>
      </c>
      <c r="J531" s="87">
        <v>1.73255111111111</v>
      </c>
      <c r="K531" s="69" t="s">
        <v>274</v>
      </c>
      <c r="L531" s="69"/>
      <c r="M531" s="71"/>
      <c r="N531" s="71"/>
      <c r="O531" s="71"/>
      <c r="P531" s="71" t="s">
        <v>275</v>
      </c>
      <c r="Q531" s="88">
        <v>7.2457793872197099E-2</v>
      </c>
      <c r="R531" s="89" t="s">
        <v>276</v>
      </c>
      <c r="S531" s="89"/>
      <c r="T531">
        <v>3.2</v>
      </c>
      <c r="U531" s="76">
        <v>0.2</v>
      </c>
      <c r="V531">
        <v>8.9</v>
      </c>
      <c r="W531" s="90">
        <v>0.1</v>
      </c>
      <c r="X531" s="90"/>
      <c r="Y531" s="71"/>
      <c r="Z531" s="71"/>
      <c r="AA531" s="71"/>
      <c r="AB531" s="71"/>
      <c r="AC531" s="71"/>
      <c r="AD531" s="71"/>
      <c r="AE531" s="71"/>
      <c r="AF531" s="71"/>
      <c r="AG531" s="82">
        <v>0</v>
      </c>
      <c r="AH531" s="76"/>
      <c r="AI531" s="76"/>
      <c r="AJ531" s="76"/>
      <c r="AK531" s="71">
        <v>0.15</v>
      </c>
      <c r="AL531" s="88">
        <v>3.441511295928E-2</v>
      </c>
      <c r="AM531" s="89">
        <f t="shared" si="8"/>
        <v>0.22943408639520002</v>
      </c>
      <c r="AN531" s="78"/>
    </row>
    <row r="532" spans="1:40" x14ac:dyDescent="0.25">
      <c r="A532" t="s">
        <v>44</v>
      </c>
      <c r="B532" t="s">
        <v>45</v>
      </c>
      <c r="C532" s="121" t="s">
        <v>174</v>
      </c>
      <c r="D532" t="s">
        <v>189</v>
      </c>
      <c r="E532" t="s">
        <v>57</v>
      </c>
      <c r="F532">
        <v>2</v>
      </c>
      <c r="G532">
        <v>38</v>
      </c>
      <c r="H532" s="86">
        <v>45961.264861527801</v>
      </c>
      <c r="I532" s="86">
        <v>45961.337045173597</v>
      </c>
      <c r="J532" s="87">
        <v>1.7324075000000001</v>
      </c>
      <c r="K532" s="69" t="s">
        <v>274</v>
      </c>
      <c r="L532" s="69"/>
      <c r="M532" s="71"/>
      <c r="N532" s="71"/>
      <c r="O532" s="71"/>
      <c r="P532" s="71" t="s">
        <v>275</v>
      </c>
      <c r="Q532" s="88">
        <v>7.27275139346613E-2</v>
      </c>
      <c r="R532" s="89" t="s">
        <v>276</v>
      </c>
      <c r="S532" s="89"/>
      <c r="T532">
        <v>3.9</v>
      </c>
      <c r="U532" s="76">
        <v>0.2</v>
      </c>
      <c r="V532">
        <v>8.9</v>
      </c>
      <c r="W532" s="90">
        <v>0.1</v>
      </c>
      <c r="X532" s="90"/>
      <c r="Y532" s="71"/>
      <c r="Z532" s="71"/>
      <c r="AA532" s="71"/>
      <c r="AB532" s="71"/>
      <c r="AC532" s="71"/>
      <c r="AD532" s="71"/>
      <c r="AE532" s="71"/>
      <c r="AF532" s="71"/>
      <c r="AG532" s="82">
        <v>0</v>
      </c>
      <c r="AH532" s="76"/>
      <c r="AI532" s="76"/>
      <c r="AJ532" s="76"/>
      <c r="AK532" s="71">
        <v>0.15</v>
      </c>
      <c r="AL532" s="88">
        <v>3.441511295928E-2</v>
      </c>
      <c r="AM532" s="89">
        <f t="shared" si="8"/>
        <v>0.22943408639520002</v>
      </c>
      <c r="AN532" s="78"/>
    </row>
    <row r="533" spans="1:40" x14ac:dyDescent="0.25">
      <c r="A533" t="s">
        <v>44</v>
      </c>
      <c r="B533" t="s">
        <v>45</v>
      </c>
      <c r="C533" s="121" t="s">
        <v>174</v>
      </c>
      <c r="D533" t="s">
        <v>189</v>
      </c>
      <c r="E533" t="s">
        <v>57</v>
      </c>
      <c r="F533">
        <v>2</v>
      </c>
      <c r="G533">
        <v>39</v>
      </c>
      <c r="H533" s="86">
        <v>45961.337045173597</v>
      </c>
      <c r="I533" s="86">
        <v>45961.409224085699</v>
      </c>
      <c r="J533" s="87">
        <v>1.7322938888888899</v>
      </c>
      <c r="K533" s="69" t="s">
        <v>274</v>
      </c>
      <c r="L533" s="69"/>
      <c r="M533" s="71"/>
      <c r="N533" s="71"/>
      <c r="O533" s="71"/>
      <c r="P533" s="71" t="s">
        <v>275</v>
      </c>
      <c r="Q533" s="88">
        <v>7.5355216760968999E-2</v>
      </c>
      <c r="R533" s="89" t="s">
        <v>276</v>
      </c>
      <c r="S533" s="89"/>
      <c r="T533">
        <v>4.7</v>
      </c>
      <c r="U533" s="76">
        <v>0.2</v>
      </c>
      <c r="V533">
        <v>8.8000000000000007</v>
      </c>
      <c r="W533" s="90">
        <v>0.1</v>
      </c>
      <c r="X533" s="90"/>
      <c r="Y533" s="71"/>
      <c r="Z533" s="71"/>
      <c r="AA533" s="71"/>
      <c r="AB533" s="71"/>
      <c r="AC533" s="71"/>
      <c r="AD533" s="71"/>
      <c r="AE533" s="71"/>
      <c r="AF533" s="71"/>
      <c r="AG533" s="82">
        <v>0</v>
      </c>
      <c r="AH533" s="76"/>
      <c r="AI533" s="76"/>
      <c r="AJ533" s="76"/>
      <c r="AK533" s="71">
        <v>0.15</v>
      </c>
      <c r="AL533" s="88">
        <v>3.441511295928E-2</v>
      </c>
      <c r="AM533" s="89">
        <f t="shared" si="8"/>
        <v>0.22943408639520002</v>
      </c>
      <c r="AN533" s="78"/>
    </row>
    <row r="534" spans="1:40" x14ac:dyDescent="0.25">
      <c r="A534" t="s">
        <v>44</v>
      </c>
      <c r="B534" t="s">
        <v>45</v>
      </c>
      <c r="C534" s="121" t="s">
        <v>174</v>
      </c>
      <c r="D534" t="s">
        <v>189</v>
      </c>
      <c r="E534" t="s">
        <v>57</v>
      </c>
      <c r="F534">
        <v>2</v>
      </c>
      <c r="G534">
        <v>40</v>
      </c>
      <c r="H534" s="86">
        <v>45961.409224085699</v>
      </c>
      <c r="I534" s="86">
        <v>45961.481413703703</v>
      </c>
      <c r="J534" s="87">
        <v>1.7325508333333299</v>
      </c>
      <c r="K534" s="69" t="s">
        <v>274</v>
      </c>
      <c r="L534" s="69"/>
      <c r="M534" s="71"/>
      <c r="N534" s="71"/>
      <c r="O534" s="71"/>
      <c r="P534" s="71" t="s">
        <v>275</v>
      </c>
      <c r="Q534" s="88">
        <v>0.12982936612660001</v>
      </c>
      <c r="R534" s="89" t="s">
        <v>276</v>
      </c>
      <c r="S534" s="89"/>
      <c r="T534">
        <v>7.3</v>
      </c>
      <c r="U534" s="76">
        <v>0.2</v>
      </c>
      <c r="V534">
        <v>8.6999999999999993</v>
      </c>
      <c r="W534" s="90">
        <v>0.1</v>
      </c>
      <c r="X534" s="90"/>
      <c r="Y534" s="71"/>
      <c r="Z534" s="71"/>
      <c r="AA534" s="71"/>
      <c r="AB534" s="71"/>
      <c r="AC534" s="71"/>
      <c r="AD534" s="71"/>
      <c r="AE534" s="71"/>
      <c r="AF534" s="71"/>
      <c r="AG534" s="82">
        <v>0</v>
      </c>
      <c r="AH534" s="76"/>
      <c r="AI534" s="76"/>
      <c r="AJ534" s="76"/>
      <c r="AK534" s="71">
        <v>0.15</v>
      </c>
      <c r="AL534" s="88">
        <v>3.441511295928E-2</v>
      </c>
      <c r="AM534" s="89">
        <f t="shared" si="8"/>
        <v>0.22943408639520002</v>
      </c>
      <c r="AN534" s="78"/>
    </row>
    <row r="535" spans="1:40" x14ac:dyDescent="0.25">
      <c r="A535" t="s">
        <v>44</v>
      </c>
      <c r="B535" t="s">
        <v>45</v>
      </c>
      <c r="C535" s="121" t="s">
        <v>174</v>
      </c>
      <c r="D535" t="s">
        <v>189</v>
      </c>
      <c r="E535" t="s">
        <v>57</v>
      </c>
      <c r="F535">
        <v>2</v>
      </c>
      <c r="G535">
        <v>41</v>
      </c>
      <c r="H535" s="86">
        <v>45961.481413703703</v>
      </c>
      <c r="I535" s="86">
        <v>45961.553598692102</v>
      </c>
      <c r="J535" s="87">
        <v>1.7324397222222201</v>
      </c>
      <c r="K535" s="69" t="s">
        <v>274</v>
      </c>
      <c r="L535" s="69"/>
      <c r="M535" s="71"/>
      <c r="N535" s="71"/>
      <c r="O535" s="71"/>
      <c r="P535" s="71" t="s">
        <v>275</v>
      </c>
      <c r="Q535" s="88">
        <v>0.14445874487708099</v>
      </c>
      <c r="R535" s="89" t="s">
        <v>276</v>
      </c>
      <c r="S535" s="89"/>
      <c r="T535">
        <v>10.7</v>
      </c>
      <c r="U535" s="76">
        <v>0.2</v>
      </c>
      <c r="V535">
        <v>8.8000000000000007</v>
      </c>
      <c r="W535" s="90">
        <v>0.1</v>
      </c>
      <c r="X535" s="90"/>
      <c r="Y535" s="71"/>
      <c r="Z535" s="71"/>
      <c r="AA535" s="71"/>
      <c r="AB535" s="71"/>
      <c r="AC535" s="71"/>
      <c r="AD535" s="71"/>
      <c r="AE535" s="71"/>
      <c r="AF535" s="71"/>
      <c r="AG535" s="82">
        <v>0</v>
      </c>
      <c r="AH535" s="76"/>
      <c r="AI535" s="76"/>
      <c r="AJ535" s="76"/>
      <c r="AK535" s="71">
        <v>0.15</v>
      </c>
      <c r="AL535" s="88">
        <v>3.441511295928E-2</v>
      </c>
      <c r="AM535" s="89">
        <f t="shared" si="8"/>
        <v>0.22943408639520002</v>
      </c>
      <c r="AN535" s="78"/>
    </row>
    <row r="536" spans="1:40" x14ac:dyDescent="0.25">
      <c r="A536" t="s">
        <v>44</v>
      </c>
      <c r="B536" t="s">
        <v>45</v>
      </c>
      <c r="C536" s="121" t="s">
        <v>174</v>
      </c>
      <c r="D536" t="s">
        <v>189</v>
      </c>
      <c r="E536" t="s">
        <v>57</v>
      </c>
      <c r="F536">
        <v>2</v>
      </c>
      <c r="G536">
        <v>42</v>
      </c>
      <c r="H536" s="86">
        <v>45961.553598692102</v>
      </c>
      <c r="I536" s="86">
        <v>45961.625781469898</v>
      </c>
      <c r="J536" s="87">
        <v>1.7323866666666701</v>
      </c>
      <c r="K536" s="69" t="s">
        <v>274</v>
      </c>
      <c r="L536" s="69"/>
      <c r="M536" s="71"/>
      <c r="N536" s="71"/>
      <c r="O536" s="71"/>
      <c r="P536" s="71" t="s">
        <v>275</v>
      </c>
      <c r="Q536" s="88">
        <v>0.127536058557951</v>
      </c>
      <c r="R536" s="89" t="s">
        <v>276</v>
      </c>
      <c r="S536" s="89"/>
      <c r="T536">
        <v>10.5</v>
      </c>
      <c r="U536" s="76">
        <v>0.2</v>
      </c>
      <c r="V536">
        <v>8.9</v>
      </c>
      <c r="W536" s="90">
        <v>0.1</v>
      </c>
      <c r="X536" s="90"/>
      <c r="Y536" s="71"/>
      <c r="Z536" s="71"/>
      <c r="AA536" s="71"/>
      <c r="AB536" s="71"/>
      <c r="AC536" s="71"/>
      <c r="AD536" s="71"/>
      <c r="AE536" s="71"/>
      <c r="AF536" s="71"/>
      <c r="AG536" s="82">
        <v>0</v>
      </c>
      <c r="AH536" s="76"/>
      <c r="AI536" s="76"/>
      <c r="AJ536" s="76"/>
      <c r="AK536" s="71">
        <v>0.15</v>
      </c>
      <c r="AL536" s="88">
        <v>3.441511295928E-2</v>
      </c>
      <c r="AM536" s="89">
        <f t="shared" si="8"/>
        <v>0.22943408639520002</v>
      </c>
      <c r="AN536" s="78"/>
    </row>
    <row r="537" spans="1:40" x14ac:dyDescent="0.25">
      <c r="A537" t="s">
        <v>44</v>
      </c>
      <c r="B537" t="s">
        <v>45</v>
      </c>
      <c r="C537" s="121" t="s">
        <v>174</v>
      </c>
      <c r="D537" t="s">
        <v>189</v>
      </c>
      <c r="E537" t="s">
        <v>57</v>
      </c>
      <c r="F537">
        <v>2</v>
      </c>
      <c r="G537">
        <v>43</v>
      </c>
      <c r="H537" s="86">
        <v>45961.625781469898</v>
      </c>
      <c r="I537" s="86">
        <v>45961.697970451401</v>
      </c>
      <c r="J537" s="87">
        <v>1.7325355555555599</v>
      </c>
      <c r="K537" s="69" t="s">
        <v>274</v>
      </c>
      <c r="L537" s="69"/>
      <c r="M537" s="71"/>
      <c r="N537" s="71"/>
      <c r="O537" s="71"/>
      <c r="P537" s="71" t="s">
        <v>275</v>
      </c>
      <c r="Q537" s="88">
        <v>0.109819106170665</v>
      </c>
      <c r="R537" s="89" t="s">
        <v>276</v>
      </c>
      <c r="S537" s="89"/>
      <c r="T537">
        <v>9.9</v>
      </c>
      <c r="U537" s="76">
        <v>0.2</v>
      </c>
      <c r="V537">
        <v>9.1</v>
      </c>
      <c r="W537" s="90">
        <v>0.1</v>
      </c>
      <c r="X537" s="90"/>
      <c r="Y537" s="71"/>
      <c r="Z537" s="71"/>
      <c r="AA537" s="71"/>
      <c r="AB537" s="71"/>
      <c r="AC537" s="71"/>
      <c r="AD537" s="71"/>
      <c r="AE537" s="71"/>
      <c r="AF537" s="71"/>
      <c r="AG537" s="82">
        <v>0</v>
      </c>
      <c r="AH537" s="76"/>
      <c r="AI537" s="76"/>
      <c r="AJ537" s="76"/>
      <c r="AK537" s="71">
        <v>0.15</v>
      </c>
      <c r="AL537" s="88">
        <v>3.441511295928E-2</v>
      </c>
      <c r="AM537" s="89">
        <f t="shared" si="8"/>
        <v>0.22943408639520002</v>
      </c>
      <c r="AN537" s="78"/>
    </row>
    <row r="538" spans="1:40" x14ac:dyDescent="0.25">
      <c r="A538" t="s">
        <v>44</v>
      </c>
      <c r="B538" t="s">
        <v>45</v>
      </c>
      <c r="C538" s="121" t="s">
        <v>174</v>
      </c>
      <c r="D538" t="s">
        <v>189</v>
      </c>
      <c r="E538" t="s">
        <v>57</v>
      </c>
      <c r="F538">
        <v>2</v>
      </c>
      <c r="G538">
        <v>44</v>
      </c>
      <c r="H538" s="86">
        <v>45961.697970451401</v>
      </c>
      <c r="I538" s="86">
        <v>45961.770163240697</v>
      </c>
      <c r="J538" s="87">
        <v>1.73262694444444</v>
      </c>
      <c r="K538" s="69" t="s">
        <v>274</v>
      </c>
      <c r="L538" s="69"/>
      <c r="M538" s="71"/>
      <c r="N538" s="71"/>
      <c r="O538" s="71"/>
      <c r="P538" s="71" t="s">
        <v>275</v>
      </c>
      <c r="Q538" s="88">
        <v>6.6073823202137894E-2</v>
      </c>
      <c r="R538" s="89" t="s">
        <v>276</v>
      </c>
      <c r="S538" s="89"/>
      <c r="T538">
        <v>7.7</v>
      </c>
      <c r="U538" s="76">
        <v>0.2</v>
      </c>
      <c r="V538">
        <v>9.3000000000000007</v>
      </c>
      <c r="W538" s="90">
        <v>0.1</v>
      </c>
      <c r="X538" s="90"/>
      <c r="Y538" s="71"/>
      <c r="Z538" s="71"/>
      <c r="AA538" s="71"/>
      <c r="AB538" s="71"/>
      <c r="AC538" s="71"/>
      <c r="AD538" s="71"/>
      <c r="AE538" s="71"/>
      <c r="AF538" s="71"/>
      <c r="AG538" s="82">
        <v>0</v>
      </c>
      <c r="AH538" s="76"/>
      <c r="AI538" s="76"/>
      <c r="AJ538" s="76"/>
      <c r="AK538" s="71">
        <v>0.15</v>
      </c>
      <c r="AL538" s="88">
        <v>3.441511295928E-2</v>
      </c>
      <c r="AM538" s="89">
        <f t="shared" si="8"/>
        <v>0.22943408639520002</v>
      </c>
      <c r="AN538" s="78"/>
    </row>
    <row r="539" spans="1:40" x14ac:dyDescent="0.25">
      <c r="A539" t="s">
        <v>44</v>
      </c>
      <c r="B539" t="s">
        <v>45</v>
      </c>
      <c r="C539" s="121" t="s">
        <v>174</v>
      </c>
      <c r="D539" t="s">
        <v>189</v>
      </c>
      <c r="E539" t="s">
        <v>57</v>
      </c>
      <c r="F539">
        <v>2</v>
      </c>
      <c r="G539">
        <v>45</v>
      </c>
      <c r="H539" s="86">
        <v>45961.770163240697</v>
      </c>
      <c r="I539" s="86">
        <v>45961.842329895801</v>
      </c>
      <c r="J539" s="87">
        <v>1.7319997222222201</v>
      </c>
      <c r="K539" s="69" t="s">
        <v>274</v>
      </c>
      <c r="L539" s="69"/>
      <c r="M539" s="71"/>
      <c r="N539" s="71"/>
      <c r="O539" s="71"/>
      <c r="P539" s="71" t="s">
        <v>275</v>
      </c>
      <c r="Q539" s="88">
        <v>6.7547256607354195E-2</v>
      </c>
      <c r="R539" s="89" t="s">
        <v>276</v>
      </c>
      <c r="S539" s="89"/>
      <c r="T539">
        <v>7.5</v>
      </c>
      <c r="U539" s="76">
        <v>0.2</v>
      </c>
      <c r="V539">
        <v>9.3000000000000007</v>
      </c>
      <c r="W539" s="90">
        <v>0.1</v>
      </c>
      <c r="X539" s="90"/>
      <c r="Y539" s="71"/>
      <c r="Z539" s="71"/>
      <c r="AA539" s="71"/>
      <c r="AB539" s="71"/>
      <c r="AC539" s="71"/>
      <c r="AD539" s="71"/>
      <c r="AE539" s="71"/>
      <c r="AF539" s="71"/>
      <c r="AG539" s="82">
        <v>0</v>
      </c>
      <c r="AH539" s="76"/>
      <c r="AI539" s="76"/>
      <c r="AJ539" s="76"/>
      <c r="AK539" s="71">
        <v>0.15</v>
      </c>
      <c r="AL539" s="88">
        <v>3.441511295928E-2</v>
      </c>
      <c r="AM539" s="89">
        <f t="shared" si="8"/>
        <v>0.22943408639520002</v>
      </c>
      <c r="AN539" s="78"/>
    </row>
    <row r="540" spans="1:40" x14ac:dyDescent="0.25">
      <c r="A540" t="s">
        <v>44</v>
      </c>
      <c r="B540" t="s">
        <v>45</v>
      </c>
      <c r="C540" s="121" t="s">
        <v>174</v>
      </c>
      <c r="D540" t="s">
        <v>189</v>
      </c>
      <c r="E540" t="s">
        <v>57</v>
      </c>
      <c r="F540">
        <v>2</v>
      </c>
      <c r="G540">
        <v>46</v>
      </c>
      <c r="H540" s="86">
        <v>45961.842329895801</v>
      </c>
      <c r="I540" s="86">
        <v>45961.9145194792</v>
      </c>
      <c r="J540" s="87">
        <v>1.73255</v>
      </c>
      <c r="K540" s="69" t="s">
        <v>274</v>
      </c>
      <c r="L540" s="69"/>
      <c r="M540" s="71"/>
      <c r="N540" s="71"/>
      <c r="O540" s="71"/>
      <c r="P540" s="71" t="s">
        <v>275</v>
      </c>
      <c r="Q540" s="88">
        <v>7.9689503880779597E-2</v>
      </c>
      <c r="R540" s="89" t="s">
        <v>276</v>
      </c>
      <c r="S540" s="89"/>
      <c r="T540">
        <v>7.9</v>
      </c>
      <c r="U540" s="76">
        <v>0.2</v>
      </c>
      <c r="V540">
        <v>9.3000000000000007</v>
      </c>
      <c r="W540" s="90">
        <v>0.1</v>
      </c>
      <c r="X540" s="90"/>
      <c r="Y540" s="71"/>
      <c r="Z540" s="71"/>
      <c r="AA540" s="71"/>
      <c r="AB540" s="71"/>
      <c r="AC540" s="71"/>
      <c r="AD540" s="71"/>
      <c r="AE540" s="71"/>
      <c r="AF540" s="71"/>
      <c r="AG540" s="82">
        <v>0</v>
      </c>
      <c r="AH540" s="76"/>
      <c r="AI540" s="76"/>
      <c r="AJ540" s="76"/>
      <c r="AK540" s="71">
        <v>0.15</v>
      </c>
      <c r="AL540" s="88">
        <v>3.441511295928E-2</v>
      </c>
      <c r="AM540" s="89">
        <f t="shared" si="8"/>
        <v>0.22943408639520002</v>
      </c>
      <c r="AN540" s="78"/>
    </row>
    <row r="541" spans="1:40" x14ac:dyDescent="0.25">
      <c r="A541" t="s">
        <v>44</v>
      </c>
      <c r="B541" t="s">
        <v>45</v>
      </c>
      <c r="C541" s="121" t="s">
        <v>174</v>
      </c>
      <c r="D541" t="s">
        <v>189</v>
      </c>
      <c r="E541" t="s">
        <v>57</v>
      </c>
      <c r="F541">
        <v>2</v>
      </c>
      <c r="G541">
        <v>47</v>
      </c>
      <c r="H541" s="86">
        <v>45961.9145194792</v>
      </c>
      <c r="I541" s="86">
        <v>45961.986714560197</v>
      </c>
      <c r="J541" s="87">
        <v>1.7326819444444399</v>
      </c>
      <c r="K541" s="69" t="s">
        <v>274</v>
      </c>
      <c r="L541" s="69"/>
      <c r="M541" s="71"/>
      <c r="N541" s="71"/>
      <c r="O541" s="71"/>
      <c r="P541" s="71" t="s">
        <v>275</v>
      </c>
      <c r="Q541" s="88">
        <v>7.3317763639167505E-2</v>
      </c>
      <c r="R541" s="89" t="s">
        <v>276</v>
      </c>
      <c r="S541" s="89"/>
      <c r="T541">
        <v>7.9</v>
      </c>
      <c r="U541" s="76">
        <v>0.2</v>
      </c>
      <c r="V541">
        <v>9.1999999999999993</v>
      </c>
      <c r="W541" s="90">
        <v>0.1</v>
      </c>
      <c r="X541" s="90"/>
      <c r="Y541" s="71"/>
      <c r="Z541" s="71"/>
      <c r="AA541" s="71"/>
      <c r="AB541" s="71"/>
      <c r="AC541" s="71"/>
      <c r="AD541" s="71"/>
      <c r="AE541" s="71"/>
      <c r="AF541" s="71"/>
      <c r="AG541" s="82">
        <v>0</v>
      </c>
      <c r="AH541" s="76"/>
      <c r="AI541" s="76"/>
      <c r="AJ541" s="76"/>
      <c r="AK541" s="71">
        <v>0.15</v>
      </c>
      <c r="AL541" s="88">
        <v>3.441511295928E-2</v>
      </c>
      <c r="AM541" s="89">
        <f t="shared" si="8"/>
        <v>0.22943408639520002</v>
      </c>
      <c r="AN541" s="78"/>
    </row>
    <row r="542" spans="1:40" x14ac:dyDescent="0.25">
      <c r="A542" t="s">
        <v>44</v>
      </c>
      <c r="B542" t="s">
        <v>45</v>
      </c>
      <c r="C542" s="121" t="s">
        <v>174</v>
      </c>
      <c r="D542" t="s">
        <v>189</v>
      </c>
      <c r="E542" t="s">
        <v>57</v>
      </c>
      <c r="F542">
        <v>2</v>
      </c>
      <c r="G542">
        <v>48</v>
      </c>
      <c r="H542" s="86">
        <v>45961.986714560197</v>
      </c>
      <c r="I542" s="86">
        <v>45962.058891863402</v>
      </c>
      <c r="J542" s="87">
        <v>1.73225527777778</v>
      </c>
      <c r="K542" s="69" t="s">
        <v>274</v>
      </c>
      <c r="L542" s="69"/>
      <c r="M542" s="71"/>
      <c r="N542" s="71"/>
      <c r="O542" s="71"/>
      <c r="P542" s="71" t="s">
        <v>275</v>
      </c>
      <c r="Q542" s="88">
        <v>6.5688926595737204E-2</v>
      </c>
      <c r="R542" s="89" t="s">
        <v>276</v>
      </c>
      <c r="S542" s="89"/>
      <c r="T542">
        <v>8.1</v>
      </c>
      <c r="U542" s="76">
        <v>0.2</v>
      </c>
      <c r="V542">
        <v>9.1999999999999993</v>
      </c>
      <c r="W542" s="90">
        <v>0.1</v>
      </c>
      <c r="X542" s="90"/>
      <c r="Y542" s="71"/>
      <c r="Z542" s="71"/>
      <c r="AA542" s="71"/>
      <c r="AB542" s="71"/>
      <c r="AC542" s="71"/>
      <c r="AD542" s="71"/>
      <c r="AE542" s="71"/>
      <c r="AF542" s="71"/>
      <c r="AG542" s="82">
        <v>0</v>
      </c>
      <c r="AH542" s="76"/>
      <c r="AI542" s="76"/>
      <c r="AJ542" s="76"/>
      <c r="AK542" s="71">
        <v>0.15</v>
      </c>
      <c r="AL542" s="88">
        <v>3.441511295928E-2</v>
      </c>
      <c r="AM542" s="89">
        <f t="shared" si="8"/>
        <v>0.22943408639520002</v>
      </c>
      <c r="AN542" s="78"/>
    </row>
    <row r="543" spans="1:40" x14ac:dyDescent="0.25">
      <c r="A543" t="s">
        <v>44</v>
      </c>
      <c r="B543" t="s">
        <v>45</v>
      </c>
      <c r="C543" s="121" t="s">
        <v>174</v>
      </c>
      <c r="D543" t="s">
        <v>189</v>
      </c>
      <c r="E543" t="s">
        <v>57</v>
      </c>
      <c r="F543">
        <v>2</v>
      </c>
      <c r="G543">
        <v>49</v>
      </c>
      <c r="H543" s="86">
        <v>45962.058891863402</v>
      </c>
      <c r="I543" s="86">
        <v>45962.131076388898</v>
      </c>
      <c r="J543" s="87">
        <v>1.73242861111111</v>
      </c>
      <c r="K543" s="69" t="s">
        <v>274</v>
      </c>
      <c r="L543" s="69"/>
      <c r="M543" s="71"/>
      <c r="N543" s="71"/>
      <c r="O543" s="71"/>
      <c r="P543" s="71" t="s">
        <v>275</v>
      </c>
      <c r="Q543" s="88">
        <v>7.4083470693027398E-2</v>
      </c>
      <c r="R543" s="89" t="s">
        <v>276</v>
      </c>
      <c r="S543" s="89"/>
      <c r="T543">
        <v>8.1999999999999993</v>
      </c>
      <c r="U543" s="76">
        <v>0.2</v>
      </c>
      <c r="V543">
        <v>9.1999999999999993</v>
      </c>
      <c r="W543" s="90">
        <v>0.1</v>
      </c>
      <c r="X543" s="90"/>
      <c r="Y543" s="71"/>
      <c r="Z543" s="71"/>
      <c r="AA543" s="71"/>
      <c r="AB543" s="71"/>
      <c r="AC543" s="71"/>
      <c r="AD543" s="71"/>
      <c r="AE543" s="71"/>
      <c r="AF543" s="71"/>
      <c r="AG543" s="82">
        <v>0</v>
      </c>
      <c r="AH543" s="76"/>
      <c r="AI543" s="76"/>
      <c r="AJ543" s="76"/>
      <c r="AK543" s="71">
        <v>0.15</v>
      </c>
      <c r="AL543" s="88">
        <v>3.441511295928E-2</v>
      </c>
      <c r="AM543" s="89">
        <f t="shared" si="8"/>
        <v>0.22943408639520002</v>
      </c>
      <c r="AN543" s="78"/>
    </row>
    <row r="544" spans="1:40" x14ac:dyDescent="0.25">
      <c r="A544" t="s">
        <v>44</v>
      </c>
      <c r="B544" t="s">
        <v>45</v>
      </c>
      <c r="C544" s="121" t="s">
        <v>174</v>
      </c>
      <c r="D544" t="s">
        <v>189</v>
      </c>
      <c r="E544" t="s">
        <v>57</v>
      </c>
      <c r="F544">
        <v>2</v>
      </c>
      <c r="G544">
        <v>50</v>
      </c>
      <c r="H544" s="86">
        <v>45962.131076388898</v>
      </c>
      <c r="I544" s="86">
        <v>45962.203250138897</v>
      </c>
      <c r="J544" s="87">
        <v>1.73217</v>
      </c>
      <c r="K544" s="69" t="s">
        <v>274</v>
      </c>
      <c r="L544" s="69"/>
      <c r="M544" s="71"/>
      <c r="N544" s="71"/>
      <c r="O544" s="71"/>
      <c r="P544" s="71" t="s">
        <v>275</v>
      </c>
      <c r="Q544" s="88">
        <v>6.8601792026906305E-2</v>
      </c>
      <c r="R544" s="89" t="s">
        <v>276</v>
      </c>
      <c r="S544" s="89"/>
      <c r="T544">
        <v>8</v>
      </c>
      <c r="U544" s="76">
        <v>0.2</v>
      </c>
      <c r="V544">
        <v>9.1999999999999993</v>
      </c>
      <c r="W544" s="90">
        <v>0.1</v>
      </c>
      <c r="X544" s="90"/>
      <c r="Y544" s="71"/>
      <c r="Z544" s="71"/>
      <c r="AA544" s="71"/>
      <c r="AB544" s="71"/>
      <c r="AC544" s="71"/>
      <c r="AD544" s="71"/>
      <c r="AE544" s="71"/>
      <c r="AF544" s="71"/>
      <c r="AG544" s="82">
        <v>0</v>
      </c>
      <c r="AH544" s="76"/>
      <c r="AI544" s="76"/>
      <c r="AJ544" s="76"/>
      <c r="AK544" s="71">
        <v>0.15</v>
      </c>
      <c r="AL544" s="88">
        <v>3.441511295928E-2</v>
      </c>
      <c r="AM544" s="89">
        <f t="shared" si="8"/>
        <v>0.22943408639520002</v>
      </c>
      <c r="AN544" s="78"/>
    </row>
    <row r="545" spans="1:40" x14ac:dyDescent="0.25">
      <c r="A545" t="s">
        <v>44</v>
      </c>
      <c r="B545" t="s">
        <v>45</v>
      </c>
      <c r="C545" s="121" t="s">
        <v>174</v>
      </c>
      <c r="D545" t="s">
        <v>189</v>
      </c>
      <c r="E545" t="s">
        <v>57</v>
      </c>
      <c r="F545">
        <v>2</v>
      </c>
      <c r="G545">
        <v>51</v>
      </c>
      <c r="H545" s="86">
        <v>45962.203250138897</v>
      </c>
      <c r="I545" s="86">
        <v>45962.275437187498</v>
      </c>
      <c r="J545" s="87">
        <v>1.73248916666667</v>
      </c>
      <c r="K545" s="69" t="s">
        <v>274</v>
      </c>
      <c r="L545" s="69"/>
      <c r="M545" s="71"/>
      <c r="N545" s="71"/>
      <c r="O545" s="71"/>
      <c r="P545" s="71" t="s">
        <v>275</v>
      </c>
      <c r="Q545" s="88">
        <v>6.4825379281894899E-2</v>
      </c>
      <c r="R545" s="89" t="s">
        <v>276</v>
      </c>
      <c r="S545" s="89"/>
      <c r="T545">
        <v>8</v>
      </c>
      <c r="U545" s="76">
        <v>0.2</v>
      </c>
      <c r="V545">
        <v>9.1999999999999993</v>
      </c>
      <c r="W545" s="90">
        <v>0.1</v>
      </c>
      <c r="X545" s="90"/>
      <c r="Y545" s="71"/>
      <c r="Z545" s="71"/>
      <c r="AA545" s="71"/>
      <c r="AB545" s="71"/>
      <c r="AC545" s="71"/>
      <c r="AD545" s="71"/>
      <c r="AE545" s="71"/>
      <c r="AF545" s="71"/>
      <c r="AG545" s="82">
        <v>0</v>
      </c>
      <c r="AH545" s="76"/>
      <c r="AI545" s="76"/>
      <c r="AJ545" s="76"/>
      <c r="AK545" s="71">
        <v>0.15</v>
      </c>
      <c r="AL545" s="88">
        <v>3.441511295928E-2</v>
      </c>
      <c r="AM545" s="89">
        <f t="shared" si="8"/>
        <v>0.22943408639520002</v>
      </c>
      <c r="AN545" s="78"/>
    </row>
    <row r="546" spans="1:40" x14ac:dyDescent="0.25">
      <c r="A546" t="s">
        <v>44</v>
      </c>
      <c r="B546" t="s">
        <v>45</v>
      </c>
      <c r="C546" s="121" t="s">
        <v>174</v>
      </c>
      <c r="D546" t="s">
        <v>189</v>
      </c>
      <c r="E546" t="s">
        <v>57</v>
      </c>
      <c r="F546">
        <v>2</v>
      </c>
      <c r="G546">
        <v>52</v>
      </c>
      <c r="H546" s="86">
        <v>45962.275437187498</v>
      </c>
      <c r="I546" s="86">
        <v>45962.347637164399</v>
      </c>
      <c r="J546" s="87">
        <v>1.7327994444444501</v>
      </c>
      <c r="K546" s="69" t="s">
        <v>274</v>
      </c>
      <c r="L546" s="69"/>
      <c r="M546" s="71"/>
      <c r="N546" s="71"/>
      <c r="O546" s="71"/>
      <c r="P546" s="71" t="s">
        <v>275</v>
      </c>
      <c r="Q546" s="88">
        <v>4.7689591492071803E-2</v>
      </c>
      <c r="R546" s="89" t="s">
        <v>276</v>
      </c>
      <c r="S546" s="89"/>
      <c r="T546">
        <v>7.5</v>
      </c>
      <c r="U546" s="76">
        <v>0.2</v>
      </c>
      <c r="V546">
        <v>9.1999999999999993</v>
      </c>
      <c r="W546" s="90">
        <v>0.1</v>
      </c>
      <c r="X546" s="90"/>
      <c r="Y546" s="71"/>
      <c r="Z546" s="71"/>
      <c r="AA546" s="71"/>
      <c r="AB546" s="71"/>
      <c r="AC546" s="71"/>
      <c r="AD546" s="71"/>
      <c r="AE546" s="71"/>
      <c r="AF546" s="71"/>
      <c r="AG546" s="82">
        <v>0</v>
      </c>
      <c r="AH546" s="76"/>
      <c r="AI546" s="76"/>
      <c r="AJ546" s="76"/>
      <c r="AK546" s="71">
        <v>0.15</v>
      </c>
      <c r="AL546" s="88">
        <v>3.441511295928E-2</v>
      </c>
      <c r="AM546" s="89">
        <f t="shared" si="8"/>
        <v>0.22943408639520002</v>
      </c>
      <c r="AN546" s="78"/>
    </row>
    <row r="547" spans="1:40" x14ac:dyDescent="0.25">
      <c r="A547" t="s">
        <v>44</v>
      </c>
      <c r="B547" t="s">
        <v>45</v>
      </c>
      <c r="C547" s="121" t="s">
        <v>174</v>
      </c>
      <c r="D547" t="s">
        <v>189</v>
      </c>
      <c r="E547" t="s">
        <v>57</v>
      </c>
      <c r="F547">
        <v>2</v>
      </c>
      <c r="G547">
        <v>53</v>
      </c>
      <c r="H547" s="86">
        <v>45962.347637164399</v>
      </c>
      <c r="I547" s="86">
        <v>45962.419813368098</v>
      </c>
      <c r="J547" s="87">
        <v>1.7322288888888899</v>
      </c>
      <c r="K547" s="69" t="s">
        <v>274</v>
      </c>
      <c r="L547" s="69"/>
      <c r="M547" s="71"/>
      <c r="N547" s="71"/>
      <c r="O547" s="71"/>
      <c r="P547" s="71" t="s">
        <v>275</v>
      </c>
      <c r="Q547" s="88">
        <v>5.5836646381994003E-2</v>
      </c>
      <c r="R547" s="89" t="s">
        <v>276</v>
      </c>
      <c r="S547" s="89"/>
      <c r="T547">
        <v>7.6</v>
      </c>
      <c r="U547" s="76">
        <v>0.2</v>
      </c>
      <c r="V547">
        <v>9.1999999999999993</v>
      </c>
      <c r="W547" s="90">
        <v>0.1</v>
      </c>
      <c r="X547" s="90"/>
      <c r="Y547" s="71"/>
      <c r="Z547" s="71"/>
      <c r="AA547" s="71"/>
      <c r="AB547" s="71"/>
      <c r="AC547" s="71"/>
      <c r="AD547" s="71"/>
      <c r="AE547" s="71"/>
      <c r="AF547" s="71"/>
      <c r="AG547" s="82">
        <v>0</v>
      </c>
      <c r="AH547" s="76"/>
      <c r="AI547" s="76"/>
      <c r="AJ547" s="76"/>
      <c r="AK547" s="71">
        <v>0.15</v>
      </c>
      <c r="AL547" s="88">
        <v>3.441511295928E-2</v>
      </c>
      <c r="AM547" s="89">
        <f t="shared" si="8"/>
        <v>0.22943408639520002</v>
      </c>
      <c r="AN547" s="78"/>
    </row>
    <row r="548" spans="1:40" x14ac:dyDescent="0.25">
      <c r="A548" t="s">
        <v>44</v>
      </c>
      <c r="B548" t="s">
        <v>45</v>
      </c>
      <c r="C548" s="121" t="s">
        <v>174</v>
      </c>
      <c r="D548" t="s">
        <v>189</v>
      </c>
      <c r="E548" t="s">
        <v>57</v>
      </c>
      <c r="F548">
        <v>2</v>
      </c>
      <c r="G548">
        <v>54</v>
      </c>
      <c r="H548" s="86">
        <v>45962.419813368098</v>
      </c>
      <c r="I548" s="86">
        <v>45962.491999039397</v>
      </c>
      <c r="J548" s="87">
        <v>1.7324561111111101</v>
      </c>
      <c r="K548" s="69" t="s">
        <v>274</v>
      </c>
      <c r="L548" s="69"/>
      <c r="M548" s="71"/>
      <c r="N548" s="71"/>
      <c r="O548" s="71"/>
      <c r="P548" s="71" t="s">
        <v>275</v>
      </c>
      <c r="Q548" s="88">
        <v>7.1751791218015795E-2</v>
      </c>
      <c r="R548" s="89" t="s">
        <v>276</v>
      </c>
      <c r="S548" s="89"/>
      <c r="T548">
        <v>9.6999999999999993</v>
      </c>
      <c r="U548" s="76">
        <v>0.2</v>
      </c>
      <c r="V548">
        <v>9.1999999999999993</v>
      </c>
      <c r="W548" s="90">
        <v>0.1</v>
      </c>
      <c r="X548" s="90"/>
      <c r="Y548" s="71"/>
      <c r="Z548" s="71"/>
      <c r="AA548" s="71"/>
      <c r="AB548" s="71"/>
      <c r="AC548" s="71"/>
      <c r="AD548" s="71"/>
      <c r="AE548" s="71"/>
      <c r="AF548" s="71"/>
      <c r="AG548" s="82">
        <v>0</v>
      </c>
      <c r="AH548" s="76"/>
      <c r="AI548" s="76"/>
      <c r="AJ548" s="76"/>
      <c r="AK548" s="71">
        <v>0.15</v>
      </c>
      <c r="AL548" s="88">
        <v>3.441511295928E-2</v>
      </c>
      <c r="AM548" s="89">
        <f t="shared" si="8"/>
        <v>0.22943408639520002</v>
      </c>
      <c r="AN548" s="78"/>
    </row>
    <row r="549" spans="1:40" x14ac:dyDescent="0.25">
      <c r="A549" t="s">
        <v>44</v>
      </c>
      <c r="B549" t="s">
        <v>45</v>
      </c>
      <c r="C549" s="121" t="s">
        <v>174</v>
      </c>
      <c r="D549" t="s">
        <v>189</v>
      </c>
      <c r="E549" t="s">
        <v>57</v>
      </c>
      <c r="F549">
        <v>2</v>
      </c>
      <c r="G549">
        <v>55</v>
      </c>
      <c r="H549" s="86">
        <v>45962.491999039397</v>
      </c>
      <c r="I549" s="86">
        <v>45962.564190752302</v>
      </c>
      <c r="J549" s="87">
        <v>1.7326011111111099</v>
      </c>
      <c r="K549" s="69" t="s">
        <v>274</v>
      </c>
      <c r="L549" s="69"/>
      <c r="M549" s="71"/>
      <c r="N549" s="71"/>
      <c r="O549" s="71"/>
      <c r="P549" s="71" t="s">
        <v>275</v>
      </c>
      <c r="Q549" s="88">
        <v>8.2914984033621505E-2</v>
      </c>
      <c r="R549" s="89" t="s">
        <v>276</v>
      </c>
      <c r="S549" s="89"/>
      <c r="T549">
        <v>10.9</v>
      </c>
      <c r="U549" s="76">
        <v>0.2</v>
      </c>
      <c r="V549">
        <v>9.1999999999999993</v>
      </c>
      <c r="W549" s="90">
        <v>0.1</v>
      </c>
      <c r="X549" s="90"/>
      <c r="Y549" s="71"/>
      <c r="Z549" s="71"/>
      <c r="AA549" s="71"/>
      <c r="AB549" s="71"/>
      <c r="AC549" s="71"/>
      <c r="AD549" s="71"/>
      <c r="AE549" s="71"/>
      <c r="AF549" s="71"/>
      <c r="AG549" s="82">
        <v>0</v>
      </c>
      <c r="AH549" s="76"/>
      <c r="AI549" s="76"/>
      <c r="AJ549" s="76"/>
      <c r="AK549" s="71">
        <v>0.15</v>
      </c>
      <c r="AL549" s="88">
        <v>3.441511295928E-2</v>
      </c>
      <c r="AM549" s="89">
        <f t="shared" si="8"/>
        <v>0.22943408639520002</v>
      </c>
      <c r="AN549" s="78"/>
    </row>
    <row r="550" spans="1:40" x14ac:dyDescent="0.25">
      <c r="A550" t="s">
        <v>44</v>
      </c>
      <c r="B550" t="s">
        <v>45</v>
      </c>
      <c r="C550" s="121" t="s">
        <v>174</v>
      </c>
      <c r="D550" t="s">
        <v>189</v>
      </c>
      <c r="E550" t="s">
        <v>57</v>
      </c>
      <c r="F550">
        <v>2</v>
      </c>
      <c r="G550">
        <v>56</v>
      </c>
      <c r="H550" s="86">
        <v>45962.564190752302</v>
      </c>
      <c r="I550" s="86">
        <v>45962.636373414403</v>
      </c>
      <c r="J550" s="87">
        <v>1.7323838888888901</v>
      </c>
      <c r="K550" s="69" t="s">
        <v>274</v>
      </c>
      <c r="L550" s="69"/>
      <c r="M550" s="71"/>
      <c r="N550" s="71"/>
      <c r="O550" s="71"/>
      <c r="P550" s="71" t="s">
        <v>275</v>
      </c>
      <c r="Q550" s="88">
        <v>5.1896366408273199E-2</v>
      </c>
      <c r="R550" s="89" t="s">
        <v>276</v>
      </c>
      <c r="S550" s="89"/>
      <c r="T550">
        <v>10.9</v>
      </c>
      <c r="U550" s="76">
        <v>0.2</v>
      </c>
      <c r="V550">
        <v>9.4</v>
      </c>
      <c r="W550" s="90">
        <v>0.1</v>
      </c>
      <c r="X550" s="90"/>
      <c r="Y550" s="71"/>
      <c r="Z550" s="71"/>
      <c r="AA550" s="71"/>
      <c r="AB550" s="71"/>
      <c r="AC550" s="71"/>
      <c r="AD550" s="71"/>
      <c r="AE550" s="71"/>
      <c r="AF550" s="71"/>
      <c r="AG550" s="82">
        <v>0.1</v>
      </c>
      <c r="AH550" s="76"/>
      <c r="AI550" s="76"/>
      <c r="AJ550" s="76"/>
      <c r="AK550" s="71">
        <v>0.15</v>
      </c>
      <c r="AL550" s="88">
        <v>3.441511295928E-2</v>
      </c>
      <c r="AM550" s="89">
        <f t="shared" si="8"/>
        <v>0.22943408639520002</v>
      </c>
      <c r="AN550" s="78"/>
    </row>
    <row r="551" spans="1:40" x14ac:dyDescent="0.25">
      <c r="A551" t="s">
        <v>44</v>
      </c>
      <c r="B551" t="s">
        <v>45</v>
      </c>
      <c r="C551" s="121" t="s">
        <v>174</v>
      </c>
      <c r="D551" t="s">
        <v>189</v>
      </c>
      <c r="E551" t="s">
        <v>57</v>
      </c>
      <c r="F551">
        <v>2</v>
      </c>
      <c r="G551">
        <v>57</v>
      </c>
      <c r="H551" s="86">
        <v>45962.636373414403</v>
      </c>
      <c r="I551" s="86">
        <v>45962.7085699421</v>
      </c>
      <c r="J551" s="87">
        <v>1.73271666666667</v>
      </c>
      <c r="K551" s="69" t="s">
        <v>274</v>
      </c>
      <c r="L551" s="69"/>
      <c r="M551" s="71"/>
      <c r="N551" s="71"/>
      <c r="O551" s="71"/>
      <c r="P551" s="71" t="s">
        <v>275</v>
      </c>
      <c r="Q551" s="88">
        <v>4.6226513205473697E-2</v>
      </c>
      <c r="R551" s="89" t="s">
        <v>276</v>
      </c>
      <c r="S551" s="89"/>
      <c r="T551">
        <v>10.7</v>
      </c>
      <c r="U551" s="76">
        <v>0.2</v>
      </c>
      <c r="V551">
        <v>9.5</v>
      </c>
      <c r="W551" s="90">
        <v>0.1</v>
      </c>
      <c r="X551" s="90"/>
      <c r="Y551" s="71"/>
      <c r="Z551" s="71"/>
      <c r="AA551" s="71"/>
      <c r="AB551" s="71"/>
      <c r="AC551" s="71"/>
      <c r="AD551" s="71"/>
      <c r="AE551" s="71"/>
      <c r="AF551" s="71"/>
      <c r="AG551" s="82">
        <v>0.3</v>
      </c>
      <c r="AH551" s="76"/>
      <c r="AI551" s="76"/>
      <c r="AJ551" s="76"/>
      <c r="AK551" s="71">
        <v>0.15</v>
      </c>
      <c r="AL551" s="88">
        <v>3.441511295928E-2</v>
      </c>
      <c r="AM551" s="89">
        <f t="shared" si="8"/>
        <v>0.22943408639520002</v>
      </c>
      <c r="AN551" s="78"/>
    </row>
    <row r="552" spans="1:40" x14ac:dyDescent="0.25">
      <c r="A552" t="s">
        <v>44</v>
      </c>
      <c r="B552" t="s">
        <v>45</v>
      </c>
      <c r="C552" s="121" t="s">
        <v>174</v>
      </c>
      <c r="D552" t="s">
        <v>189</v>
      </c>
      <c r="E552" t="s">
        <v>57</v>
      </c>
      <c r="F552">
        <v>2</v>
      </c>
      <c r="G552">
        <v>58</v>
      </c>
      <c r="H552" s="86">
        <v>45962.7085699421</v>
      </c>
      <c r="I552" s="86">
        <v>45962.780742986099</v>
      </c>
      <c r="J552" s="87">
        <v>1.73215305555556</v>
      </c>
      <c r="K552" s="69" t="s">
        <v>274</v>
      </c>
      <c r="L552" s="69"/>
      <c r="M552" s="71"/>
      <c r="N552" s="71"/>
      <c r="O552" s="71"/>
      <c r="P552" s="71" t="s">
        <v>275</v>
      </c>
      <c r="Q552" s="88">
        <v>3.3791827580201099E-2</v>
      </c>
      <c r="R552" s="89" t="s">
        <v>276</v>
      </c>
      <c r="S552" s="89"/>
      <c r="T552">
        <v>10.6</v>
      </c>
      <c r="U552" s="76">
        <v>0.2</v>
      </c>
      <c r="V552">
        <v>9.6</v>
      </c>
      <c r="W552" s="90">
        <v>0.1</v>
      </c>
      <c r="X552" s="90"/>
      <c r="Y552" s="71"/>
      <c r="Z552" s="71"/>
      <c r="AA552" s="71"/>
      <c r="AB552" s="71"/>
      <c r="AC552" s="71"/>
      <c r="AD552" s="71"/>
      <c r="AE552" s="71"/>
      <c r="AF552" s="71"/>
      <c r="AG552" s="82">
        <v>1.7</v>
      </c>
      <c r="AH552" s="76"/>
      <c r="AI552" s="76"/>
      <c r="AJ552" s="76"/>
      <c r="AK552" s="71">
        <v>0.15</v>
      </c>
      <c r="AL552" s="88">
        <v>3.441511295928E-2</v>
      </c>
      <c r="AM552" s="89">
        <f t="shared" si="8"/>
        <v>0.22943408639520002</v>
      </c>
      <c r="AN552" s="78"/>
    </row>
    <row r="553" spans="1:40" x14ac:dyDescent="0.25">
      <c r="A553" t="s">
        <v>44</v>
      </c>
      <c r="B553" t="s">
        <v>45</v>
      </c>
      <c r="C553" s="121" t="s">
        <v>174</v>
      </c>
      <c r="D553" t="s">
        <v>189</v>
      </c>
      <c r="E553" t="s">
        <v>57</v>
      </c>
      <c r="F553">
        <v>2</v>
      </c>
      <c r="G553">
        <v>59</v>
      </c>
      <c r="H553" s="86">
        <v>45962.780742986099</v>
      </c>
      <c r="I553" s="86">
        <v>45962.852923020801</v>
      </c>
      <c r="J553" s="87">
        <v>1.73232083333333</v>
      </c>
      <c r="K553" s="69" t="s">
        <v>274</v>
      </c>
      <c r="L553" s="69"/>
      <c r="M553" s="71"/>
      <c r="N553" s="71"/>
      <c r="O553" s="71"/>
      <c r="P553" s="71" t="s">
        <v>275</v>
      </c>
      <c r="Q553" s="88">
        <v>3.7939082372355201E-2</v>
      </c>
      <c r="R553" s="89" t="s">
        <v>276</v>
      </c>
      <c r="S553" s="89"/>
      <c r="T553">
        <v>10.4</v>
      </c>
      <c r="U553" s="76">
        <v>0.2</v>
      </c>
      <c r="V553">
        <v>9.6999999999999993</v>
      </c>
      <c r="W553" s="90">
        <v>0.1</v>
      </c>
      <c r="X553" s="90"/>
      <c r="Y553" s="71"/>
      <c r="Z553" s="71"/>
      <c r="AA553" s="71"/>
      <c r="AB553" s="71"/>
      <c r="AC553" s="71"/>
      <c r="AD553" s="71"/>
      <c r="AE553" s="71"/>
      <c r="AF553" s="71"/>
      <c r="AG553" s="82">
        <v>0</v>
      </c>
      <c r="AH553" s="76"/>
      <c r="AI553" s="76"/>
      <c r="AJ553" s="76"/>
      <c r="AK553" s="71">
        <v>0.15</v>
      </c>
      <c r="AL553" s="88">
        <v>3.441511295928E-2</v>
      </c>
      <c r="AM553" s="89">
        <f t="shared" si="8"/>
        <v>0.22943408639520002</v>
      </c>
      <c r="AN553" s="78"/>
    </row>
    <row r="554" spans="1:40" x14ac:dyDescent="0.25">
      <c r="A554" t="s">
        <v>44</v>
      </c>
      <c r="B554" t="s">
        <v>45</v>
      </c>
      <c r="C554" s="121" t="s">
        <v>174</v>
      </c>
      <c r="D554" t="s">
        <v>189</v>
      </c>
      <c r="E554" t="s">
        <v>57</v>
      </c>
      <c r="F554">
        <v>2</v>
      </c>
      <c r="G554">
        <v>60</v>
      </c>
      <c r="H554" s="86">
        <v>45962.852923020801</v>
      </c>
      <c r="I554" s="86">
        <v>45962.925106215298</v>
      </c>
      <c r="J554" s="87">
        <v>1.7323966666666699</v>
      </c>
      <c r="K554" s="69" t="s">
        <v>274</v>
      </c>
      <c r="L554" s="69"/>
      <c r="M554" s="71"/>
      <c r="N554" s="71"/>
      <c r="O554" s="71"/>
      <c r="P554" s="71" t="s">
        <v>275</v>
      </c>
      <c r="Q554" s="88">
        <v>4.0568603257335002E-2</v>
      </c>
      <c r="R554" s="89" t="s">
        <v>276</v>
      </c>
      <c r="S554" s="89"/>
      <c r="T554">
        <v>10.4</v>
      </c>
      <c r="U554" s="76">
        <v>0.2</v>
      </c>
      <c r="V554">
        <v>9.6999999999999993</v>
      </c>
      <c r="W554" s="90">
        <v>0.1</v>
      </c>
      <c r="X554" s="90"/>
      <c r="Y554" s="71"/>
      <c r="Z554" s="71"/>
      <c r="AA554" s="71"/>
      <c r="AB554" s="71"/>
      <c r="AC554" s="71"/>
      <c r="AD554" s="71"/>
      <c r="AE554" s="71"/>
      <c r="AF554" s="71"/>
      <c r="AG554" s="82">
        <v>0</v>
      </c>
      <c r="AH554" s="76"/>
      <c r="AI554" s="76"/>
      <c r="AJ554" s="76"/>
      <c r="AK554" s="71">
        <v>0.15</v>
      </c>
      <c r="AL554" s="88">
        <v>3.441511295928E-2</v>
      </c>
      <c r="AM554" s="89">
        <f t="shared" si="8"/>
        <v>0.22943408639520002</v>
      </c>
      <c r="AN554" s="78"/>
    </row>
    <row r="555" spans="1:40" x14ac:dyDescent="0.25">
      <c r="A555" t="s">
        <v>44</v>
      </c>
      <c r="B555" t="s">
        <v>45</v>
      </c>
      <c r="C555" s="121" t="s">
        <v>174</v>
      </c>
      <c r="D555" t="s">
        <v>189</v>
      </c>
      <c r="E555" t="s">
        <v>57</v>
      </c>
      <c r="F555">
        <v>2</v>
      </c>
      <c r="G555">
        <v>61</v>
      </c>
      <c r="H555" s="86">
        <v>45962.925106215298</v>
      </c>
      <c r="I555" s="86">
        <v>45962.997280937503</v>
      </c>
      <c r="J555" s="87">
        <v>1.7321933333333299</v>
      </c>
      <c r="K555" s="69" t="s">
        <v>274</v>
      </c>
      <c r="L555" s="69"/>
      <c r="M555" s="71"/>
      <c r="N555" s="71"/>
      <c r="O555" s="71"/>
      <c r="P555" s="71" t="s">
        <v>275</v>
      </c>
      <c r="Q555" s="88">
        <v>4.3379689516200699E-2</v>
      </c>
      <c r="R555" s="89" t="s">
        <v>276</v>
      </c>
      <c r="S555" s="89"/>
      <c r="T555">
        <v>10</v>
      </c>
      <c r="U555" s="76">
        <v>0.2</v>
      </c>
      <c r="V555">
        <v>9.8000000000000007</v>
      </c>
      <c r="W555" s="90">
        <v>0.1</v>
      </c>
      <c r="X555" s="90"/>
      <c r="Y555" s="71"/>
      <c r="Z555" s="71"/>
      <c r="AA555" s="71"/>
      <c r="AB555" s="71"/>
      <c r="AC555" s="71"/>
      <c r="AD555" s="71"/>
      <c r="AE555" s="71"/>
      <c r="AF555" s="71"/>
      <c r="AG555" s="82">
        <v>0.2</v>
      </c>
      <c r="AH555" s="76"/>
      <c r="AI555" s="76"/>
      <c r="AJ555" s="76"/>
      <c r="AK555" s="71">
        <v>0.15</v>
      </c>
      <c r="AL555" s="88">
        <v>3.441511295928E-2</v>
      </c>
      <c r="AM555" s="89">
        <f t="shared" si="8"/>
        <v>0.22943408639520002</v>
      </c>
      <c r="AN555" s="78"/>
    </row>
    <row r="556" spans="1:40" x14ac:dyDescent="0.25">
      <c r="A556" t="s">
        <v>44</v>
      </c>
      <c r="B556" t="s">
        <v>45</v>
      </c>
      <c r="C556" s="121" t="s">
        <v>174</v>
      </c>
      <c r="D556" t="s">
        <v>189</v>
      </c>
      <c r="E556" t="s">
        <v>57</v>
      </c>
      <c r="F556">
        <v>2</v>
      </c>
      <c r="G556">
        <v>62</v>
      </c>
      <c r="H556" s="86">
        <v>45962.997280937503</v>
      </c>
      <c r="I556" s="86">
        <v>45963.141667962998</v>
      </c>
      <c r="J556" s="87">
        <v>3.4652886111111099</v>
      </c>
      <c r="K556" s="69" t="s">
        <v>274</v>
      </c>
      <c r="L556" s="69"/>
      <c r="M556" s="71"/>
      <c r="N556" s="71"/>
      <c r="O556" s="71"/>
      <c r="P556" s="71" t="s">
        <v>275</v>
      </c>
      <c r="Q556" s="88">
        <v>2.9734890129353798E-2</v>
      </c>
      <c r="R556" s="89" t="s">
        <v>276</v>
      </c>
      <c r="S556" s="89"/>
      <c r="T556">
        <v>9.1</v>
      </c>
      <c r="U556" s="76">
        <v>0.2</v>
      </c>
      <c r="V556">
        <v>9.8000000000000007</v>
      </c>
      <c r="W556" s="90">
        <v>0.1</v>
      </c>
      <c r="X556" s="90"/>
      <c r="Y556" s="71"/>
      <c r="Z556" s="71"/>
      <c r="AA556" s="71"/>
      <c r="AB556" s="71"/>
      <c r="AC556" s="71"/>
      <c r="AD556" s="71"/>
      <c r="AE556" s="71"/>
      <c r="AF556" s="71"/>
      <c r="AG556" s="82">
        <v>0</v>
      </c>
      <c r="AH556" s="76"/>
      <c r="AI556" s="76"/>
      <c r="AJ556" s="76"/>
      <c r="AK556" s="71">
        <v>0.15</v>
      </c>
      <c r="AL556" s="88">
        <v>3.441511295928E-2</v>
      </c>
      <c r="AM556" s="89">
        <f t="shared" si="8"/>
        <v>0.22943408639520002</v>
      </c>
      <c r="AN556" s="78"/>
    </row>
    <row r="557" spans="1:40" x14ac:dyDescent="0.25">
      <c r="A557" t="s">
        <v>44</v>
      </c>
      <c r="B557" t="s">
        <v>45</v>
      </c>
      <c r="C557" s="121" t="s">
        <v>174</v>
      </c>
      <c r="D557" t="s">
        <v>189</v>
      </c>
      <c r="E557" t="s">
        <v>57</v>
      </c>
      <c r="F557">
        <v>2</v>
      </c>
      <c r="G557">
        <v>63</v>
      </c>
      <c r="H557" s="86">
        <v>45963.141667962998</v>
      </c>
      <c r="I557" s="86">
        <v>45963.213848645799</v>
      </c>
      <c r="J557" s="87">
        <v>1.7323363888888901</v>
      </c>
      <c r="K557" s="69" t="s">
        <v>274</v>
      </c>
      <c r="L557" s="69"/>
      <c r="M557" s="71"/>
      <c r="N557" s="71"/>
      <c r="O557" s="71"/>
      <c r="P557" s="71" t="s">
        <v>275</v>
      </c>
      <c r="Q557" s="88">
        <v>2.6397663864582199E-2</v>
      </c>
      <c r="R557" s="89" t="s">
        <v>276</v>
      </c>
      <c r="S557" s="89"/>
      <c r="T557">
        <v>8.1</v>
      </c>
      <c r="U557" s="76">
        <v>0.2</v>
      </c>
      <c r="V557">
        <v>9.6999999999999993</v>
      </c>
      <c r="W557" s="90">
        <v>0.1</v>
      </c>
      <c r="X557" s="90"/>
      <c r="Y557" s="71"/>
      <c r="Z557" s="71"/>
      <c r="AA557" s="71"/>
      <c r="AB557" s="71"/>
      <c r="AC557" s="71"/>
      <c r="AD557" s="71"/>
      <c r="AE557" s="71"/>
      <c r="AF557" s="71"/>
      <c r="AG557" s="82">
        <v>0</v>
      </c>
      <c r="AH557" s="76"/>
      <c r="AI557" s="76"/>
      <c r="AJ557" s="76"/>
      <c r="AK557" s="71">
        <v>0.15</v>
      </c>
      <c r="AL557" s="88">
        <v>3.441511295928E-2</v>
      </c>
      <c r="AM557" s="89">
        <f t="shared" si="8"/>
        <v>0.22943408639520002</v>
      </c>
      <c r="AN557" s="78"/>
    </row>
    <row r="558" spans="1:40" x14ac:dyDescent="0.25">
      <c r="A558" t="s">
        <v>44</v>
      </c>
      <c r="B558" t="s">
        <v>45</v>
      </c>
      <c r="C558" s="121" t="s">
        <v>174</v>
      </c>
      <c r="D558" t="s">
        <v>189</v>
      </c>
      <c r="E558" t="s">
        <v>57</v>
      </c>
      <c r="F558">
        <v>2</v>
      </c>
      <c r="G558">
        <v>64</v>
      </c>
      <c r="H558" s="86">
        <v>45963.213848645799</v>
      </c>
      <c r="I558" s="86">
        <v>45963.286033807897</v>
      </c>
      <c r="J558" s="87">
        <v>1.73244388888889</v>
      </c>
      <c r="K558" s="69" t="s">
        <v>274</v>
      </c>
      <c r="L558" s="69"/>
      <c r="M558" s="71"/>
      <c r="N558" s="71"/>
      <c r="O558" s="71"/>
      <c r="P558" s="71" t="s">
        <v>275</v>
      </c>
      <c r="Q558" s="88">
        <v>2.69924409731735E-2</v>
      </c>
      <c r="R558" s="89" t="s">
        <v>276</v>
      </c>
      <c r="S558" s="89"/>
      <c r="T558">
        <v>8.1999999999999993</v>
      </c>
      <c r="U558" s="76">
        <v>0.2</v>
      </c>
      <c r="V558">
        <v>9.6999999999999993</v>
      </c>
      <c r="W558" s="90">
        <v>0.1</v>
      </c>
      <c r="X558" s="90"/>
      <c r="Y558" s="71"/>
      <c r="Z558" s="71"/>
      <c r="AA558" s="71"/>
      <c r="AB558" s="71"/>
      <c r="AC558" s="71"/>
      <c r="AD558" s="71"/>
      <c r="AE558" s="71"/>
      <c r="AF558" s="71"/>
      <c r="AG558" s="82">
        <v>0</v>
      </c>
      <c r="AH558" s="76"/>
      <c r="AI558" s="76"/>
      <c r="AJ558" s="76"/>
      <c r="AK558" s="71">
        <v>0.15</v>
      </c>
      <c r="AL558" s="88">
        <v>3.441511295928E-2</v>
      </c>
      <c r="AM558" s="89">
        <f t="shared" si="8"/>
        <v>0.22943408639520002</v>
      </c>
      <c r="AN558" s="78"/>
    </row>
    <row r="559" spans="1:40" x14ac:dyDescent="0.25">
      <c r="A559" t="s">
        <v>44</v>
      </c>
      <c r="B559" t="s">
        <v>45</v>
      </c>
      <c r="C559" s="121" t="s">
        <v>174</v>
      </c>
      <c r="D559" t="s">
        <v>189</v>
      </c>
      <c r="E559" t="s">
        <v>57</v>
      </c>
      <c r="F559">
        <v>2</v>
      </c>
      <c r="G559">
        <v>65</v>
      </c>
      <c r="H559" s="86">
        <v>45963.286033807897</v>
      </c>
      <c r="I559" s="86">
        <v>45963.358205787001</v>
      </c>
      <c r="J559" s="87">
        <v>1.7321275</v>
      </c>
      <c r="K559" s="69" t="s">
        <v>274</v>
      </c>
      <c r="L559" s="69"/>
      <c r="M559" s="71"/>
      <c r="N559" s="71"/>
      <c r="O559" s="71"/>
      <c r="P559" s="71" t="s">
        <v>275</v>
      </c>
      <c r="Q559" s="88">
        <v>2.6867194466431502E-2</v>
      </c>
      <c r="R559" s="89" t="s">
        <v>276</v>
      </c>
      <c r="S559" s="89"/>
      <c r="T559">
        <v>8.9</v>
      </c>
      <c r="U559" s="76">
        <v>0.2</v>
      </c>
      <c r="V559">
        <v>9.6</v>
      </c>
      <c r="W559" s="90">
        <v>0.1</v>
      </c>
      <c r="X559" s="90"/>
      <c r="Y559" s="71"/>
      <c r="Z559" s="71"/>
      <c r="AA559" s="71"/>
      <c r="AB559" s="71"/>
      <c r="AC559" s="71"/>
      <c r="AD559" s="71"/>
      <c r="AE559" s="71"/>
      <c r="AF559" s="71"/>
      <c r="AG559" s="82">
        <v>2.6</v>
      </c>
      <c r="AH559" s="76"/>
      <c r="AI559" s="76"/>
      <c r="AJ559" s="76"/>
      <c r="AK559" s="71">
        <v>0.15</v>
      </c>
      <c r="AL559" s="88">
        <v>3.441511295928E-2</v>
      </c>
      <c r="AM559" s="89">
        <f t="shared" si="8"/>
        <v>0.22943408639520002</v>
      </c>
      <c r="AN559" s="78"/>
    </row>
    <row r="560" spans="1:40" x14ac:dyDescent="0.25">
      <c r="A560" t="s">
        <v>44</v>
      </c>
      <c r="B560" t="s">
        <v>45</v>
      </c>
      <c r="C560" s="121" t="s">
        <v>174</v>
      </c>
      <c r="D560" t="s">
        <v>189</v>
      </c>
      <c r="E560" t="s">
        <v>57</v>
      </c>
      <c r="F560">
        <v>2</v>
      </c>
      <c r="G560">
        <v>66</v>
      </c>
      <c r="H560" s="86">
        <v>45963.358205787001</v>
      </c>
      <c r="I560" s="86">
        <v>45963.4303881019</v>
      </c>
      <c r="J560" s="87">
        <v>1.73237555555556</v>
      </c>
      <c r="K560" s="69" t="s">
        <v>274</v>
      </c>
      <c r="L560" s="69"/>
      <c r="M560" s="71"/>
      <c r="N560" s="71"/>
      <c r="O560" s="71"/>
      <c r="P560" s="71" t="s">
        <v>275</v>
      </c>
      <c r="Q560" s="88">
        <v>2.8683614139559801E-2</v>
      </c>
      <c r="R560" s="89" t="s">
        <v>276</v>
      </c>
      <c r="S560" s="89"/>
      <c r="T560">
        <v>8.9</v>
      </c>
      <c r="U560" s="76">
        <v>0.2</v>
      </c>
      <c r="V560">
        <v>9.6</v>
      </c>
      <c r="W560" s="90">
        <v>0.1</v>
      </c>
      <c r="X560" s="90"/>
      <c r="Y560" s="71"/>
      <c r="Z560" s="71"/>
      <c r="AA560" s="71"/>
      <c r="AB560" s="71"/>
      <c r="AC560" s="71"/>
      <c r="AD560" s="71"/>
      <c r="AE560" s="71"/>
      <c r="AF560" s="71"/>
      <c r="AG560" s="82">
        <v>0</v>
      </c>
      <c r="AH560" s="76"/>
      <c r="AI560" s="76"/>
      <c r="AJ560" s="76"/>
      <c r="AK560" s="71">
        <v>0.15</v>
      </c>
      <c r="AL560" s="88">
        <v>3.441511295928E-2</v>
      </c>
      <c r="AM560" s="89">
        <f t="shared" si="8"/>
        <v>0.22943408639520002</v>
      </c>
      <c r="AN560" s="78"/>
    </row>
    <row r="561" spans="1:40" x14ac:dyDescent="0.25">
      <c r="A561" t="s">
        <v>44</v>
      </c>
      <c r="B561" t="s">
        <v>45</v>
      </c>
      <c r="C561" s="121" t="s">
        <v>174</v>
      </c>
      <c r="D561" t="s">
        <v>189</v>
      </c>
      <c r="E561" t="s">
        <v>57</v>
      </c>
      <c r="F561">
        <v>2</v>
      </c>
      <c r="G561">
        <v>67</v>
      </c>
      <c r="H561" s="86">
        <v>45963.4303881019</v>
      </c>
      <c r="I561" s="86">
        <v>45963.502581504603</v>
      </c>
      <c r="J561" s="87">
        <v>1.73264166666667</v>
      </c>
      <c r="K561" s="69" t="s">
        <v>274</v>
      </c>
      <c r="L561" s="69"/>
      <c r="M561" s="71"/>
      <c r="N561" s="71"/>
      <c r="O561" s="71"/>
      <c r="P561" s="71" t="s">
        <v>275</v>
      </c>
      <c r="Q561" s="88">
        <v>9.1956081505852799E-2</v>
      </c>
      <c r="R561" s="89" t="s">
        <v>276</v>
      </c>
      <c r="S561" s="89"/>
      <c r="T561">
        <v>10</v>
      </c>
      <c r="U561" s="76">
        <v>0.2</v>
      </c>
      <c r="V561">
        <v>9.6</v>
      </c>
      <c r="W561" s="90">
        <v>0.1</v>
      </c>
      <c r="X561" s="90"/>
      <c r="Y561" s="71"/>
      <c r="Z561" s="71"/>
      <c r="AA561" s="71"/>
      <c r="AB561" s="71"/>
      <c r="AC561" s="71"/>
      <c r="AD561" s="71"/>
      <c r="AE561" s="71"/>
      <c r="AF561" s="71"/>
      <c r="AG561" s="82">
        <v>0</v>
      </c>
      <c r="AH561" s="76"/>
      <c r="AI561" s="76"/>
      <c r="AJ561" s="76"/>
      <c r="AK561" s="71">
        <v>0.15</v>
      </c>
      <c r="AL561" s="88">
        <v>3.441511295928E-2</v>
      </c>
      <c r="AM561" s="89">
        <f t="shared" si="8"/>
        <v>0.22943408639520002</v>
      </c>
      <c r="AN561" s="78"/>
    </row>
    <row r="562" spans="1:40" x14ac:dyDescent="0.25">
      <c r="A562" t="s">
        <v>44</v>
      </c>
      <c r="B562" t="s">
        <v>45</v>
      </c>
      <c r="C562" s="121" t="s">
        <v>174</v>
      </c>
      <c r="D562" t="s">
        <v>189</v>
      </c>
      <c r="E562" t="s">
        <v>57</v>
      </c>
      <c r="F562">
        <v>2</v>
      </c>
      <c r="G562">
        <v>68</v>
      </c>
      <c r="H562" s="86">
        <v>45963.502581504603</v>
      </c>
      <c r="I562" s="86">
        <v>45963.574766643498</v>
      </c>
      <c r="J562" s="87">
        <v>1.73244333333333</v>
      </c>
      <c r="K562" s="69" t="s">
        <v>274</v>
      </c>
      <c r="L562" s="69"/>
      <c r="M562" s="71"/>
      <c r="N562" s="71"/>
      <c r="O562" s="71"/>
      <c r="P562" s="71" t="s">
        <v>275</v>
      </c>
      <c r="Q562" s="88">
        <v>9.5764022612252406E-2</v>
      </c>
      <c r="R562" s="89" t="s">
        <v>276</v>
      </c>
      <c r="S562" s="89"/>
      <c r="T562">
        <v>12.6</v>
      </c>
      <c r="U562" s="76">
        <v>0.2</v>
      </c>
      <c r="V562">
        <v>9.6999999999999993</v>
      </c>
      <c r="W562" s="90">
        <v>0.1</v>
      </c>
      <c r="X562" s="90"/>
      <c r="Y562" s="71"/>
      <c r="Z562" s="71"/>
      <c r="AA562" s="71"/>
      <c r="AB562" s="71"/>
      <c r="AC562" s="71"/>
      <c r="AD562" s="71"/>
      <c r="AE562" s="71"/>
      <c r="AF562" s="71"/>
      <c r="AG562" s="82">
        <v>0</v>
      </c>
      <c r="AH562" s="76"/>
      <c r="AI562" s="76"/>
      <c r="AJ562" s="76"/>
      <c r="AK562" s="71">
        <v>0.15</v>
      </c>
      <c r="AL562" s="88">
        <v>3.441511295928E-2</v>
      </c>
      <c r="AM562" s="89">
        <f t="shared" si="8"/>
        <v>0.22943408639520002</v>
      </c>
      <c r="AN562" s="78"/>
    </row>
    <row r="563" spans="1:40" x14ac:dyDescent="0.25">
      <c r="A563" t="s">
        <v>44</v>
      </c>
      <c r="B563" t="s">
        <v>45</v>
      </c>
      <c r="C563" s="121" t="s">
        <v>174</v>
      </c>
      <c r="D563" t="s">
        <v>189</v>
      </c>
      <c r="E563" t="s">
        <v>57</v>
      </c>
      <c r="F563">
        <v>2</v>
      </c>
      <c r="G563">
        <v>69</v>
      </c>
      <c r="H563" s="86">
        <v>45963.574766643498</v>
      </c>
      <c r="I563" s="86">
        <v>45963.646954294003</v>
      </c>
      <c r="J563" s="87">
        <v>1.7325036111111101</v>
      </c>
      <c r="K563" s="69" t="s">
        <v>274</v>
      </c>
      <c r="L563" s="69"/>
      <c r="M563" s="71"/>
      <c r="N563" s="71"/>
      <c r="O563" s="71"/>
      <c r="P563" s="71" t="s">
        <v>275</v>
      </c>
      <c r="Q563" s="88">
        <v>6.6900248713143595E-2</v>
      </c>
      <c r="R563" s="89" t="s">
        <v>276</v>
      </c>
      <c r="S563" s="89"/>
      <c r="T563">
        <v>12.2</v>
      </c>
      <c r="U563" s="76">
        <v>0.2</v>
      </c>
      <c r="V563">
        <v>9.9</v>
      </c>
      <c r="W563" s="90">
        <v>0.1</v>
      </c>
      <c r="X563" s="90"/>
      <c r="Y563" s="71"/>
      <c r="Z563" s="71"/>
      <c r="AA563" s="71"/>
      <c r="AB563" s="71"/>
      <c r="AC563" s="71"/>
      <c r="AD563" s="71"/>
      <c r="AE563" s="71"/>
      <c r="AF563" s="71"/>
      <c r="AG563" s="82">
        <v>0</v>
      </c>
      <c r="AH563" s="76"/>
      <c r="AI563" s="76"/>
      <c r="AJ563" s="76"/>
      <c r="AK563" s="71">
        <v>0.15</v>
      </c>
      <c r="AL563" s="88">
        <v>3.441511295928E-2</v>
      </c>
      <c r="AM563" s="89">
        <f t="shared" si="8"/>
        <v>0.22943408639520002</v>
      </c>
      <c r="AN563" s="78"/>
    </row>
    <row r="564" spans="1:40" x14ac:dyDescent="0.25">
      <c r="A564" t="s">
        <v>44</v>
      </c>
      <c r="B564" t="s">
        <v>45</v>
      </c>
      <c r="C564" s="121" t="s">
        <v>174</v>
      </c>
      <c r="D564" t="s">
        <v>189</v>
      </c>
      <c r="E564" t="s">
        <v>57</v>
      </c>
      <c r="F564">
        <v>2</v>
      </c>
      <c r="G564">
        <v>70</v>
      </c>
      <c r="H564" s="86">
        <v>45963.646954294003</v>
      </c>
      <c r="I564" s="86">
        <v>45963.719139444504</v>
      </c>
      <c r="J564" s="87">
        <v>1.7324436111111099</v>
      </c>
      <c r="K564" s="69" t="s">
        <v>274</v>
      </c>
      <c r="L564" s="69"/>
      <c r="M564" s="71"/>
      <c r="N564" s="71"/>
      <c r="O564" s="71"/>
      <c r="P564" s="71" t="s">
        <v>275</v>
      </c>
      <c r="Q564" s="88">
        <v>3.4658031306358597E-2</v>
      </c>
      <c r="R564" s="89" t="s">
        <v>276</v>
      </c>
      <c r="S564" s="89"/>
      <c r="T564">
        <v>9.1999999999999993</v>
      </c>
      <c r="U564" s="76">
        <v>0.2</v>
      </c>
      <c r="V564">
        <v>10.1</v>
      </c>
      <c r="W564" s="90">
        <v>0.1</v>
      </c>
      <c r="X564" s="90"/>
      <c r="Y564" s="71"/>
      <c r="Z564" s="71"/>
      <c r="AA564" s="71"/>
      <c r="AB564" s="71"/>
      <c r="AC564" s="71"/>
      <c r="AD564" s="71"/>
      <c r="AE564" s="71"/>
      <c r="AF564" s="71"/>
      <c r="AG564" s="82">
        <v>0</v>
      </c>
      <c r="AH564" s="76"/>
      <c r="AI564" s="76"/>
      <c r="AJ564" s="76"/>
      <c r="AK564" s="71">
        <v>0.15</v>
      </c>
      <c r="AL564" s="88">
        <v>3.441511295928E-2</v>
      </c>
      <c r="AM564" s="89">
        <f t="shared" si="8"/>
        <v>0.22943408639520002</v>
      </c>
      <c r="AN564" s="78"/>
    </row>
    <row r="565" spans="1:40" x14ac:dyDescent="0.25">
      <c r="A565" t="s">
        <v>44</v>
      </c>
      <c r="B565" t="s">
        <v>45</v>
      </c>
      <c r="C565" s="121" t="s">
        <v>174</v>
      </c>
      <c r="D565" t="s">
        <v>189</v>
      </c>
      <c r="E565" t="s">
        <v>57</v>
      </c>
      <c r="F565">
        <v>2</v>
      </c>
      <c r="G565">
        <v>71</v>
      </c>
      <c r="H565" s="86">
        <v>45963.719139444504</v>
      </c>
      <c r="I565" s="86">
        <v>45963.791317905103</v>
      </c>
      <c r="J565" s="87">
        <v>1.7322830555555599</v>
      </c>
      <c r="K565" s="69" t="s">
        <v>274</v>
      </c>
      <c r="L565" s="69"/>
      <c r="M565" s="71"/>
      <c r="N565" s="71"/>
      <c r="O565" s="71"/>
      <c r="P565" s="71" t="s">
        <v>275</v>
      </c>
      <c r="Q565" s="88">
        <v>1.49681615753818E-2</v>
      </c>
      <c r="R565" s="89" t="s">
        <v>276</v>
      </c>
      <c r="S565" s="89"/>
      <c r="T565">
        <v>6.4</v>
      </c>
      <c r="U565" s="76">
        <v>0.2</v>
      </c>
      <c r="V565">
        <v>10.199999999999999</v>
      </c>
      <c r="W565" s="90">
        <v>0.1</v>
      </c>
      <c r="X565" s="90"/>
      <c r="Y565" s="71"/>
      <c r="Z565" s="71"/>
      <c r="AA565" s="71"/>
      <c r="AB565" s="71"/>
      <c r="AC565" s="71"/>
      <c r="AD565" s="71"/>
      <c r="AE565" s="71"/>
      <c r="AF565" s="71"/>
      <c r="AG565" s="82">
        <v>0</v>
      </c>
      <c r="AH565" s="76"/>
      <c r="AI565" s="76"/>
      <c r="AJ565" s="76"/>
      <c r="AK565" s="71">
        <v>0.15</v>
      </c>
      <c r="AL565" s="88">
        <v>3.441511295928E-2</v>
      </c>
      <c r="AM565" s="89">
        <f t="shared" si="8"/>
        <v>0.22943408639520002</v>
      </c>
      <c r="AN565" s="78"/>
    </row>
    <row r="566" spans="1:40" x14ac:dyDescent="0.25">
      <c r="A566" t="s">
        <v>44</v>
      </c>
      <c r="B566" t="s">
        <v>45</v>
      </c>
      <c r="C566" s="121" t="s">
        <v>174</v>
      </c>
      <c r="D566" t="s">
        <v>189</v>
      </c>
      <c r="E566" t="s">
        <v>57</v>
      </c>
      <c r="F566">
        <v>2</v>
      </c>
      <c r="G566">
        <v>72</v>
      </c>
      <c r="H566" s="86">
        <v>45963.791317905103</v>
      </c>
      <c r="I566" s="86">
        <v>45963.863504641202</v>
      </c>
      <c r="J566" s="87">
        <v>1.73248166666667</v>
      </c>
      <c r="K566" s="69" t="s">
        <v>274</v>
      </c>
      <c r="L566" s="69"/>
      <c r="M566" s="71"/>
      <c r="N566" s="71"/>
      <c r="O566" s="71"/>
      <c r="P566" s="71" t="s">
        <v>275</v>
      </c>
      <c r="Q566" s="88">
        <v>8.7566041651220804E-3</v>
      </c>
      <c r="R566" s="89" t="s">
        <v>276</v>
      </c>
      <c r="S566" s="89"/>
      <c r="T566">
        <v>5.8</v>
      </c>
      <c r="U566" s="76">
        <v>0.2</v>
      </c>
      <c r="V566">
        <v>10</v>
      </c>
      <c r="W566" s="90">
        <v>0.1</v>
      </c>
      <c r="X566" s="90"/>
      <c r="Y566" s="71"/>
      <c r="Z566" s="71"/>
      <c r="AA566" s="71"/>
      <c r="AB566" s="71"/>
      <c r="AC566" s="71"/>
      <c r="AD566" s="71"/>
      <c r="AE566" s="71"/>
      <c r="AF566" s="71"/>
      <c r="AG566" s="82">
        <v>0</v>
      </c>
      <c r="AH566" s="76"/>
      <c r="AI566" s="76"/>
      <c r="AJ566" s="76"/>
      <c r="AK566" s="71">
        <v>0.15</v>
      </c>
      <c r="AL566" s="88">
        <v>3.441511295928E-2</v>
      </c>
      <c r="AM566" s="89">
        <f t="shared" si="8"/>
        <v>0.22943408639520002</v>
      </c>
      <c r="AN566" s="78"/>
    </row>
    <row r="567" spans="1:40" x14ac:dyDescent="0.25">
      <c r="A567" t="s">
        <v>44</v>
      </c>
      <c r="B567" t="s">
        <v>45</v>
      </c>
      <c r="C567" s="121" t="s">
        <v>174</v>
      </c>
      <c r="D567" t="s">
        <v>189</v>
      </c>
      <c r="E567" t="s">
        <v>57</v>
      </c>
      <c r="F567">
        <v>2</v>
      </c>
      <c r="G567">
        <v>73</v>
      </c>
      <c r="H567" s="86">
        <v>45963.863504641202</v>
      </c>
      <c r="I567" s="86">
        <v>45963.935692500003</v>
      </c>
      <c r="J567" s="87">
        <v>1.7325086111111101</v>
      </c>
      <c r="K567" s="69" t="s">
        <v>274</v>
      </c>
      <c r="L567" s="69"/>
      <c r="M567" s="71"/>
      <c r="N567" s="71"/>
      <c r="O567" s="71"/>
      <c r="P567" s="71" t="s">
        <v>275</v>
      </c>
      <c r="Q567" s="88">
        <v>5.9609460779769504E-3</v>
      </c>
      <c r="R567" s="89" t="s">
        <v>276</v>
      </c>
      <c r="S567" s="89"/>
      <c r="T567">
        <v>7.2</v>
      </c>
      <c r="U567" s="76">
        <v>0.2</v>
      </c>
      <c r="V567">
        <v>9.8000000000000007</v>
      </c>
      <c r="W567" s="90">
        <v>0.1</v>
      </c>
      <c r="X567" s="90"/>
      <c r="Y567" s="71"/>
      <c r="Z567" s="71"/>
      <c r="AA567" s="71"/>
      <c r="AB567" s="71"/>
      <c r="AC567" s="71"/>
      <c r="AD567" s="71"/>
      <c r="AE567" s="71"/>
      <c r="AF567" s="71"/>
      <c r="AG567" s="82">
        <v>0</v>
      </c>
      <c r="AH567" s="76"/>
      <c r="AI567" s="76"/>
      <c r="AJ567" s="76"/>
      <c r="AK567" s="71">
        <v>0.15</v>
      </c>
      <c r="AL567" s="88">
        <v>3.441511295928E-2</v>
      </c>
      <c r="AM567" s="89">
        <f t="shared" si="8"/>
        <v>0.22943408639520002</v>
      </c>
      <c r="AN567" s="78"/>
    </row>
    <row r="568" spans="1:40" x14ac:dyDescent="0.25">
      <c r="A568" t="s">
        <v>44</v>
      </c>
      <c r="B568" t="s">
        <v>45</v>
      </c>
      <c r="C568" s="121" t="s">
        <v>174</v>
      </c>
      <c r="D568" t="s">
        <v>189</v>
      </c>
      <c r="E568" t="s">
        <v>57</v>
      </c>
      <c r="F568">
        <v>2</v>
      </c>
      <c r="G568">
        <v>74</v>
      </c>
      <c r="H568" s="86">
        <v>45963.935692500003</v>
      </c>
      <c r="I568" s="86">
        <v>45964.007876006901</v>
      </c>
      <c r="J568" s="87">
        <v>1.7324041666666701</v>
      </c>
      <c r="K568" s="69" t="s">
        <v>274</v>
      </c>
      <c r="L568" s="69"/>
      <c r="M568" s="71"/>
      <c r="N568" s="71"/>
      <c r="O568" s="71"/>
      <c r="P568" s="71" t="s">
        <v>275</v>
      </c>
      <c r="Q568" s="88">
        <v>8.5109108008137695E-3</v>
      </c>
      <c r="R568" s="89" t="s">
        <v>276</v>
      </c>
      <c r="S568" s="89"/>
      <c r="T568">
        <v>6.7</v>
      </c>
      <c r="U568" s="76">
        <v>0.2</v>
      </c>
      <c r="V568">
        <v>9.6999999999999993</v>
      </c>
      <c r="W568" s="90">
        <v>0.1</v>
      </c>
      <c r="X568" s="90"/>
      <c r="Y568" s="71"/>
      <c r="Z568" s="71"/>
      <c r="AA568" s="71"/>
      <c r="AB568" s="71"/>
      <c r="AC568" s="71"/>
      <c r="AD568" s="71"/>
      <c r="AE568" s="71"/>
      <c r="AF568" s="71"/>
      <c r="AG568" s="82">
        <v>0</v>
      </c>
      <c r="AH568" s="76"/>
      <c r="AI568" s="76"/>
      <c r="AJ568" s="76"/>
      <c r="AK568" s="71">
        <v>0.15</v>
      </c>
      <c r="AL568" s="88">
        <v>3.441511295928E-2</v>
      </c>
      <c r="AM568" s="89">
        <f t="shared" si="8"/>
        <v>0.22943408639520002</v>
      </c>
      <c r="AN568" s="78"/>
    </row>
    <row r="569" spans="1:40" x14ac:dyDescent="0.25">
      <c r="A569" t="s">
        <v>44</v>
      </c>
      <c r="B569" t="s">
        <v>45</v>
      </c>
      <c r="C569" s="121" t="s">
        <v>174</v>
      </c>
      <c r="D569" t="s">
        <v>189</v>
      </c>
      <c r="E569" t="s">
        <v>57</v>
      </c>
      <c r="F569">
        <v>2</v>
      </c>
      <c r="G569">
        <v>75</v>
      </c>
      <c r="H569" s="86">
        <v>45964.007876006901</v>
      </c>
      <c r="I569" s="86">
        <v>45964.080057858802</v>
      </c>
      <c r="J569" s="87">
        <v>1.7323644444444399</v>
      </c>
      <c r="K569" s="69" t="s">
        <v>274</v>
      </c>
      <c r="L569" s="69"/>
      <c r="M569" s="71"/>
      <c r="N569" s="71"/>
      <c r="O569" s="71"/>
      <c r="P569" s="71" t="s">
        <v>275</v>
      </c>
      <c r="Q569" s="88">
        <v>9.4063908339567202E-3</v>
      </c>
      <c r="R569" s="89" t="s">
        <v>276</v>
      </c>
      <c r="S569" s="89"/>
      <c r="T569">
        <v>6.8</v>
      </c>
      <c r="U569" s="76">
        <v>0.2</v>
      </c>
      <c r="V569">
        <v>9.6</v>
      </c>
      <c r="W569" s="90">
        <v>0.1</v>
      </c>
      <c r="X569" s="90"/>
      <c r="Y569" s="71"/>
      <c r="Z569" s="71"/>
      <c r="AA569" s="71"/>
      <c r="AB569" s="71"/>
      <c r="AC569" s="71"/>
      <c r="AD569" s="71"/>
      <c r="AE569" s="71"/>
      <c r="AF569" s="71"/>
      <c r="AG569" s="82">
        <v>0</v>
      </c>
      <c r="AH569" s="76"/>
      <c r="AI569" s="76"/>
      <c r="AJ569" s="76"/>
      <c r="AK569" s="71">
        <v>0.15</v>
      </c>
      <c r="AL569" s="88">
        <v>3.441511295928E-2</v>
      </c>
      <c r="AM569" s="89">
        <f t="shared" si="8"/>
        <v>0.22943408639520002</v>
      </c>
      <c r="AN569" s="78"/>
    </row>
    <row r="570" spans="1:40" x14ac:dyDescent="0.25">
      <c r="A570" t="s">
        <v>44</v>
      </c>
      <c r="B570" t="s">
        <v>45</v>
      </c>
      <c r="C570" s="121" t="s">
        <v>174</v>
      </c>
      <c r="D570" t="s">
        <v>189</v>
      </c>
      <c r="E570" t="s">
        <v>57</v>
      </c>
      <c r="F570">
        <v>2</v>
      </c>
      <c r="G570">
        <v>76</v>
      </c>
      <c r="H570" s="86">
        <v>45964.080057858802</v>
      </c>
      <c r="I570" s="86">
        <v>45964.152241030097</v>
      </c>
      <c r="J570" s="87">
        <v>1.7323961111111099</v>
      </c>
      <c r="K570" s="69" t="s">
        <v>274</v>
      </c>
      <c r="L570" s="69"/>
      <c r="M570" s="71"/>
      <c r="N570" s="71"/>
      <c r="O570" s="71"/>
      <c r="P570" s="71" t="s">
        <v>275</v>
      </c>
      <c r="Q570" s="88">
        <v>1.1569309623365999E-2</v>
      </c>
      <c r="R570" s="89" t="s">
        <v>276</v>
      </c>
      <c r="S570" s="89"/>
      <c r="T570">
        <v>6.7</v>
      </c>
      <c r="U570" s="76">
        <v>0.2</v>
      </c>
      <c r="V570">
        <v>9.5</v>
      </c>
      <c r="W570" s="90">
        <v>0.1</v>
      </c>
      <c r="X570" s="90"/>
      <c r="Y570" s="71"/>
      <c r="Z570" s="71"/>
      <c r="AA570" s="71"/>
      <c r="AB570" s="71"/>
      <c r="AC570" s="71"/>
      <c r="AD570" s="71"/>
      <c r="AE570" s="71"/>
      <c r="AF570" s="71"/>
      <c r="AG570" s="82">
        <v>0</v>
      </c>
      <c r="AH570" s="76"/>
      <c r="AI570" s="76"/>
      <c r="AJ570" s="76"/>
      <c r="AK570" s="71">
        <v>0.15</v>
      </c>
      <c r="AL570" s="88">
        <v>3.441511295928E-2</v>
      </c>
      <c r="AM570" s="89">
        <f t="shared" si="8"/>
        <v>0.22943408639520002</v>
      </c>
      <c r="AN570" s="78"/>
    </row>
    <row r="571" spans="1:40" x14ac:dyDescent="0.25">
      <c r="A571" t="s">
        <v>44</v>
      </c>
      <c r="B571" t="s">
        <v>45</v>
      </c>
      <c r="C571" s="121" t="s">
        <v>174</v>
      </c>
      <c r="D571" t="s">
        <v>189</v>
      </c>
      <c r="E571" t="s">
        <v>57</v>
      </c>
      <c r="F571">
        <v>2</v>
      </c>
      <c r="G571">
        <v>77</v>
      </c>
      <c r="H571" s="86">
        <v>45964.152241030097</v>
      </c>
      <c r="I571" s="86">
        <v>45964.224420231498</v>
      </c>
      <c r="J571" s="87">
        <v>1.7323008333333301</v>
      </c>
      <c r="K571" s="69" t="s">
        <v>274</v>
      </c>
      <c r="L571" s="69"/>
      <c r="M571" s="71"/>
      <c r="N571" s="71"/>
      <c r="O571" s="71"/>
      <c r="P571" s="71" t="s">
        <v>275</v>
      </c>
      <c r="Q571" s="88">
        <v>1.4420950589307001E-2</v>
      </c>
      <c r="R571" s="89" t="s">
        <v>276</v>
      </c>
      <c r="S571" s="89"/>
      <c r="T571">
        <v>6.1</v>
      </c>
      <c r="U571" s="76">
        <v>0.2</v>
      </c>
      <c r="V571">
        <v>9.4</v>
      </c>
      <c r="W571" s="90">
        <v>0.1</v>
      </c>
      <c r="X571" s="90"/>
      <c r="Y571" s="71"/>
      <c r="Z571" s="71"/>
      <c r="AA571" s="71"/>
      <c r="AB571" s="71"/>
      <c r="AC571" s="71"/>
      <c r="AD571" s="71"/>
      <c r="AE571" s="71"/>
      <c r="AF571" s="71"/>
      <c r="AG571" s="82">
        <v>0</v>
      </c>
      <c r="AH571" s="76"/>
      <c r="AI571" s="76"/>
      <c r="AJ571" s="76"/>
      <c r="AK571" s="71">
        <v>0.15</v>
      </c>
      <c r="AL571" s="88">
        <v>3.441511295928E-2</v>
      </c>
      <c r="AM571" s="89">
        <f t="shared" si="8"/>
        <v>0.22943408639520002</v>
      </c>
      <c r="AN571" s="78"/>
    </row>
    <row r="572" spans="1:40" x14ac:dyDescent="0.25">
      <c r="A572" t="s">
        <v>44</v>
      </c>
      <c r="B572" t="s">
        <v>45</v>
      </c>
      <c r="C572" s="121" t="s">
        <v>174</v>
      </c>
      <c r="D572" t="s">
        <v>189</v>
      </c>
      <c r="E572" t="s">
        <v>57</v>
      </c>
      <c r="F572">
        <v>2</v>
      </c>
      <c r="G572">
        <v>78</v>
      </c>
      <c r="H572" s="86">
        <v>45964.224420231498</v>
      </c>
      <c r="I572" s="86">
        <v>45964.296615069397</v>
      </c>
      <c r="J572" s="87">
        <v>1.73267611111111</v>
      </c>
      <c r="K572" s="69" t="s">
        <v>274</v>
      </c>
      <c r="L572" s="69"/>
      <c r="M572" s="71"/>
      <c r="N572" s="71"/>
      <c r="O572" s="71"/>
      <c r="P572" s="71" t="s">
        <v>275</v>
      </c>
      <c r="Q572" s="88">
        <v>1.07312096576558E-2</v>
      </c>
      <c r="R572" s="89" t="s">
        <v>276</v>
      </c>
      <c r="S572" s="89"/>
      <c r="T572">
        <v>6.5</v>
      </c>
      <c r="U572" s="76">
        <v>0.2</v>
      </c>
      <c r="V572">
        <v>9.4</v>
      </c>
      <c r="W572" s="90">
        <v>0.1</v>
      </c>
      <c r="X572" s="90"/>
      <c r="Y572" s="71"/>
      <c r="Z572" s="71"/>
      <c r="AA572" s="71"/>
      <c r="AB572" s="71"/>
      <c r="AC572" s="71"/>
      <c r="AD572" s="71"/>
      <c r="AE572" s="71"/>
      <c r="AF572" s="71"/>
      <c r="AG572" s="82">
        <v>0</v>
      </c>
      <c r="AH572" s="76"/>
      <c r="AI572" s="76"/>
      <c r="AJ572" s="76"/>
      <c r="AK572" s="71">
        <v>0.15</v>
      </c>
      <c r="AL572" s="88">
        <v>3.441511295928E-2</v>
      </c>
      <c r="AM572" s="89">
        <f t="shared" si="8"/>
        <v>0.22943408639520002</v>
      </c>
      <c r="AN572" s="78"/>
    </row>
    <row r="573" spans="1:40" x14ac:dyDescent="0.25">
      <c r="A573" t="s">
        <v>44</v>
      </c>
      <c r="B573" t="s">
        <v>45</v>
      </c>
      <c r="C573" s="121" t="s">
        <v>174</v>
      </c>
      <c r="D573" t="s">
        <v>189</v>
      </c>
      <c r="E573" t="s">
        <v>57</v>
      </c>
      <c r="F573">
        <v>2</v>
      </c>
      <c r="G573">
        <v>79</v>
      </c>
      <c r="H573" s="86">
        <v>45964.296615069397</v>
      </c>
      <c r="I573" s="86">
        <v>45964.368803171303</v>
      </c>
      <c r="J573" s="87">
        <v>1.73251444444444</v>
      </c>
      <c r="K573" s="69" t="s">
        <v>274</v>
      </c>
      <c r="L573" s="69"/>
      <c r="M573" s="71"/>
      <c r="N573" s="71"/>
      <c r="O573" s="71"/>
      <c r="P573" s="71" t="s">
        <v>275</v>
      </c>
      <c r="Q573" s="88">
        <v>1.38498859686415E-2</v>
      </c>
      <c r="R573" s="89" t="s">
        <v>276</v>
      </c>
      <c r="S573" s="89"/>
      <c r="T573">
        <v>5.3</v>
      </c>
      <c r="U573" s="76">
        <v>0.2</v>
      </c>
      <c r="V573">
        <v>9.3000000000000007</v>
      </c>
      <c r="W573" s="90">
        <v>0.1</v>
      </c>
      <c r="X573" s="90"/>
      <c r="Y573" s="71"/>
      <c r="Z573" s="71"/>
      <c r="AA573" s="71"/>
      <c r="AB573" s="71"/>
      <c r="AC573" s="71"/>
      <c r="AD573" s="71"/>
      <c r="AE573" s="71"/>
      <c r="AF573" s="71"/>
      <c r="AG573" s="82">
        <v>0</v>
      </c>
      <c r="AH573" s="76"/>
      <c r="AI573" s="76"/>
      <c r="AJ573" s="76"/>
      <c r="AK573" s="71">
        <v>0.15</v>
      </c>
      <c r="AL573" s="88">
        <v>3.441511295928E-2</v>
      </c>
      <c r="AM573" s="89">
        <f t="shared" si="8"/>
        <v>0.22943408639520002</v>
      </c>
      <c r="AN573" s="78"/>
    </row>
    <row r="574" spans="1:40" x14ac:dyDescent="0.25">
      <c r="A574" t="s">
        <v>44</v>
      </c>
      <c r="B574" t="s">
        <v>45</v>
      </c>
      <c r="C574" s="121" t="s">
        <v>174</v>
      </c>
      <c r="D574" t="s">
        <v>189</v>
      </c>
      <c r="E574" t="s">
        <v>57</v>
      </c>
      <c r="F574">
        <v>2</v>
      </c>
      <c r="G574">
        <v>80</v>
      </c>
      <c r="H574" s="86">
        <v>45964.368803171303</v>
      </c>
      <c r="I574" s="86">
        <v>45964.440975300902</v>
      </c>
      <c r="J574" s="87">
        <v>1.73213111111111</v>
      </c>
      <c r="K574" s="69" t="s">
        <v>274</v>
      </c>
      <c r="L574" s="69"/>
      <c r="M574" s="71"/>
      <c r="N574" s="71"/>
      <c r="O574" s="71"/>
      <c r="P574" s="71" t="s">
        <v>275</v>
      </c>
      <c r="Q574" s="88">
        <v>2.12278763068964E-2</v>
      </c>
      <c r="R574" s="89" t="s">
        <v>276</v>
      </c>
      <c r="S574" s="89"/>
      <c r="T574">
        <v>7.9</v>
      </c>
      <c r="U574" s="76">
        <v>0.2</v>
      </c>
      <c r="V574">
        <v>9.1999999999999993</v>
      </c>
      <c r="W574" s="90">
        <v>0.1</v>
      </c>
      <c r="X574" s="90"/>
      <c r="Y574" s="71"/>
      <c r="Z574" s="71"/>
      <c r="AA574" s="71"/>
      <c r="AB574" s="71"/>
      <c r="AC574" s="71"/>
      <c r="AD574" s="71"/>
      <c r="AE574" s="71"/>
      <c r="AF574" s="71"/>
      <c r="AG574" s="82">
        <v>0</v>
      </c>
      <c r="AH574" s="76"/>
      <c r="AI574" s="76"/>
      <c r="AJ574" s="76"/>
      <c r="AK574" s="71">
        <v>0.15</v>
      </c>
      <c r="AL574" s="88">
        <v>3.441511295928E-2</v>
      </c>
      <c r="AM574" s="89">
        <f t="shared" si="8"/>
        <v>0.22943408639520002</v>
      </c>
      <c r="AN574" s="78"/>
    </row>
    <row r="575" spans="1:40" x14ac:dyDescent="0.25">
      <c r="A575" t="s">
        <v>44</v>
      </c>
      <c r="B575" t="s">
        <v>45</v>
      </c>
      <c r="C575" s="121" t="s">
        <v>174</v>
      </c>
      <c r="D575" t="s">
        <v>189</v>
      </c>
      <c r="E575" t="s">
        <v>57</v>
      </c>
      <c r="F575">
        <v>2</v>
      </c>
      <c r="G575">
        <v>81</v>
      </c>
      <c r="H575" s="86">
        <v>45964.440975300902</v>
      </c>
      <c r="I575" s="86">
        <v>45964.513152280102</v>
      </c>
      <c r="J575" s="87">
        <v>1.7322474999999999</v>
      </c>
      <c r="K575" s="69" t="s">
        <v>274</v>
      </c>
      <c r="L575" s="69"/>
      <c r="M575" s="71"/>
      <c r="N575" s="71"/>
      <c r="O575" s="71"/>
      <c r="P575" s="71" t="s">
        <v>275</v>
      </c>
      <c r="Q575" s="88">
        <v>5.4896587270178501E-2</v>
      </c>
      <c r="R575" s="89" t="s">
        <v>276</v>
      </c>
      <c r="S575" s="89"/>
      <c r="T575">
        <v>10.4</v>
      </c>
      <c r="U575" s="76">
        <v>0.2</v>
      </c>
      <c r="V575">
        <v>9.1999999999999993</v>
      </c>
      <c r="W575" s="90">
        <v>0.1</v>
      </c>
      <c r="X575" s="90"/>
      <c r="Y575" s="71"/>
      <c r="Z575" s="71"/>
      <c r="AA575" s="71"/>
      <c r="AB575" s="71"/>
      <c r="AC575" s="71"/>
      <c r="AD575" s="71"/>
      <c r="AE575" s="71"/>
      <c r="AF575" s="71"/>
      <c r="AG575" s="82">
        <v>0</v>
      </c>
      <c r="AH575" s="76"/>
      <c r="AI575" s="76"/>
      <c r="AJ575" s="76"/>
      <c r="AK575" s="71">
        <v>0.15</v>
      </c>
      <c r="AL575" s="88">
        <v>3.441511295928E-2</v>
      </c>
      <c r="AM575" s="89">
        <f t="shared" si="8"/>
        <v>0.22943408639520002</v>
      </c>
      <c r="AN575" s="78"/>
    </row>
    <row r="576" spans="1:40" x14ac:dyDescent="0.25">
      <c r="A576" t="s">
        <v>44</v>
      </c>
      <c r="B576" t="s">
        <v>45</v>
      </c>
      <c r="C576" s="121" t="s">
        <v>174</v>
      </c>
      <c r="D576" t="s">
        <v>189</v>
      </c>
      <c r="E576" t="s">
        <v>57</v>
      </c>
      <c r="F576">
        <v>2</v>
      </c>
      <c r="G576">
        <v>82</v>
      </c>
      <c r="H576" s="86">
        <v>45964.513152280102</v>
      </c>
      <c r="I576" s="86">
        <v>45964.585339409699</v>
      </c>
      <c r="J576" s="87">
        <v>1.7324911111111101</v>
      </c>
      <c r="K576" s="69" t="s">
        <v>274</v>
      </c>
      <c r="L576" s="69"/>
      <c r="M576" s="71"/>
      <c r="N576" s="71"/>
      <c r="O576" s="71"/>
      <c r="P576" s="71" t="s">
        <v>275</v>
      </c>
      <c r="Q576" s="88">
        <v>4.1877585001253902E-2</v>
      </c>
      <c r="R576" s="89" t="s">
        <v>276</v>
      </c>
      <c r="S576" s="89"/>
      <c r="T576">
        <v>10.5</v>
      </c>
      <c r="U576" s="76">
        <v>0.2</v>
      </c>
      <c r="V576">
        <v>9.1999999999999993</v>
      </c>
      <c r="W576" s="90">
        <v>0.1</v>
      </c>
      <c r="X576" s="90"/>
      <c r="Y576" s="71"/>
      <c r="Z576" s="71"/>
      <c r="AA576" s="71"/>
      <c r="AB576" s="71"/>
      <c r="AC576" s="71"/>
      <c r="AD576" s="71"/>
      <c r="AE576" s="71"/>
      <c r="AF576" s="71"/>
      <c r="AG576" s="82">
        <v>0</v>
      </c>
      <c r="AH576" s="76"/>
      <c r="AI576" s="76"/>
      <c r="AJ576" s="76"/>
      <c r="AK576" s="71">
        <v>0.15</v>
      </c>
      <c r="AL576" s="88">
        <v>3.441511295928E-2</v>
      </c>
      <c r="AM576" s="89">
        <f t="shared" si="8"/>
        <v>0.22943408639520002</v>
      </c>
      <c r="AN576" s="78"/>
    </row>
    <row r="577" spans="1:40" x14ac:dyDescent="0.25">
      <c r="A577" t="s">
        <v>44</v>
      </c>
      <c r="B577" t="s">
        <v>45</v>
      </c>
      <c r="C577" s="121" t="s">
        <v>174</v>
      </c>
      <c r="D577" t="s">
        <v>189</v>
      </c>
      <c r="E577" t="s">
        <v>57</v>
      </c>
      <c r="F577">
        <v>2</v>
      </c>
      <c r="G577">
        <v>83</v>
      </c>
      <c r="H577" s="86">
        <v>45964.585339409699</v>
      </c>
      <c r="I577" s="86">
        <v>45964.657516932901</v>
      </c>
      <c r="J577" s="87">
        <v>1.7322605555555599</v>
      </c>
      <c r="K577" s="69" t="s">
        <v>274</v>
      </c>
      <c r="L577" s="69"/>
      <c r="M577" s="71"/>
      <c r="N577" s="71"/>
      <c r="O577" s="71"/>
      <c r="P577" s="71" t="s">
        <v>275</v>
      </c>
      <c r="Q577" s="88">
        <v>2.77733845116056E-2</v>
      </c>
      <c r="R577" s="89" t="s">
        <v>276</v>
      </c>
      <c r="S577" s="89"/>
      <c r="T577">
        <v>10.1</v>
      </c>
      <c r="U577" s="76">
        <v>0.2</v>
      </c>
      <c r="V577">
        <v>9.4</v>
      </c>
      <c r="W577" s="90">
        <v>0.1</v>
      </c>
      <c r="X577" s="90"/>
      <c r="Y577" s="71"/>
      <c r="Z577" s="71"/>
      <c r="AA577" s="71"/>
      <c r="AB577" s="71"/>
      <c r="AC577" s="71"/>
      <c r="AD577" s="71"/>
      <c r="AE577" s="71"/>
      <c r="AF577" s="71"/>
      <c r="AG577" s="82">
        <v>0.3</v>
      </c>
      <c r="AH577" s="76"/>
      <c r="AI577" s="76"/>
      <c r="AJ577" s="76"/>
      <c r="AK577" s="71">
        <v>0.15</v>
      </c>
      <c r="AL577" s="88">
        <v>3.441511295928E-2</v>
      </c>
      <c r="AM577" s="89">
        <f t="shared" si="8"/>
        <v>0.22943408639520002</v>
      </c>
      <c r="AN577" s="78"/>
    </row>
    <row r="578" spans="1:40" x14ac:dyDescent="0.25">
      <c r="A578" t="s">
        <v>44</v>
      </c>
      <c r="B578" t="s">
        <v>45</v>
      </c>
      <c r="C578" s="121" t="s">
        <v>174</v>
      </c>
      <c r="D578" t="s">
        <v>189</v>
      </c>
      <c r="E578" t="s">
        <v>57</v>
      </c>
      <c r="F578">
        <v>2</v>
      </c>
      <c r="G578">
        <v>84</v>
      </c>
      <c r="H578" s="86">
        <v>45964.657516932901</v>
      </c>
      <c r="I578" s="86">
        <v>45964.729712557899</v>
      </c>
      <c r="J578" s="87">
        <v>1.7326950000000001</v>
      </c>
      <c r="K578" s="69" t="s">
        <v>274</v>
      </c>
      <c r="L578" s="69"/>
      <c r="M578" s="71"/>
      <c r="N578" s="71"/>
      <c r="O578" s="71"/>
      <c r="P578" s="71" t="s">
        <v>275</v>
      </c>
      <c r="Q578" s="88">
        <v>1.3338697628347201E-2</v>
      </c>
      <c r="R578" s="89" t="s">
        <v>276</v>
      </c>
      <c r="S578" s="89"/>
      <c r="T578">
        <v>9.3000000000000007</v>
      </c>
      <c r="U578" s="76">
        <v>0.2</v>
      </c>
      <c r="V578">
        <v>9.6</v>
      </c>
      <c r="W578" s="90">
        <v>0.1</v>
      </c>
      <c r="X578" s="90"/>
      <c r="Y578" s="71"/>
      <c r="Z578" s="71"/>
      <c r="AA578" s="71"/>
      <c r="AB578" s="71"/>
      <c r="AC578" s="71"/>
      <c r="AD578" s="71"/>
      <c r="AE578" s="71"/>
      <c r="AF578" s="71"/>
      <c r="AG578" s="82">
        <v>0.3</v>
      </c>
      <c r="AH578" s="76"/>
      <c r="AI578" s="76"/>
      <c r="AJ578" s="76"/>
      <c r="AK578" s="71">
        <v>0.15</v>
      </c>
      <c r="AL578" s="88">
        <v>3.441511295928E-2</v>
      </c>
      <c r="AM578" s="89">
        <f t="shared" si="8"/>
        <v>0.22943408639520002</v>
      </c>
      <c r="AN578" s="78"/>
    </row>
    <row r="579" spans="1:40" x14ac:dyDescent="0.25">
      <c r="A579" t="s">
        <v>44</v>
      </c>
      <c r="B579" t="s">
        <v>45</v>
      </c>
      <c r="C579" s="121" t="s">
        <v>174</v>
      </c>
      <c r="D579" t="s">
        <v>189</v>
      </c>
      <c r="E579" t="s">
        <v>57</v>
      </c>
      <c r="F579">
        <v>2</v>
      </c>
      <c r="G579">
        <v>85</v>
      </c>
      <c r="H579" s="86">
        <v>45964.729712557899</v>
      </c>
      <c r="I579" s="86">
        <v>45964.801903900501</v>
      </c>
      <c r="J579" s="87">
        <v>1.7325922222222201</v>
      </c>
      <c r="K579" s="69" t="s">
        <v>274</v>
      </c>
      <c r="L579" s="69"/>
      <c r="M579" s="71"/>
      <c r="N579" s="71"/>
      <c r="O579" s="71"/>
      <c r="P579" s="71" t="s">
        <v>275</v>
      </c>
      <c r="Q579" s="88">
        <v>9.1719280885335097E-3</v>
      </c>
      <c r="R579" s="89" t="s">
        <v>276</v>
      </c>
      <c r="S579" s="89"/>
      <c r="T579">
        <v>9.8000000000000007</v>
      </c>
      <c r="U579" s="76">
        <v>0.2</v>
      </c>
      <c r="V579">
        <v>9.6</v>
      </c>
      <c r="W579" s="90">
        <v>0.1</v>
      </c>
      <c r="X579" s="90"/>
      <c r="Y579" s="71"/>
      <c r="Z579" s="71"/>
      <c r="AA579" s="71"/>
      <c r="AB579" s="71"/>
      <c r="AC579" s="71"/>
      <c r="AD579" s="71"/>
      <c r="AE579" s="71"/>
      <c r="AF579" s="71"/>
      <c r="AG579" s="82">
        <v>0.1</v>
      </c>
      <c r="AH579" s="76"/>
      <c r="AI579" s="76"/>
      <c r="AJ579" s="76"/>
      <c r="AK579" s="71">
        <v>0.15</v>
      </c>
      <c r="AL579" s="88">
        <v>3.441511295928E-2</v>
      </c>
      <c r="AM579" s="89">
        <f t="shared" si="8"/>
        <v>0.22943408639520002</v>
      </c>
      <c r="AN579" s="78"/>
    </row>
    <row r="580" spans="1:40" x14ac:dyDescent="0.25">
      <c r="A580" t="s">
        <v>44</v>
      </c>
      <c r="B580" t="s">
        <v>45</v>
      </c>
      <c r="C580" s="121" t="s">
        <v>174</v>
      </c>
      <c r="D580" t="s">
        <v>189</v>
      </c>
      <c r="E580" t="s">
        <v>57</v>
      </c>
      <c r="F580">
        <v>2</v>
      </c>
      <c r="G580">
        <v>86</v>
      </c>
      <c r="H580" s="86">
        <v>45964.801903900501</v>
      </c>
      <c r="I580" s="86">
        <v>45964.874086296302</v>
      </c>
      <c r="J580" s="87">
        <v>1.7323774999999999</v>
      </c>
      <c r="K580" s="69" t="s">
        <v>274</v>
      </c>
      <c r="L580" s="69"/>
      <c r="M580" s="71"/>
      <c r="N580" s="71"/>
      <c r="O580" s="71"/>
      <c r="P580" s="71" t="s">
        <v>275</v>
      </c>
      <c r="Q580" s="88">
        <v>9.2042644697932809E-3</v>
      </c>
      <c r="R580" s="89" t="s">
        <v>276</v>
      </c>
      <c r="S580" s="89"/>
      <c r="T580">
        <v>10.4</v>
      </c>
      <c r="U580" s="76">
        <v>0.2</v>
      </c>
      <c r="V580">
        <v>9.6999999999999993</v>
      </c>
      <c r="W580" s="90">
        <v>0.1</v>
      </c>
      <c r="X580" s="90"/>
      <c r="Y580" s="71"/>
      <c r="Z580" s="71"/>
      <c r="AA580" s="71"/>
      <c r="AB580" s="71"/>
      <c r="AC580" s="71"/>
      <c r="AD580" s="71"/>
      <c r="AE580" s="71"/>
      <c r="AF580" s="71"/>
      <c r="AG580" s="82">
        <v>0.2</v>
      </c>
      <c r="AH580" s="76"/>
      <c r="AI580" s="76"/>
      <c r="AJ580" s="76"/>
      <c r="AK580" s="71">
        <v>0.15</v>
      </c>
      <c r="AL580" s="88">
        <v>3.441511295928E-2</v>
      </c>
      <c r="AM580" s="89">
        <f t="shared" si="8"/>
        <v>0.22943408639520002</v>
      </c>
      <c r="AN580" s="78"/>
    </row>
    <row r="581" spans="1:40" x14ac:dyDescent="0.25">
      <c r="A581" t="s">
        <v>44</v>
      </c>
      <c r="B581" t="s">
        <v>45</v>
      </c>
      <c r="C581" s="121" t="s">
        <v>174</v>
      </c>
      <c r="D581" t="s">
        <v>189</v>
      </c>
      <c r="E581" t="s">
        <v>57</v>
      </c>
      <c r="F581">
        <v>2</v>
      </c>
      <c r="G581">
        <v>87</v>
      </c>
      <c r="H581" s="86">
        <v>45964.874086296302</v>
      </c>
      <c r="I581" s="86">
        <v>45964.946269375003</v>
      </c>
      <c r="J581" s="87">
        <v>1.7323938888888899</v>
      </c>
      <c r="K581" s="69" t="s">
        <v>274</v>
      </c>
      <c r="L581" s="69"/>
      <c r="M581" s="71"/>
      <c r="N581" s="71"/>
      <c r="O581" s="71"/>
      <c r="P581" s="71" t="s">
        <v>275</v>
      </c>
      <c r="Q581" s="88">
        <v>1.11309485566163E-2</v>
      </c>
      <c r="R581" s="89" t="s">
        <v>276</v>
      </c>
      <c r="S581" s="89"/>
      <c r="T581">
        <v>11.4</v>
      </c>
      <c r="U581" s="76">
        <v>0.2</v>
      </c>
      <c r="V581">
        <v>9.6999999999999993</v>
      </c>
      <c r="W581" s="90">
        <v>0.1</v>
      </c>
      <c r="X581" s="90"/>
      <c r="Y581" s="71"/>
      <c r="Z581" s="71"/>
      <c r="AA581" s="71"/>
      <c r="AB581" s="71"/>
      <c r="AC581" s="71"/>
      <c r="AD581" s="71"/>
      <c r="AE581" s="71"/>
      <c r="AF581" s="71"/>
      <c r="AG581" s="82">
        <v>0.2</v>
      </c>
      <c r="AH581" s="76"/>
      <c r="AI581" s="76"/>
      <c r="AJ581" s="76"/>
      <c r="AK581" s="71">
        <v>0.15</v>
      </c>
      <c r="AL581" s="88">
        <v>3.441511295928E-2</v>
      </c>
      <c r="AM581" s="89">
        <f t="shared" ref="AM581:AM644" si="9">AL581/AK581</f>
        <v>0.22943408639520002</v>
      </c>
      <c r="AN581" s="78"/>
    </row>
    <row r="582" spans="1:40" x14ac:dyDescent="0.25">
      <c r="A582" t="s">
        <v>44</v>
      </c>
      <c r="B582" t="s">
        <v>45</v>
      </c>
      <c r="C582" s="121" t="s">
        <v>174</v>
      </c>
      <c r="D582" t="s">
        <v>189</v>
      </c>
      <c r="E582" t="s">
        <v>57</v>
      </c>
      <c r="F582">
        <v>2</v>
      </c>
      <c r="G582">
        <v>88</v>
      </c>
      <c r="H582" s="86">
        <v>45964.946269375003</v>
      </c>
      <c r="I582" s="86">
        <v>45965.018456180602</v>
      </c>
      <c r="J582" s="87">
        <v>1.73248333333333</v>
      </c>
      <c r="K582" s="69" t="s">
        <v>274</v>
      </c>
      <c r="L582" s="69"/>
      <c r="M582" s="71"/>
      <c r="N582" s="71"/>
      <c r="O582" s="71"/>
      <c r="P582" s="71" t="s">
        <v>275</v>
      </c>
      <c r="Q582" s="88">
        <v>1.6006447799873199E-2</v>
      </c>
      <c r="R582" s="89" t="s">
        <v>276</v>
      </c>
      <c r="S582" s="89"/>
      <c r="T582">
        <v>12.3</v>
      </c>
      <c r="U582" s="76">
        <v>0.2</v>
      </c>
      <c r="V582">
        <v>9.8000000000000007</v>
      </c>
      <c r="W582" s="90">
        <v>0.1</v>
      </c>
      <c r="X582" s="90"/>
      <c r="Y582" s="71"/>
      <c r="Z582" s="71"/>
      <c r="AA582" s="71"/>
      <c r="AB582" s="71"/>
      <c r="AC582" s="71"/>
      <c r="AD582" s="71"/>
      <c r="AE582" s="71"/>
      <c r="AF582" s="71"/>
      <c r="AG582" s="82">
        <v>0.2</v>
      </c>
      <c r="AH582" s="76"/>
      <c r="AI582" s="76"/>
      <c r="AJ582" s="76"/>
      <c r="AK582" s="71">
        <v>0.15</v>
      </c>
      <c r="AL582" s="88">
        <v>3.441511295928E-2</v>
      </c>
      <c r="AM582" s="89">
        <f t="shared" si="9"/>
        <v>0.22943408639520002</v>
      </c>
      <c r="AN582" s="78"/>
    </row>
    <row r="583" spans="1:40" x14ac:dyDescent="0.25">
      <c r="A583" t="s">
        <v>44</v>
      </c>
      <c r="B583" t="s">
        <v>45</v>
      </c>
      <c r="C583" s="121" t="s">
        <v>174</v>
      </c>
      <c r="D583" t="s">
        <v>189</v>
      </c>
      <c r="E583" t="s">
        <v>57</v>
      </c>
      <c r="F583">
        <v>2</v>
      </c>
      <c r="G583">
        <v>89</v>
      </c>
      <c r="H583" s="86">
        <v>45965.018456180602</v>
      </c>
      <c r="I583" s="86">
        <v>45965.090644004602</v>
      </c>
      <c r="J583" s="87">
        <v>1.73250777777778</v>
      </c>
      <c r="K583" s="69" t="s">
        <v>274</v>
      </c>
      <c r="L583" s="69"/>
      <c r="M583" s="71"/>
      <c r="N583" s="71"/>
      <c r="O583" s="71"/>
      <c r="P583" s="71" t="s">
        <v>275</v>
      </c>
      <c r="Q583" s="88">
        <v>2.00971601068731E-2</v>
      </c>
      <c r="R583" s="89" t="s">
        <v>276</v>
      </c>
      <c r="S583" s="89"/>
      <c r="T583">
        <v>12.5</v>
      </c>
      <c r="U583" s="76">
        <v>0.2</v>
      </c>
      <c r="V583">
        <v>9.9</v>
      </c>
      <c r="W583" s="90">
        <v>0.1</v>
      </c>
      <c r="X583" s="90"/>
      <c r="Y583" s="71"/>
      <c r="Z583" s="71"/>
      <c r="AA583" s="71"/>
      <c r="AB583" s="71"/>
      <c r="AC583" s="71"/>
      <c r="AD583" s="71"/>
      <c r="AE583" s="71"/>
      <c r="AF583" s="71"/>
      <c r="AG583" s="82">
        <v>0.2</v>
      </c>
      <c r="AH583" s="76"/>
      <c r="AI583" s="76"/>
      <c r="AJ583" s="76"/>
      <c r="AK583" s="71">
        <v>0.15</v>
      </c>
      <c r="AL583" s="88">
        <v>3.441511295928E-2</v>
      </c>
      <c r="AM583" s="89">
        <f t="shared" si="9"/>
        <v>0.22943408639520002</v>
      </c>
      <c r="AN583" s="78"/>
    </row>
    <row r="584" spans="1:40" x14ac:dyDescent="0.25">
      <c r="A584" t="s">
        <v>44</v>
      </c>
      <c r="B584" t="s">
        <v>45</v>
      </c>
      <c r="C584" s="121" t="s">
        <v>174</v>
      </c>
      <c r="D584" t="s">
        <v>189</v>
      </c>
      <c r="E584" t="s">
        <v>57</v>
      </c>
      <c r="F584">
        <v>2</v>
      </c>
      <c r="G584">
        <v>90</v>
      </c>
      <c r="H584" s="86">
        <v>45965.090644004602</v>
      </c>
      <c r="I584" s="86">
        <v>45965.162827499997</v>
      </c>
      <c r="J584" s="87">
        <v>1.73240388888889</v>
      </c>
      <c r="K584" s="69" t="s">
        <v>274</v>
      </c>
      <c r="L584" s="69"/>
      <c r="M584" s="71"/>
      <c r="N584" s="71"/>
      <c r="O584" s="71"/>
      <c r="P584" s="71" t="s">
        <v>275</v>
      </c>
      <c r="Q584" s="88">
        <v>2.94178819395115E-2</v>
      </c>
      <c r="R584" s="89" t="s">
        <v>276</v>
      </c>
      <c r="S584" s="89"/>
      <c r="T584">
        <v>12.6</v>
      </c>
      <c r="U584" s="76">
        <v>0.2</v>
      </c>
      <c r="V584">
        <v>10</v>
      </c>
      <c r="W584" s="90">
        <v>0.1</v>
      </c>
      <c r="X584" s="90"/>
      <c r="Y584" s="71"/>
      <c r="Z584" s="71"/>
      <c r="AA584" s="71"/>
      <c r="AB584" s="71"/>
      <c r="AC584" s="71"/>
      <c r="AD584" s="71"/>
      <c r="AE584" s="71"/>
      <c r="AF584" s="71"/>
      <c r="AG584" s="82">
        <v>0</v>
      </c>
      <c r="AH584" s="76"/>
      <c r="AI584" s="76"/>
      <c r="AJ584" s="76"/>
      <c r="AK584" s="71">
        <v>0.15</v>
      </c>
      <c r="AL584" s="88">
        <v>3.441511295928E-2</v>
      </c>
      <c r="AM584" s="89">
        <f t="shared" si="9"/>
        <v>0.22943408639520002</v>
      </c>
      <c r="AN584" s="78"/>
    </row>
    <row r="585" spans="1:40" x14ac:dyDescent="0.25">
      <c r="A585" t="s">
        <v>44</v>
      </c>
      <c r="B585" t="s">
        <v>45</v>
      </c>
      <c r="C585" s="121" t="s">
        <v>174</v>
      </c>
      <c r="D585" t="s">
        <v>189</v>
      </c>
      <c r="E585" t="s">
        <v>57</v>
      </c>
      <c r="F585">
        <v>2</v>
      </c>
      <c r="G585">
        <v>91</v>
      </c>
      <c r="H585" s="86">
        <v>45965.162827499997</v>
      </c>
      <c r="I585" s="86">
        <v>45965.235009942102</v>
      </c>
      <c r="J585" s="87">
        <v>1.7323786111111099</v>
      </c>
      <c r="K585" s="69" t="s">
        <v>274</v>
      </c>
      <c r="L585" s="69"/>
      <c r="M585" s="71"/>
      <c r="N585" s="71"/>
      <c r="O585" s="71"/>
      <c r="P585" s="71" t="s">
        <v>275</v>
      </c>
      <c r="Q585" s="88">
        <v>2.9323280625750299E-2</v>
      </c>
      <c r="R585" s="89" t="s">
        <v>276</v>
      </c>
      <c r="S585" s="89"/>
      <c r="T585">
        <v>12.6</v>
      </c>
      <c r="U585" s="76">
        <v>0.2</v>
      </c>
      <c r="V585">
        <v>10.199999999999999</v>
      </c>
      <c r="W585" s="90">
        <v>0.1</v>
      </c>
      <c r="X585" s="90"/>
      <c r="Y585" s="71"/>
      <c r="Z585" s="71"/>
      <c r="AA585" s="71"/>
      <c r="AB585" s="71"/>
      <c r="AC585" s="71"/>
      <c r="AD585" s="71"/>
      <c r="AE585" s="71"/>
      <c r="AF585" s="71"/>
      <c r="AG585" s="82">
        <v>0.2</v>
      </c>
      <c r="AH585" s="76"/>
      <c r="AI585" s="76"/>
      <c r="AJ585" s="76"/>
      <c r="AK585" s="71">
        <v>0.15</v>
      </c>
      <c r="AL585" s="88">
        <v>3.441511295928E-2</v>
      </c>
      <c r="AM585" s="89">
        <f t="shared" si="9"/>
        <v>0.22943408639520002</v>
      </c>
      <c r="AN585" s="78"/>
    </row>
    <row r="586" spans="1:40" x14ac:dyDescent="0.25">
      <c r="A586" t="s">
        <v>44</v>
      </c>
      <c r="B586" t="s">
        <v>45</v>
      </c>
      <c r="C586" s="121" t="s">
        <v>174</v>
      </c>
      <c r="D586" t="s">
        <v>189</v>
      </c>
      <c r="E586" t="s">
        <v>57</v>
      </c>
      <c r="F586">
        <v>2</v>
      </c>
      <c r="G586">
        <v>92</v>
      </c>
      <c r="H586" s="86">
        <v>45965.235009942102</v>
      </c>
      <c r="I586" s="86">
        <v>45965.3071925232</v>
      </c>
      <c r="J586" s="87">
        <v>1.7323819444444399</v>
      </c>
      <c r="K586" s="69" t="s">
        <v>274</v>
      </c>
      <c r="L586" s="69"/>
      <c r="M586" s="71"/>
      <c r="N586" s="71"/>
      <c r="O586" s="71"/>
      <c r="P586" s="71" t="s">
        <v>275</v>
      </c>
      <c r="Q586" s="88">
        <v>2.5913511620190101E-2</v>
      </c>
      <c r="R586" s="89" t="s">
        <v>276</v>
      </c>
      <c r="S586" s="89"/>
      <c r="T586">
        <v>12.5</v>
      </c>
      <c r="U586" s="76">
        <v>0.2</v>
      </c>
      <c r="V586">
        <v>10.3</v>
      </c>
      <c r="W586" s="90">
        <v>0.1</v>
      </c>
      <c r="X586" s="90"/>
      <c r="Y586" s="71"/>
      <c r="Z586" s="71"/>
      <c r="AA586" s="71"/>
      <c r="AB586" s="71"/>
      <c r="AC586" s="71"/>
      <c r="AD586" s="71"/>
      <c r="AE586" s="71"/>
      <c r="AF586" s="71"/>
      <c r="AG586" s="82">
        <v>0.4</v>
      </c>
      <c r="AH586" s="76"/>
      <c r="AI586" s="76"/>
      <c r="AJ586" s="76"/>
      <c r="AK586" s="71">
        <v>0.15</v>
      </c>
      <c r="AL586" s="88">
        <v>3.441511295928E-2</v>
      </c>
      <c r="AM586" s="89">
        <f t="shared" si="9"/>
        <v>0.22943408639520002</v>
      </c>
      <c r="AN586" s="78"/>
    </row>
    <row r="587" spans="1:40" x14ac:dyDescent="0.25">
      <c r="A587" t="s">
        <v>44</v>
      </c>
      <c r="B587" t="s">
        <v>45</v>
      </c>
      <c r="C587" s="121" t="s">
        <v>174</v>
      </c>
      <c r="D587" t="s">
        <v>189</v>
      </c>
      <c r="E587" t="s">
        <v>57</v>
      </c>
      <c r="F587">
        <v>2</v>
      </c>
      <c r="G587">
        <v>93</v>
      </c>
      <c r="H587" s="86">
        <v>45965.3071925232</v>
      </c>
      <c r="I587" s="86">
        <v>45965.379395543998</v>
      </c>
      <c r="J587" s="87">
        <v>1.7328725</v>
      </c>
      <c r="K587" s="69" t="s">
        <v>274</v>
      </c>
      <c r="L587" s="69"/>
      <c r="M587" s="71"/>
      <c r="N587" s="71"/>
      <c r="O587" s="71"/>
      <c r="P587" s="71" t="s">
        <v>275</v>
      </c>
      <c r="Q587" s="88">
        <v>2.5425817593558199E-2</v>
      </c>
      <c r="R587" s="89" t="s">
        <v>276</v>
      </c>
      <c r="S587" s="89"/>
      <c r="T587">
        <v>12.4</v>
      </c>
      <c r="U587" s="76">
        <v>0.2</v>
      </c>
      <c r="V587">
        <v>10.4</v>
      </c>
      <c r="W587" s="90">
        <v>0.1</v>
      </c>
      <c r="X587" s="90"/>
      <c r="Y587" s="71"/>
      <c r="Z587" s="71"/>
      <c r="AA587" s="71"/>
      <c r="AB587" s="71"/>
      <c r="AC587" s="71"/>
      <c r="AD587" s="71"/>
      <c r="AE587" s="71"/>
      <c r="AF587" s="71"/>
      <c r="AG587" s="82">
        <v>0</v>
      </c>
      <c r="AH587" s="76"/>
      <c r="AI587" s="76"/>
      <c r="AJ587" s="76"/>
      <c r="AK587" s="71">
        <v>0.15</v>
      </c>
      <c r="AL587" s="88">
        <v>3.441511295928E-2</v>
      </c>
      <c r="AM587" s="89">
        <f t="shared" si="9"/>
        <v>0.22943408639520002</v>
      </c>
      <c r="AN587" s="78"/>
    </row>
    <row r="588" spans="1:40" x14ac:dyDescent="0.25">
      <c r="A588" t="s">
        <v>44</v>
      </c>
      <c r="B588" t="s">
        <v>45</v>
      </c>
      <c r="C588" s="121" t="s">
        <v>174</v>
      </c>
      <c r="D588" t="s">
        <v>189</v>
      </c>
      <c r="E588" t="s">
        <v>57</v>
      </c>
      <c r="F588">
        <v>2</v>
      </c>
      <c r="G588">
        <v>94</v>
      </c>
      <c r="H588" s="86">
        <v>45965.379395543998</v>
      </c>
      <c r="I588" s="86">
        <v>45965.4515869444</v>
      </c>
      <c r="J588" s="87">
        <v>1.73259361111111</v>
      </c>
      <c r="K588" s="69" t="s">
        <v>274</v>
      </c>
      <c r="L588" s="69"/>
      <c r="M588" s="71"/>
      <c r="N588" s="71"/>
      <c r="O588" s="71"/>
      <c r="P588" s="71" t="s">
        <v>275</v>
      </c>
      <c r="Q588" s="88">
        <v>2.60198646961694E-2</v>
      </c>
      <c r="R588" s="89" t="s">
        <v>276</v>
      </c>
      <c r="S588" s="89"/>
      <c r="T588">
        <v>12.6</v>
      </c>
      <c r="U588" s="76">
        <v>0.2</v>
      </c>
      <c r="V588">
        <v>10.5</v>
      </c>
      <c r="W588" s="90">
        <v>0.1</v>
      </c>
      <c r="X588" s="90"/>
      <c r="Y588" s="71"/>
      <c r="Z588" s="71"/>
      <c r="AA588" s="71"/>
      <c r="AB588" s="71"/>
      <c r="AC588" s="71"/>
      <c r="AD588" s="71"/>
      <c r="AE588" s="71"/>
      <c r="AF588" s="71"/>
      <c r="AG588" s="82">
        <v>0.1</v>
      </c>
      <c r="AH588" s="76"/>
      <c r="AI588" s="76"/>
      <c r="AJ588" s="76"/>
      <c r="AK588" s="71">
        <v>0.15</v>
      </c>
      <c r="AL588" s="88">
        <v>3.441511295928E-2</v>
      </c>
      <c r="AM588" s="89">
        <f t="shared" si="9"/>
        <v>0.22943408639520002</v>
      </c>
      <c r="AN588" s="78"/>
    </row>
    <row r="589" spans="1:40" x14ac:dyDescent="0.25">
      <c r="A589" t="s">
        <v>44</v>
      </c>
      <c r="B589" t="s">
        <v>45</v>
      </c>
      <c r="C589" s="121" t="s">
        <v>174</v>
      </c>
      <c r="D589" t="s">
        <v>189</v>
      </c>
      <c r="E589" t="s">
        <v>57</v>
      </c>
      <c r="F589">
        <v>2</v>
      </c>
      <c r="G589">
        <v>95</v>
      </c>
      <c r="H589" s="86">
        <v>45965.4515869444</v>
      </c>
      <c r="I589" s="86">
        <v>45965.523770161999</v>
      </c>
      <c r="J589" s="87">
        <v>1.7323972222222199</v>
      </c>
      <c r="K589" s="69" t="s">
        <v>274</v>
      </c>
      <c r="L589" s="69"/>
      <c r="M589" s="71"/>
      <c r="N589" s="71"/>
      <c r="O589" s="71"/>
      <c r="P589" s="71" t="s">
        <v>275</v>
      </c>
      <c r="Q589" s="88">
        <v>3.0155163874121801E-2</v>
      </c>
      <c r="R589" s="89" t="s">
        <v>276</v>
      </c>
      <c r="S589" s="89"/>
      <c r="T589">
        <v>12.8</v>
      </c>
      <c r="U589" s="76">
        <v>0.2</v>
      </c>
      <c r="V589">
        <v>10.6</v>
      </c>
      <c r="W589" s="90">
        <v>0.1</v>
      </c>
      <c r="X589" s="90"/>
      <c r="Y589" s="71"/>
      <c r="Z589" s="71"/>
      <c r="AA589" s="71"/>
      <c r="AB589" s="71"/>
      <c r="AC589" s="71"/>
      <c r="AD589" s="71"/>
      <c r="AE589" s="71"/>
      <c r="AF589" s="71"/>
      <c r="AG589" s="82">
        <v>0.2</v>
      </c>
      <c r="AH589" s="76"/>
      <c r="AI589" s="76"/>
      <c r="AJ589" s="76"/>
      <c r="AK589" s="71">
        <v>0.15</v>
      </c>
      <c r="AL589" s="88">
        <v>3.441511295928E-2</v>
      </c>
      <c r="AM589" s="89">
        <f t="shared" si="9"/>
        <v>0.22943408639520002</v>
      </c>
      <c r="AN589" s="78"/>
    </row>
    <row r="590" spans="1:40" x14ac:dyDescent="0.25">
      <c r="A590" t="s">
        <v>44</v>
      </c>
      <c r="B590" t="s">
        <v>45</v>
      </c>
      <c r="C590" s="121" t="s">
        <v>174</v>
      </c>
      <c r="D590" t="s">
        <v>196</v>
      </c>
      <c r="E590" t="s">
        <v>61</v>
      </c>
      <c r="F590">
        <v>3</v>
      </c>
      <c r="G590">
        <v>1</v>
      </c>
      <c r="H590" s="86">
        <v>45958.552543807898</v>
      </c>
      <c r="I590" s="86">
        <v>45958.646494537003</v>
      </c>
      <c r="J590" s="87">
        <v>2.2548175000000001</v>
      </c>
      <c r="K590" s="69" t="s">
        <v>274</v>
      </c>
      <c r="L590" s="69"/>
      <c r="M590" s="71"/>
      <c r="N590" s="71"/>
      <c r="O590" s="71"/>
      <c r="P590" s="71" t="s">
        <v>275</v>
      </c>
      <c r="Q590" s="88" t="s">
        <v>277</v>
      </c>
      <c r="R590" s="89" t="s">
        <v>276</v>
      </c>
      <c r="S590" s="89"/>
      <c r="T590">
        <v>7.7</v>
      </c>
      <c r="U590" s="76">
        <v>0.2</v>
      </c>
      <c r="V590">
        <v>9.5</v>
      </c>
      <c r="W590" s="90">
        <v>0.1</v>
      </c>
      <c r="X590" s="90"/>
      <c r="Y590" s="71"/>
      <c r="Z590" s="71"/>
      <c r="AA590" s="71"/>
      <c r="AB590" s="71"/>
      <c r="AC590" s="71"/>
      <c r="AD590" s="71"/>
      <c r="AE590" s="71"/>
      <c r="AF590" s="71"/>
      <c r="AG590" s="82">
        <v>0.1</v>
      </c>
      <c r="AH590" s="76"/>
      <c r="AI590" s="76"/>
      <c r="AJ590" s="76"/>
      <c r="AK590" s="71">
        <v>0.15</v>
      </c>
      <c r="AL590" s="88">
        <v>3.4375863625514903E-2</v>
      </c>
      <c r="AM590" s="89">
        <f t="shared" si="9"/>
        <v>0.22917242417009936</v>
      </c>
      <c r="AN590" s="78"/>
    </row>
    <row r="591" spans="1:40" x14ac:dyDescent="0.25">
      <c r="A591" t="s">
        <v>44</v>
      </c>
      <c r="B591" t="s">
        <v>45</v>
      </c>
      <c r="C591" s="121" t="s">
        <v>174</v>
      </c>
      <c r="D591" t="s">
        <v>196</v>
      </c>
      <c r="E591" t="s">
        <v>61</v>
      </c>
      <c r="F591">
        <v>3</v>
      </c>
      <c r="G591">
        <v>2</v>
      </c>
      <c r="H591" s="86">
        <v>45958.646494537003</v>
      </c>
      <c r="I591" s="86">
        <v>45958.743959363397</v>
      </c>
      <c r="J591" s="87">
        <v>2.3391558333333302</v>
      </c>
      <c r="K591" s="69" t="s">
        <v>274</v>
      </c>
      <c r="L591" s="69"/>
      <c r="M591" s="71"/>
      <c r="N591" s="71"/>
      <c r="O591" s="71"/>
      <c r="P591" s="71" t="s">
        <v>275</v>
      </c>
      <c r="Q591" s="88" t="s">
        <v>277</v>
      </c>
      <c r="R591" s="89" t="s">
        <v>276</v>
      </c>
      <c r="S591" s="89"/>
      <c r="T591">
        <v>6.8</v>
      </c>
      <c r="U591" s="76">
        <v>0.2</v>
      </c>
      <c r="V591">
        <v>9.6</v>
      </c>
      <c r="W591" s="90">
        <v>0.1</v>
      </c>
      <c r="X591" s="90"/>
      <c r="Y591" s="71"/>
      <c r="Z591" s="71"/>
      <c r="AA591" s="71"/>
      <c r="AB591" s="71"/>
      <c r="AC591" s="71"/>
      <c r="AD591" s="71"/>
      <c r="AE591" s="71"/>
      <c r="AF591" s="71"/>
      <c r="AG591" s="82">
        <v>0</v>
      </c>
      <c r="AH591" s="76"/>
      <c r="AI591" s="76"/>
      <c r="AJ591" s="76"/>
      <c r="AK591" s="71">
        <v>0.15</v>
      </c>
      <c r="AL591" s="88">
        <v>3.4375863625514903E-2</v>
      </c>
      <c r="AM591" s="89">
        <f t="shared" si="9"/>
        <v>0.22917242417009936</v>
      </c>
      <c r="AN591" s="78"/>
    </row>
    <row r="592" spans="1:40" x14ac:dyDescent="0.25">
      <c r="A592" t="s">
        <v>44</v>
      </c>
      <c r="B592" t="s">
        <v>45</v>
      </c>
      <c r="C592" s="121" t="s">
        <v>174</v>
      </c>
      <c r="D592" t="s">
        <v>196</v>
      </c>
      <c r="E592" t="s">
        <v>61</v>
      </c>
      <c r="F592">
        <v>3</v>
      </c>
      <c r="G592">
        <v>3</v>
      </c>
      <c r="H592" s="86">
        <v>45958.743959363397</v>
      </c>
      <c r="I592" s="86">
        <v>45958.816144606499</v>
      </c>
      <c r="J592" s="87">
        <v>1.7324458333333299</v>
      </c>
      <c r="K592" s="69" t="s">
        <v>274</v>
      </c>
      <c r="L592" s="69"/>
      <c r="M592" s="71"/>
      <c r="N592" s="71"/>
      <c r="O592" s="71"/>
      <c r="P592" s="71" t="s">
        <v>275</v>
      </c>
      <c r="Q592" s="88">
        <v>0.18620319746289801</v>
      </c>
      <c r="R592" s="89" t="s">
        <v>276</v>
      </c>
      <c r="S592" s="89"/>
      <c r="T592">
        <v>6</v>
      </c>
      <c r="U592" s="76">
        <v>0.2</v>
      </c>
      <c r="V592">
        <v>9.6999999999999993</v>
      </c>
      <c r="W592" s="90">
        <v>0.1</v>
      </c>
      <c r="X592" s="90"/>
      <c r="Y592" s="71"/>
      <c r="Z592" s="71"/>
      <c r="AA592" s="71"/>
      <c r="AB592" s="71"/>
      <c r="AC592" s="71"/>
      <c r="AD592" s="71"/>
      <c r="AE592" s="71"/>
      <c r="AF592" s="71"/>
      <c r="AG592" s="82">
        <v>0</v>
      </c>
      <c r="AH592" s="76"/>
      <c r="AI592" s="76"/>
      <c r="AJ592" s="76"/>
      <c r="AK592" s="71">
        <v>0.15</v>
      </c>
      <c r="AL592" s="88">
        <v>3.4375863625514903E-2</v>
      </c>
      <c r="AM592" s="89">
        <f t="shared" si="9"/>
        <v>0.22917242417009936</v>
      </c>
      <c r="AN592" s="78"/>
    </row>
    <row r="593" spans="1:40" x14ac:dyDescent="0.25">
      <c r="A593" t="s">
        <v>44</v>
      </c>
      <c r="B593" t="s">
        <v>45</v>
      </c>
      <c r="C593" s="121" t="s">
        <v>174</v>
      </c>
      <c r="D593" t="s">
        <v>196</v>
      </c>
      <c r="E593" t="s">
        <v>61</v>
      </c>
      <c r="F593">
        <v>3</v>
      </c>
      <c r="G593">
        <v>4</v>
      </c>
      <c r="H593" s="86">
        <v>45958.816144606499</v>
      </c>
      <c r="I593" s="86">
        <v>45958.888326168999</v>
      </c>
      <c r="J593" s="87">
        <v>1.7323575</v>
      </c>
      <c r="K593" s="69" t="s">
        <v>274</v>
      </c>
      <c r="L593" s="69"/>
      <c r="M593" s="71"/>
      <c r="N593" s="71"/>
      <c r="O593" s="71"/>
      <c r="P593" s="71" t="s">
        <v>275</v>
      </c>
      <c r="Q593" s="88">
        <v>0.24489953026362901</v>
      </c>
      <c r="R593" s="89" t="s">
        <v>276</v>
      </c>
      <c r="S593" s="89"/>
      <c r="T593">
        <v>6.7</v>
      </c>
      <c r="U593" s="76">
        <v>0.2</v>
      </c>
      <c r="V593">
        <v>9.6</v>
      </c>
      <c r="W593" s="90">
        <v>0.1</v>
      </c>
      <c r="X593" s="90"/>
      <c r="Y593" s="71"/>
      <c r="Z593" s="71"/>
      <c r="AA593" s="71"/>
      <c r="AB593" s="71"/>
      <c r="AC593" s="71"/>
      <c r="AD593" s="71"/>
      <c r="AE593" s="71"/>
      <c r="AF593" s="71"/>
      <c r="AG593" s="82">
        <v>0</v>
      </c>
      <c r="AH593" s="76"/>
      <c r="AI593" s="76"/>
      <c r="AJ593" s="76"/>
      <c r="AK593" s="71">
        <v>0.15</v>
      </c>
      <c r="AL593" s="88">
        <v>3.4375863625514903E-2</v>
      </c>
      <c r="AM593" s="89">
        <f t="shared" si="9"/>
        <v>0.22917242417009936</v>
      </c>
      <c r="AN593" s="78"/>
    </row>
    <row r="594" spans="1:40" x14ac:dyDescent="0.25">
      <c r="A594" t="s">
        <v>44</v>
      </c>
      <c r="B594" t="s">
        <v>45</v>
      </c>
      <c r="C594" s="121" t="s">
        <v>174</v>
      </c>
      <c r="D594" t="s">
        <v>196</v>
      </c>
      <c r="E594" t="s">
        <v>61</v>
      </c>
      <c r="F594">
        <v>3</v>
      </c>
      <c r="G594">
        <v>5</v>
      </c>
      <c r="H594" s="86">
        <v>45958.888326168999</v>
      </c>
      <c r="I594" s="86">
        <v>45958.960500000001</v>
      </c>
      <c r="J594" s="87">
        <v>1.7321719444444501</v>
      </c>
      <c r="K594" s="69" t="s">
        <v>274</v>
      </c>
      <c r="L594" s="69"/>
      <c r="M594" s="71"/>
      <c r="N594" s="71"/>
      <c r="O594" s="71"/>
      <c r="P594" s="71" t="s">
        <v>275</v>
      </c>
      <c r="Q594" s="88">
        <v>0.23465895268276901</v>
      </c>
      <c r="R594" s="89" t="s">
        <v>276</v>
      </c>
      <c r="S594" s="89"/>
      <c r="T594">
        <v>6.6</v>
      </c>
      <c r="U594" s="76">
        <v>0.2</v>
      </c>
      <c r="V594">
        <v>9.6</v>
      </c>
      <c r="W594" s="90">
        <v>0.1</v>
      </c>
      <c r="X594" s="90"/>
      <c r="Y594" s="71"/>
      <c r="Z594" s="71"/>
      <c r="AA594" s="71"/>
      <c r="AB594" s="71"/>
      <c r="AC594" s="71"/>
      <c r="AD594" s="71"/>
      <c r="AE594" s="71"/>
      <c r="AF594" s="71"/>
      <c r="AG594" s="82">
        <v>0</v>
      </c>
      <c r="AH594" s="76"/>
      <c r="AI594" s="76"/>
      <c r="AJ594" s="76"/>
      <c r="AK594" s="71">
        <v>0.15</v>
      </c>
      <c r="AL594" s="88">
        <v>3.4375863625514903E-2</v>
      </c>
      <c r="AM594" s="89">
        <f t="shared" si="9"/>
        <v>0.22917242417009936</v>
      </c>
      <c r="AN594" s="78"/>
    </row>
    <row r="595" spans="1:40" x14ac:dyDescent="0.25">
      <c r="A595" t="s">
        <v>44</v>
      </c>
      <c r="B595" t="s">
        <v>45</v>
      </c>
      <c r="C595" s="121" t="s">
        <v>174</v>
      </c>
      <c r="D595" t="s">
        <v>196</v>
      </c>
      <c r="E595" t="s">
        <v>61</v>
      </c>
      <c r="F595">
        <v>3</v>
      </c>
      <c r="G595">
        <v>6</v>
      </c>
      <c r="H595" s="86">
        <v>45958.960500000001</v>
      </c>
      <c r="I595" s="86">
        <v>45959.032700439799</v>
      </c>
      <c r="J595" s="87">
        <v>1.73281055555556</v>
      </c>
      <c r="K595" s="69" t="s">
        <v>274</v>
      </c>
      <c r="L595" s="69"/>
      <c r="M595" s="71"/>
      <c r="N595" s="71"/>
      <c r="O595" s="71"/>
      <c r="P595" s="71" t="s">
        <v>275</v>
      </c>
      <c r="Q595" s="88">
        <v>0.218208024686706</v>
      </c>
      <c r="R595" s="89" t="s">
        <v>276</v>
      </c>
      <c r="S595" s="89"/>
      <c r="T595">
        <v>6.7</v>
      </c>
      <c r="U595" s="76">
        <v>0.2</v>
      </c>
      <c r="V595">
        <v>9.6</v>
      </c>
      <c r="W595" s="90">
        <v>0.1</v>
      </c>
      <c r="X595" s="90"/>
      <c r="Y595" s="71"/>
      <c r="Z595" s="71"/>
      <c r="AA595" s="71"/>
      <c r="AB595" s="71"/>
      <c r="AC595" s="71"/>
      <c r="AD595" s="71"/>
      <c r="AE595" s="71"/>
      <c r="AF595" s="71"/>
      <c r="AG595" s="82">
        <v>0</v>
      </c>
      <c r="AH595" s="76"/>
      <c r="AI595" s="76"/>
      <c r="AJ595" s="76"/>
      <c r="AK595" s="71">
        <v>0.15</v>
      </c>
      <c r="AL595" s="88">
        <v>3.4375863625514903E-2</v>
      </c>
      <c r="AM595" s="89">
        <f t="shared" si="9"/>
        <v>0.22917242417009936</v>
      </c>
      <c r="AN595" s="78"/>
    </row>
    <row r="596" spans="1:40" x14ac:dyDescent="0.25">
      <c r="A596" t="s">
        <v>44</v>
      </c>
      <c r="B596" t="s">
        <v>45</v>
      </c>
      <c r="C596" s="121" t="s">
        <v>174</v>
      </c>
      <c r="D596" t="s">
        <v>196</v>
      </c>
      <c r="E596" t="s">
        <v>61</v>
      </c>
      <c r="F596">
        <v>3</v>
      </c>
      <c r="G596">
        <v>7</v>
      </c>
      <c r="H596" s="86">
        <v>45959.032700439799</v>
      </c>
      <c r="I596" s="86">
        <v>45959.104876944497</v>
      </c>
      <c r="J596" s="87">
        <v>1.73223611111111</v>
      </c>
      <c r="K596" s="69" t="s">
        <v>274</v>
      </c>
      <c r="L596" s="69"/>
      <c r="M596" s="71"/>
      <c r="N596" s="71"/>
      <c r="O596" s="71"/>
      <c r="P596" s="71" t="s">
        <v>275</v>
      </c>
      <c r="Q596" s="88">
        <v>0.19134858282822501</v>
      </c>
      <c r="R596" s="89" t="s">
        <v>276</v>
      </c>
      <c r="S596" s="89"/>
      <c r="T596">
        <v>6.2</v>
      </c>
      <c r="U596" s="76">
        <v>0.2</v>
      </c>
      <c r="V596">
        <v>9.5</v>
      </c>
      <c r="W596" s="90">
        <v>0.1</v>
      </c>
      <c r="X596" s="90"/>
      <c r="Y596" s="71"/>
      <c r="Z596" s="71"/>
      <c r="AA596" s="71"/>
      <c r="AB596" s="71"/>
      <c r="AC596" s="71"/>
      <c r="AD596" s="71"/>
      <c r="AE596" s="71"/>
      <c r="AF596" s="71"/>
      <c r="AG596" s="82">
        <v>0</v>
      </c>
      <c r="AH596" s="76"/>
      <c r="AI596" s="76"/>
      <c r="AJ596" s="76"/>
      <c r="AK596" s="71">
        <v>0.15</v>
      </c>
      <c r="AL596" s="88">
        <v>3.4375863625514903E-2</v>
      </c>
      <c r="AM596" s="89">
        <f t="shared" si="9"/>
        <v>0.22917242417009936</v>
      </c>
      <c r="AN596" s="78"/>
    </row>
    <row r="597" spans="1:40" x14ac:dyDescent="0.25">
      <c r="A597" t="s">
        <v>44</v>
      </c>
      <c r="B597" t="s">
        <v>45</v>
      </c>
      <c r="C597" s="121" t="s">
        <v>174</v>
      </c>
      <c r="D597" t="s">
        <v>196</v>
      </c>
      <c r="E597" t="s">
        <v>61</v>
      </c>
      <c r="F597">
        <v>3</v>
      </c>
      <c r="G597">
        <v>8</v>
      </c>
      <c r="H597" s="86">
        <v>45959.104876944497</v>
      </c>
      <c r="I597" s="86">
        <v>45959.1770629167</v>
      </c>
      <c r="J597" s="87">
        <v>1.7324633333333299</v>
      </c>
      <c r="K597" s="69" t="s">
        <v>274</v>
      </c>
      <c r="L597" s="69"/>
      <c r="M597" s="71"/>
      <c r="N597" s="71"/>
      <c r="O597" s="71"/>
      <c r="P597" s="71" t="s">
        <v>275</v>
      </c>
      <c r="Q597" s="88">
        <v>0.151845205924664</v>
      </c>
      <c r="R597" s="89" t="s">
        <v>276</v>
      </c>
      <c r="S597" s="89"/>
      <c r="T597">
        <v>6.3</v>
      </c>
      <c r="U597" s="76">
        <v>0.2</v>
      </c>
      <c r="V597">
        <v>9.5</v>
      </c>
      <c r="W597" s="90">
        <v>0.1</v>
      </c>
      <c r="X597" s="90"/>
      <c r="Y597" s="71"/>
      <c r="Z597" s="71"/>
      <c r="AA597" s="71"/>
      <c r="AB597" s="71"/>
      <c r="AC597" s="71"/>
      <c r="AD597" s="71"/>
      <c r="AE597" s="71"/>
      <c r="AF597" s="71"/>
      <c r="AG597" s="82">
        <v>0</v>
      </c>
      <c r="AH597" s="76"/>
      <c r="AI597" s="76"/>
      <c r="AJ597" s="76"/>
      <c r="AK597" s="71">
        <v>0.15</v>
      </c>
      <c r="AL597" s="88">
        <v>3.4375863625514903E-2</v>
      </c>
      <c r="AM597" s="89">
        <f t="shared" si="9"/>
        <v>0.22917242417009936</v>
      </c>
      <c r="AN597" s="78"/>
    </row>
    <row r="598" spans="1:40" x14ac:dyDescent="0.25">
      <c r="A598" t="s">
        <v>44</v>
      </c>
      <c r="B598" t="s">
        <v>45</v>
      </c>
      <c r="C598" s="121" t="s">
        <v>174</v>
      </c>
      <c r="D598" t="s">
        <v>196</v>
      </c>
      <c r="E598" t="s">
        <v>61</v>
      </c>
      <c r="F598">
        <v>3</v>
      </c>
      <c r="G598">
        <v>9</v>
      </c>
      <c r="H598" s="86">
        <v>45959.1770629167</v>
      </c>
      <c r="I598" s="86">
        <v>45959.249248368098</v>
      </c>
      <c r="J598" s="87">
        <v>1.7324508333333299</v>
      </c>
      <c r="K598" s="69" t="s">
        <v>274</v>
      </c>
      <c r="L598" s="69"/>
      <c r="M598" s="71"/>
      <c r="N598" s="71"/>
      <c r="O598" s="71"/>
      <c r="P598" s="71" t="s">
        <v>275</v>
      </c>
      <c r="Q598" s="88">
        <v>0.15048264533318301</v>
      </c>
      <c r="R598" s="89" t="s">
        <v>276</v>
      </c>
      <c r="S598" s="89"/>
      <c r="T598">
        <v>5.4</v>
      </c>
      <c r="U598" s="76">
        <v>0.2</v>
      </c>
      <c r="V598">
        <v>9.5</v>
      </c>
      <c r="W598" s="90">
        <v>0.1</v>
      </c>
      <c r="X598" s="90"/>
      <c r="Y598" s="71"/>
      <c r="Z598" s="71"/>
      <c r="AA598" s="71"/>
      <c r="AB598" s="71"/>
      <c r="AC598" s="71"/>
      <c r="AD598" s="71"/>
      <c r="AE598" s="71"/>
      <c r="AF598" s="71"/>
      <c r="AG598" s="82">
        <v>0</v>
      </c>
      <c r="AH598" s="76"/>
      <c r="AI598" s="76"/>
      <c r="AJ598" s="76"/>
      <c r="AK598" s="71">
        <v>0.15</v>
      </c>
      <c r="AL598" s="88">
        <v>3.4375863625514903E-2</v>
      </c>
      <c r="AM598" s="89">
        <f t="shared" si="9"/>
        <v>0.22917242417009936</v>
      </c>
      <c r="AN598" s="78"/>
    </row>
    <row r="599" spans="1:40" x14ac:dyDescent="0.25">
      <c r="A599" t="s">
        <v>44</v>
      </c>
      <c r="B599" t="s">
        <v>45</v>
      </c>
      <c r="C599" s="121" t="s">
        <v>174</v>
      </c>
      <c r="D599" t="s">
        <v>196</v>
      </c>
      <c r="E599" t="s">
        <v>61</v>
      </c>
      <c r="F599">
        <v>3</v>
      </c>
      <c r="G599">
        <v>10</v>
      </c>
      <c r="H599" s="86">
        <v>45959.249248368098</v>
      </c>
      <c r="I599" s="86">
        <v>45959.321419455999</v>
      </c>
      <c r="J599" s="87">
        <v>1.73210611111111</v>
      </c>
      <c r="K599" s="69" t="s">
        <v>274</v>
      </c>
      <c r="L599" s="69"/>
      <c r="M599" s="71"/>
      <c r="N599" s="71"/>
      <c r="O599" s="71"/>
      <c r="P599" s="71" t="s">
        <v>275</v>
      </c>
      <c r="Q599" s="88">
        <v>0.141093143556283</v>
      </c>
      <c r="R599" s="89" t="s">
        <v>276</v>
      </c>
      <c r="S599" s="89"/>
      <c r="T599">
        <v>7.2</v>
      </c>
      <c r="U599" s="76">
        <v>0.2</v>
      </c>
      <c r="V599">
        <v>9.4</v>
      </c>
      <c r="W599" s="90">
        <v>0.1</v>
      </c>
      <c r="X599" s="90"/>
      <c r="Y599" s="71"/>
      <c r="Z599" s="71"/>
      <c r="AA599" s="71"/>
      <c r="AB599" s="71"/>
      <c r="AC599" s="71"/>
      <c r="AD599" s="71"/>
      <c r="AE599" s="71"/>
      <c r="AF599" s="71"/>
      <c r="AG599" s="82">
        <v>0</v>
      </c>
      <c r="AH599" s="76"/>
      <c r="AI599" s="76"/>
      <c r="AJ599" s="76"/>
      <c r="AK599" s="71">
        <v>0.15</v>
      </c>
      <c r="AL599" s="88">
        <v>3.4375863625514903E-2</v>
      </c>
      <c r="AM599" s="89">
        <f t="shared" si="9"/>
        <v>0.22917242417009936</v>
      </c>
      <c r="AN599" s="78"/>
    </row>
    <row r="600" spans="1:40" x14ac:dyDescent="0.25">
      <c r="A600" t="s">
        <v>44</v>
      </c>
      <c r="B600" t="s">
        <v>45</v>
      </c>
      <c r="C600" s="121" t="s">
        <v>174</v>
      </c>
      <c r="D600" t="s">
        <v>196</v>
      </c>
      <c r="E600" t="s">
        <v>61</v>
      </c>
      <c r="F600">
        <v>3</v>
      </c>
      <c r="G600">
        <v>11</v>
      </c>
      <c r="H600" s="86">
        <v>45959.321419455999</v>
      </c>
      <c r="I600" s="86">
        <v>45959.3936082523</v>
      </c>
      <c r="J600" s="87">
        <v>1.7325311111111099</v>
      </c>
      <c r="K600" s="69" t="s">
        <v>274</v>
      </c>
      <c r="L600" s="69"/>
      <c r="M600" s="71"/>
      <c r="N600" s="71"/>
      <c r="O600" s="71"/>
      <c r="P600" s="71" t="s">
        <v>275</v>
      </c>
      <c r="Q600" s="88">
        <v>0.161595880235226</v>
      </c>
      <c r="R600" s="89" t="s">
        <v>276</v>
      </c>
      <c r="S600" s="89"/>
      <c r="T600">
        <v>8</v>
      </c>
      <c r="U600" s="76">
        <v>0.2</v>
      </c>
      <c r="V600">
        <v>9.4</v>
      </c>
      <c r="W600" s="90">
        <v>0.1</v>
      </c>
      <c r="X600" s="90"/>
      <c r="Y600" s="71"/>
      <c r="Z600" s="71"/>
      <c r="AA600" s="71"/>
      <c r="AB600" s="71"/>
      <c r="AC600" s="71"/>
      <c r="AD600" s="71"/>
      <c r="AE600" s="71"/>
      <c r="AF600" s="71"/>
      <c r="AG600" s="82">
        <v>0</v>
      </c>
      <c r="AH600" s="76"/>
      <c r="AI600" s="76"/>
      <c r="AJ600" s="76"/>
      <c r="AK600" s="71">
        <v>0.15</v>
      </c>
      <c r="AL600" s="88">
        <v>3.4375863625514903E-2</v>
      </c>
      <c r="AM600" s="89">
        <f t="shared" si="9"/>
        <v>0.22917242417009936</v>
      </c>
      <c r="AN600" s="78"/>
    </row>
    <row r="601" spans="1:40" x14ac:dyDescent="0.25">
      <c r="A601" t="s">
        <v>44</v>
      </c>
      <c r="B601" t="s">
        <v>45</v>
      </c>
      <c r="C601" s="121" t="s">
        <v>174</v>
      </c>
      <c r="D601" t="s">
        <v>196</v>
      </c>
      <c r="E601" t="s">
        <v>61</v>
      </c>
      <c r="F601">
        <v>3</v>
      </c>
      <c r="G601">
        <v>12</v>
      </c>
      <c r="H601" s="86">
        <v>45959.3936082523</v>
      </c>
      <c r="I601" s="86">
        <v>45959.465797152799</v>
      </c>
      <c r="J601" s="87">
        <v>1.73253361111111</v>
      </c>
      <c r="K601" s="69" t="s">
        <v>274</v>
      </c>
      <c r="L601" s="69"/>
      <c r="M601" s="71"/>
      <c r="N601" s="71"/>
      <c r="O601" s="71"/>
      <c r="P601" s="71" t="s">
        <v>275</v>
      </c>
      <c r="Q601" s="88">
        <v>0.166555479134255</v>
      </c>
      <c r="R601" s="89" t="s">
        <v>276</v>
      </c>
      <c r="S601" s="89"/>
      <c r="T601">
        <v>8.6</v>
      </c>
      <c r="U601" s="76">
        <v>0.2</v>
      </c>
      <c r="V601">
        <v>9.4</v>
      </c>
      <c r="W601" s="90">
        <v>0.1</v>
      </c>
      <c r="X601" s="90"/>
      <c r="Y601" s="71"/>
      <c r="Z601" s="71"/>
      <c r="AA601" s="71"/>
      <c r="AB601" s="71"/>
      <c r="AC601" s="71"/>
      <c r="AD601" s="71"/>
      <c r="AE601" s="71"/>
      <c r="AF601" s="71"/>
      <c r="AG601" s="82">
        <v>1.6</v>
      </c>
      <c r="AH601" s="76"/>
      <c r="AI601" s="76"/>
      <c r="AJ601" s="76"/>
      <c r="AK601" s="71">
        <v>0.15</v>
      </c>
      <c r="AL601" s="88">
        <v>3.4375863625514903E-2</v>
      </c>
      <c r="AM601" s="89">
        <f t="shared" si="9"/>
        <v>0.22917242417009936</v>
      </c>
      <c r="AN601" s="78"/>
    </row>
    <row r="602" spans="1:40" x14ac:dyDescent="0.25">
      <c r="A602" t="s">
        <v>44</v>
      </c>
      <c r="B602" t="s">
        <v>45</v>
      </c>
      <c r="C602" s="121" t="s">
        <v>174</v>
      </c>
      <c r="D602" t="s">
        <v>196</v>
      </c>
      <c r="E602" t="s">
        <v>61</v>
      </c>
      <c r="F602">
        <v>3</v>
      </c>
      <c r="G602">
        <v>13</v>
      </c>
      <c r="H602" s="86">
        <v>45959.465797152799</v>
      </c>
      <c r="I602" s="86">
        <v>45959.537978865701</v>
      </c>
      <c r="J602" s="87">
        <v>1.7323611111111099</v>
      </c>
      <c r="K602" s="69" t="s">
        <v>274</v>
      </c>
      <c r="L602" s="69"/>
      <c r="M602" s="71"/>
      <c r="N602" s="71"/>
      <c r="O602" s="71"/>
      <c r="P602" s="71" t="s">
        <v>275</v>
      </c>
      <c r="Q602" s="88">
        <v>0.197582209537213</v>
      </c>
      <c r="R602" s="89" t="s">
        <v>276</v>
      </c>
      <c r="S602" s="89"/>
      <c r="T602">
        <v>10.4</v>
      </c>
      <c r="U602" s="76">
        <v>0.2</v>
      </c>
      <c r="V602">
        <v>9.4</v>
      </c>
      <c r="W602" s="90">
        <v>0.1</v>
      </c>
      <c r="X602" s="90"/>
      <c r="Y602" s="71"/>
      <c r="Z602" s="71"/>
      <c r="AA602" s="71"/>
      <c r="AB602" s="71"/>
      <c r="AC602" s="71"/>
      <c r="AD602" s="71"/>
      <c r="AE602" s="71"/>
      <c r="AF602" s="71"/>
      <c r="AG602" s="82">
        <v>0</v>
      </c>
      <c r="AH602" s="76"/>
      <c r="AI602" s="76"/>
      <c r="AJ602" s="76"/>
      <c r="AK602" s="71">
        <v>0.15</v>
      </c>
      <c r="AL602" s="88">
        <v>3.4375863625514903E-2</v>
      </c>
      <c r="AM602" s="89">
        <f t="shared" si="9"/>
        <v>0.22917242417009936</v>
      </c>
      <c r="AN602" s="78"/>
    </row>
    <row r="603" spans="1:40" x14ac:dyDescent="0.25">
      <c r="A603" t="s">
        <v>44</v>
      </c>
      <c r="B603" t="s">
        <v>45</v>
      </c>
      <c r="C603" s="121" t="s">
        <v>174</v>
      </c>
      <c r="D603" t="s">
        <v>196</v>
      </c>
      <c r="E603" t="s">
        <v>61</v>
      </c>
      <c r="F603">
        <v>3</v>
      </c>
      <c r="G603">
        <v>14</v>
      </c>
      <c r="H603" s="86">
        <v>45959.537978865701</v>
      </c>
      <c r="I603" s="86">
        <v>45959.6101816667</v>
      </c>
      <c r="J603" s="87">
        <v>1.7328672222222199</v>
      </c>
      <c r="K603" s="69" t="s">
        <v>274</v>
      </c>
      <c r="L603" s="69"/>
      <c r="M603" s="71"/>
      <c r="N603" s="71"/>
      <c r="O603" s="71"/>
      <c r="P603" s="71" t="s">
        <v>275</v>
      </c>
      <c r="Q603" s="88">
        <v>0.14436586587790701</v>
      </c>
      <c r="R603" s="89" t="s">
        <v>276</v>
      </c>
      <c r="S603" s="89"/>
      <c r="T603">
        <v>9.4</v>
      </c>
      <c r="U603" s="76">
        <v>0.2</v>
      </c>
      <c r="V603">
        <v>9.6</v>
      </c>
      <c r="W603" s="90">
        <v>0.1</v>
      </c>
      <c r="X603" s="90"/>
      <c r="Y603" s="71"/>
      <c r="Z603" s="71"/>
      <c r="AA603" s="71"/>
      <c r="AB603" s="71"/>
      <c r="AC603" s="71"/>
      <c r="AD603" s="71"/>
      <c r="AE603" s="71"/>
      <c r="AF603" s="71"/>
      <c r="AG603" s="82">
        <v>0.2</v>
      </c>
      <c r="AH603" s="76"/>
      <c r="AI603" s="76"/>
      <c r="AJ603" s="76"/>
      <c r="AK603" s="71">
        <v>0.15</v>
      </c>
      <c r="AL603" s="88">
        <v>3.4375863625514903E-2</v>
      </c>
      <c r="AM603" s="89">
        <f t="shared" si="9"/>
        <v>0.22917242417009936</v>
      </c>
      <c r="AN603" s="78"/>
    </row>
    <row r="604" spans="1:40" x14ac:dyDescent="0.25">
      <c r="A604" t="s">
        <v>44</v>
      </c>
      <c r="B604" t="s">
        <v>45</v>
      </c>
      <c r="C604" s="121" t="s">
        <v>174</v>
      </c>
      <c r="D604" t="s">
        <v>196</v>
      </c>
      <c r="E604" t="s">
        <v>61</v>
      </c>
      <c r="F604">
        <v>3</v>
      </c>
      <c r="G604">
        <v>15</v>
      </c>
      <c r="H604" s="86">
        <v>45959.6101816667</v>
      </c>
      <c r="I604" s="86">
        <v>45959.682346678201</v>
      </c>
      <c r="J604" s="87">
        <v>1.7319602777777801</v>
      </c>
      <c r="K604" s="69" t="s">
        <v>274</v>
      </c>
      <c r="L604" s="69"/>
      <c r="M604" s="71"/>
      <c r="N604" s="71"/>
      <c r="O604" s="71"/>
      <c r="P604" s="71" t="s">
        <v>275</v>
      </c>
      <c r="Q604" s="88">
        <v>0.13380028623033099</v>
      </c>
      <c r="R604" s="89" t="s">
        <v>276</v>
      </c>
      <c r="S604" s="89"/>
      <c r="T604">
        <v>9.4</v>
      </c>
      <c r="U604" s="76">
        <v>0.2</v>
      </c>
      <c r="V604">
        <v>9.6999999999999993</v>
      </c>
      <c r="W604" s="90">
        <v>0.1</v>
      </c>
      <c r="X604" s="90"/>
      <c r="Y604" s="71"/>
      <c r="Z604" s="71"/>
      <c r="AA604" s="71"/>
      <c r="AB604" s="71"/>
      <c r="AC604" s="71"/>
      <c r="AD604" s="71"/>
      <c r="AE604" s="71"/>
      <c r="AF604" s="71"/>
      <c r="AG604" s="82">
        <v>0.1</v>
      </c>
      <c r="AH604" s="76"/>
      <c r="AI604" s="76"/>
      <c r="AJ604" s="76"/>
      <c r="AK604" s="71">
        <v>0.15</v>
      </c>
      <c r="AL604" s="88">
        <v>3.4375863625514903E-2</v>
      </c>
      <c r="AM604" s="89">
        <f t="shared" si="9"/>
        <v>0.22917242417009936</v>
      </c>
      <c r="AN604" s="78"/>
    </row>
    <row r="605" spans="1:40" x14ac:dyDescent="0.25">
      <c r="A605" t="s">
        <v>44</v>
      </c>
      <c r="B605" t="s">
        <v>45</v>
      </c>
      <c r="C605" s="121" t="s">
        <v>174</v>
      </c>
      <c r="D605" t="s">
        <v>196</v>
      </c>
      <c r="E605" t="s">
        <v>61</v>
      </c>
      <c r="F605">
        <v>3</v>
      </c>
      <c r="G605">
        <v>16</v>
      </c>
      <c r="H605" s="86">
        <v>45959.682346678201</v>
      </c>
      <c r="I605" s="86">
        <v>45959.754548229197</v>
      </c>
      <c r="J605" s="87">
        <v>1.7328372222222199</v>
      </c>
      <c r="K605" s="69" t="s">
        <v>274</v>
      </c>
      <c r="L605" s="69"/>
      <c r="M605" s="71"/>
      <c r="N605" s="71"/>
      <c r="O605" s="71"/>
      <c r="P605" s="71" t="s">
        <v>275</v>
      </c>
      <c r="Q605" s="88">
        <v>0.13415969864124599</v>
      </c>
      <c r="R605" s="89" t="s">
        <v>276</v>
      </c>
      <c r="S605" s="89"/>
      <c r="T605">
        <v>9.1999999999999993</v>
      </c>
      <c r="U605" s="76">
        <v>0.2</v>
      </c>
      <c r="V605">
        <v>9.8000000000000007</v>
      </c>
      <c r="W605" s="90">
        <v>0.1</v>
      </c>
      <c r="X605" s="90"/>
      <c r="Y605" s="71"/>
      <c r="Z605" s="71"/>
      <c r="AA605" s="71"/>
      <c r="AB605" s="71"/>
      <c r="AC605" s="71"/>
      <c r="AD605" s="71"/>
      <c r="AE605" s="71"/>
      <c r="AF605" s="71"/>
      <c r="AG605" s="82">
        <v>0</v>
      </c>
      <c r="AH605" s="76"/>
      <c r="AI605" s="76"/>
      <c r="AJ605" s="76"/>
      <c r="AK605" s="71">
        <v>0.15</v>
      </c>
      <c r="AL605" s="88">
        <v>3.4375863625514903E-2</v>
      </c>
      <c r="AM605" s="89">
        <f t="shared" si="9"/>
        <v>0.22917242417009936</v>
      </c>
      <c r="AN605" s="78"/>
    </row>
    <row r="606" spans="1:40" x14ac:dyDescent="0.25">
      <c r="A606" t="s">
        <v>44</v>
      </c>
      <c r="B606" t="s">
        <v>45</v>
      </c>
      <c r="C606" s="121" t="s">
        <v>174</v>
      </c>
      <c r="D606" t="s">
        <v>196</v>
      </c>
      <c r="E606" t="s">
        <v>61</v>
      </c>
      <c r="F606">
        <v>3</v>
      </c>
      <c r="G606">
        <v>17</v>
      </c>
      <c r="H606" s="86">
        <v>45959.754548229197</v>
      </c>
      <c r="I606" s="86">
        <v>45959.826722743099</v>
      </c>
      <c r="J606" s="87">
        <v>1.7321883333333301</v>
      </c>
      <c r="K606" s="69" t="s">
        <v>274</v>
      </c>
      <c r="L606" s="69"/>
      <c r="M606" s="71"/>
      <c r="N606" s="71"/>
      <c r="O606" s="71"/>
      <c r="P606" s="71" t="s">
        <v>275</v>
      </c>
      <c r="Q606" s="88">
        <v>0.17774157310734201</v>
      </c>
      <c r="R606" s="89" t="s">
        <v>276</v>
      </c>
      <c r="S606" s="89"/>
      <c r="T606">
        <v>9</v>
      </c>
      <c r="U606" s="76">
        <v>0.2</v>
      </c>
      <c r="V606">
        <v>9.9</v>
      </c>
      <c r="W606" s="90">
        <v>0.1</v>
      </c>
      <c r="X606" s="90"/>
      <c r="Y606" s="71"/>
      <c r="Z606" s="71"/>
      <c r="AA606" s="71"/>
      <c r="AB606" s="71"/>
      <c r="AC606" s="71"/>
      <c r="AD606" s="71"/>
      <c r="AE606" s="71"/>
      <c r="AF606" s="71"/>
      <c r="AG606" s="82">
        <v>0</v>
      </c>
      <c r="AH606" s="76"/>
      <c r="AI606" s="76"/>
      <c r="AJ606" s="76"/>
      <c r="AK606" s="71">
        <v>0.15</v>
      </c>
      <c r="AL606" s="88">
        <v>3.4375863625514903E-2</v>
      </c>
      <c r="AM606" s="89">
        <f t="shared" si="9"/>
        <v>0.22917242417009936</v>
      </c>
      <c r="AN606" s="78"/>
    </row>
    <row r="607" spans="1:40" x14ac:dyDescent="0.25">
      <c r="A607" t="s">
        <v>44</v>
      </c>
      <c r="B607" t="s">
        <v>45</v>
      </c>
      <c r="C607" s="121" t="s">
        <v>174</v>
      </c>
      <c r="D607" t="s">
        <v>196</v>
      </c>
      <c r="E607" t="s">
        <v>61</v>
      </c>
      <c r="F607">
        <v>3</v>
      </c>
      <c r="G607">
        <v>18</v>
      </c>
      <c r="H607" s="86">
        <v>45959.826722743099</v>
      </c>
      <c r="I607" s="86">
        <v>45959.898901493099</v>
      </c>
      <c r="J607" s="87">
        <v>1.7322900000000001</v>
      </c>
      <c r="K607" s="69" t="s">
        <v>274</v>
      </c>
      <c r="L607" s="69"/>
      <c r="M607" s="71"/>
      <c r="N607" s="71"/>
      <c r="O607" s="71"/>
      <c r="P607" s="71" t="s">
        <v>275</v>
      </c>
      <c r="Q607" s="88">
        <v>0.16694095443899501</v>
      </c>
      <c r="R607" s="89" t="s">
        <v>276</v>
      </c>
      <c r="S607" s="89"/>
      <c r="T607">
        <v>8.8000000000000007</v>
      </c>
      <c r="U607" s="76">
        <v>0.2</v>
      </c>
      <c r="V607">
        <v>9.9</v>
      </c>
      <c r="W607" s="90">
        <v>0.1</v>
      </c>
      <c r="X607" s="90"/>
      <c r="Y607" s="71"/>
      <c r="Z607" s="71"/>
      <c r="AA607" s="71"/>
      <c r="AB607" s="71"/>
      <c r="AC607" s="71"/>
      <c r="AD607" s="71"/>
      <c r="AE607" s="71"/>
      <c r="AF607" s="71"/>
      <c r="AG607" s="82">
        <v>0.1</v>
      </c>
      <c r="AH607" s="76"/>
      <c r="AI607" s="76"/>
      <c r="AJ607" s="76"/>
      <c r="AK607" s="71">
        <v>0.15</v>
      </c>
      <c r="AL607" s="88">
        <v>3.4375863625514903E-2</v>
      </c>
      <c r="AM607" s="89">
        <f t="shared" si="9"/>
        <v>0.22917242417009936</v>
      </c>
      <c r="AN607" s="78"/>
    </row>
    <row r="608" spans="1:40" x14ac:dyDescent="0.25">
      <c r="A608" t="s">
        <v>44</v>
      </c>
      <c r="B608" t="s">
        <v>45</v>
      </c>
      <c r="C608" s="121" t="s">
        <v>174</v>
      </c>
      <c r="D608" t="s">
        <v>196</v>
      </c>
      <c r="E608" t="s">
        <v>61</v>
      </c>
      <c r="F608">
        <v>3</v>
      </c>
      <c r="G608">
        <v>19</v>
      </c>
      <c r="H608" s="86">
        <v>45959.898901493099</v>
      </c>
      <c r="I608" s="86">
        <v>45959.971094849498</v>
      </c>
      <c r="J608" s="87">
        <v>1.73264055555556</v>
      </c>
      <c r="K608" s="69" t="s">
        <v>274</v>
      </c>
      <c r="L608" s="69"/>
      <c r="M608" s="71"/>
      <c r="N608" s="71"/>
      <c r="O608" s="71"/>
      <c r="P608" s="71" t="s">
        <v>275</v>
      </c>
      <c r="Q608" s="88">
        <v>0.17513735676333</v>
      </c>
      <c r="R608" s="89" t="s">
        <v>276</v>
      </c>
      <c r="S608" s="89"/>
      <c r="T608">
        <v>8.9</v>
      </c>
      <c r="U608" s="76">
        <v>0.2</v>
      </c>
      <c r="V608">
        <v>9.9</v>
      </c>
      <c r="W608" s="90">
        <v>0.1</v>
      </c>
      <c r="X608" s="90"/>
      <c r="Y608" s="71"/>
      <c r="Z608" s="71"/>
      <c r="AA608" s="71"/>
      <c r="AB608" s="71"/>
      <c r="AC608" s="71"/>
      <c r="AD608" s="71"/>
      <c r="AE608" s="71"/>
      <c r="AF608" s="71"/>
      <c r="AG608" s="82">
        <v>0.4</v>
      </c>
      <c r="AH608" s="76"/>
      <c r="AI608" s="76"/>
      <c r="AJ608" s="76"/>
      <c r="AK608" s="71">
        <v>0.15</v>
      </c>
      <c r="AL608" s="88">
        <v>3.4375863625514903E-2</v>
      </c>
      <c r="AM608" s="89">
        <f t="shared" si="9"/>
        <v>0.22917242417009936</v>
      </c>
      <c r="AN608" s="78"/>
    </row>
    <row r="609" spans="1:40" x14ac:dyDescent="0.25">
      <c r="A609" t="s">
        <v>44</v>
      </c>
      <c r="B609" t="s">
        <v>45</v>
      </c>
      <c r="C609" s="121" t="s">
        <v>174</v>
      </c>
      <c r="D609" t="s">
        <v>196</v>
      </c>
      <c r="E609" t="s">
        <v>61</v>
      </c>
      <c r="F609">
        <v>3</v>
      </c>
      <c r="G609">
        <v>20</v>
      </c>
      <c r="H609" s="86">
        <v>45959.971094849498</v>
      </c>
      <c r="I609" s="86">
        <v>45960.0432875232</v>
      </c>
      <c r="J609" s="87">
        <v>1.73262416666667</v>
      </c>
      <c r="K609" s="69" t="s">
        <v>274</v>
      </c>
      <c r="L609" s="69"/>
      <c r="M609" s="71"/>
      <c r="N609" s="71"/>
      <c r="O609" s="71"/>
      <c r="P609" s="71" t="s">
        <v>275</v>
      </c>
      <c r="Q609" s="88">
        <v>0.17490144093177101</v>
      </c>
      <c r="R609" s="89" t="s">
        <v>276</v>
      </c>
      <c r="S609" s="89"/>
      <c r="T609">
        <v>8.8000000000000007</v>
      </c>
      <c r="U609" s="76">
        <v>0.2</v>
      </c>
      <c r="V609">
        <v>9.9</v>
      </c>
      <c r="W609" s="90">
        <v>0.1</v>
      </c>
      <c r="X609" s="90"/>
      <c r="Y609" s="71"/>
      <c r="Z609" s="71"/>
      <c r="AA609" s="71"/>
      <c r="AB609" s="71"/>
      <c r="AC609" s="71"/>
      <c r="AD609" s="71"/>
      <c r="AE609" s="71"/>
      <c r="AF609" s="71"/>
      <c r="AG609" s="82">
        <v>1</v>
      </c>
      <c r="AH609" s="76"/>
      <c r="AI609" s="76"/>
      <c r="AJ609" s="76"/>
      <c r="AK609" s="71">
        <v>0.15</v>
      </c>
      <c r="AL609" s="88">
        <v>3.4375863625514903E-2</v>
      </c>
      <c r="AM609" s="89">
        <f t="shared" si="9"/>
        <v>0.22917242417009936</v>
      </c>
      <c r="AN609" s="78"/>
    </row>
    <row r="610" spans="1:40" x14ac:dyDescent="0.25">
      <c r="A610" t="s">
        <v>44</v>
      </c>
      <c r="B610" t="s">
        <v>45</v>
      </c>
      <c r="C610" s="121" t="s">
        <v>174</v>
      </c>
      <c r="D610" t="s">
        <v>196</v>
      </c>
      <c r="E610" t="s">
        <v>61</v>
      </c>
      <c r="F610">
        <v>3</v>
      </c>
      <c r="G610">
        <v>21</v>
      </c>
      <c r="H610" s="86">
        <v>45960.0432875232</v>
      </c>
      <c r="I610" s="86">
        <v>45960.115459525499</v>
      </c>
      <c r="J610" s="87">
        <v>1.73212805555556</v>
      </c>
      <c r="K610" s="69" t="s">
        <v>274</v>
      </c>
      <c r="L610" s="69"/>
      <c r="M610" s="71"/>
      <c r="N610" s="71"/>
      <c r="O610" s="71"/>
      <c r="P610" s="71" t="s">
        <v>275</v>
      </c>
      <c r="Q610" s="88">
        <v>0.17426040261587999</v>
      </c>
      <c r="R610" s="89" t="s">
        <v>276</v>
      </c>
      <c r="S610" s="89"/>
      <c r="T610">
        <v>8.6999999999999993</v>
      </c>
      <c r="U610" s="76">
        <v>0.2</v>
      </c>
      <c r="V610">
        <v>9.9</v>
      </c>
      <c r="W610" s="90">
        <v>0.1</v>
      </c>
      <c r="X610" s="90"/>
      <c r="Y610" s="71"/>
      <c r="Z610" s="71"/>
      <c r="AA610" s="71"/>
      <c r="AB610" s="71"/>
      <c r="AC610" s="71"/>
      <c r="AD610" s="71"/>
      <c r="AE610" s="71"/>
      <c r="AF610" s="71"/>
      <c r="AG610" s="82">
        <v>1.7</v>
      </c>
      <c r="AH610" s="76"/>
      <c r="AI610" s="76"/>
      <c r="AJ610" s="76"/>
      <c r="AK610" s="71">
        <v>0.15</v>
      </c>
      <c r="AL610" s="88">
        <v>3.4375863625514903E-2</v>
      </c>
      <c r="AM610" s="89">
        <f t="shared" si="9"/>
        <v>0.22917242417009936</v>
      </c>
      <c r="AN610" s="78"/>
    </row>
    <row r="611" spans="1:40" x14ac:dyDescent="0.25">
      <c r="A611" t="s">
        <v>44</v>
      </c>
      <c r="B611" t="s">
        <v>45</v>
      </c>
      <c r="C611" s="121" t="s">
        <v>174</v>
      </c>
      <c r="D611" t="s">
        <v>196</v>
      </c>
      <c r="E611" t="s">
        <v>61</v>
      </c>
      <c r="F611">
        <v>3</v>
      </c>
      <c r="G611">
        <v>22</v>
      </c>
      <c r="H611" s="86">
        <v>45960.115459525499</v>
      </c>
      <c r="I611" s="86">
        <v>45960.187652106499</v>
      </c>
      <c r="J611" s="87">
        <v>1.7326219444444499</v>
      </c>
      <c r="K611" s="69" t="s">
        <v>274</v>
      </c>
      <c r="L611" s="69"/>
      <c r="M611" s="71"/>
      <c r="N611" s="71"/>
      <c r="O611" s="71"/>
      <c r="P611" s="71" t="s">
        <v>275</v>
      </c>
      <c r="Q611" s="88">
        <v>0.16278967694979199</v>
      </c>
      <c r="R611" s="89" t="s">
        <v>276</v>
      </c>
      <c r="S611" s="89"/>
      <c r="T611">
        <v>8.6999999999999993</v>
      </c>
      <c r="U611" s="76">
        <v>0.2</v>
      </c>
      <c r="V611">
        <v>9.8000000000000007</v>
      </c>
      <c r="W611" s="90">
        <v>0.1</v>
      </c>
      <c r="X611" s="90"/>
      <c r="Y611" s="71"/>
      <c r="Z611" s="71"/>
      <c r="AA611" s="71"/>
      <c r="AB611" s="71"/>
      <c r="AC611" s="71"/>
      <c r="AD611" s="71"/>
      <c r="AE611" s="71"/>
      <c r="AF611" s="71"/>
      <c r="AG611" s="82">
        <v>2.1</v>
      </c>
      <c r="AH611" s="76"/>
      <c r="AI611" s="76"/>
      <c r="AJ611" s="76"/>
      <c r="AK611" s="71">
        <v>0.15</v>
      </c>
      <c r="AL611" s="88">
        <v>3.4375863625514903E-2</v>
      </c>
      <c r="AM611" s="89">
        <f t="shared" si="9"/>
        <v>0.22917242417009936</v>
      </c>
      <c r="AN611" s="78"/>
    </row>
    <row r="612" spans="1:40" x14ac:dyDescent="0.25">
      <c r="A612" t="s">
        <v>44</v>
      </c>
      <c r="B612" t="s">
        <v>45</v>
      </c>
      <c r="C612" s="121" t="s">
        <v>174</v>
      </c>
      <c r="D612" t="s">
        <v>196</v>
      </c>
      <c r="E612" t="s">
        <v>61</v>
      </c>
      <c r="F612">
        <v>3</v>
      </c>
      <c r="G612">
        <v>23</v>
      </c>
      <c r="H612" s="86">
        <v>45960.187652106499</v>
      </c>
      <c r="I612" s="86">
        <v>45960.259827372698</v>
      </c>
      <c r="J612" s="87">
        <v>1.7322063888888899</v>
      </c>
      <c r="K612" s="69" t="s">
        <v>274</v>
      </c>
      <c r="L612" s="69"/>
      <c r="M612" s="71"/>
      <c r="N612" s="71"/>
      <c r="O612" s="71"/>
      <c r="P612" s="71" t="s">
        <v>275</v>
      </c>
      <c r="Q612" s="88">
        <v>0.14992218220969999</v>
      </c>
      <c r="R612" s="89" t="s">
        <v>276</v>
      </c>
      <c r="S612" s="89"/>
      <c r="T612">
        <v>8.5</v>
      </c>
      <c r="U612" s="76">
        <v>0.2</v>
      </c>
      <c r="V612">
        <v>9.8000000000000007</v>
      </c>
      <c r="W612" s="90">
        <v>0.1</v>
      </c>
      <c r="X612" s="90"/>
      <c r="Y612" s="71"/>
      <c r="Z612" s="71"/>
      <c r="AA612" s="71"/>
      <c r="AB612" s="71"/>
      <c r="AC612" s="71"/>
      <c r="AD612" s="71"/>
      <c r="AE612" s="71"/>
      <c r="AF612" s="71"/>
      <c r="AG612" s="82">
        <v>1.5</v>
      </c>
      <c r="AH612" s="76"/>
      <c r="AI612" s="76"/>
      <c r="AJ612" s="76"/>
      <c r="AK612" s="71">
        <v>0.15</v>
      </c>
      <c r="AL612" s="88">
        <v>3.4375863625514903E-2</v>
      </c>
      <c r="AM612" s="89">
        <f t="shared" si="9"/>
        <v>0.22917242417009936</v>
      </c>
      <c r="AN612" s="78"/>
    </row>
    <row r="613" spans="1:40" x14ac:dyDescent="0.25">
      <c r="A613" t="s">
        <v>44</v>
      </c>
      <c r="B613" t="s">
        <v>45</v>
      </c>
      <c r="C613" s="121" t="s">
        <v>174</v>
      </c>
      <c r="D613" t="s">
        <v>196</v>
      </c>
      <c r="E613" t="s">
        <v>61</v>
      </c>
      <c r="F613">
        <v>3</v>
      </c>
      <c r="G613">
        <v>24</v>
      </c>
      <c r="H613" s="86">
        <v>45960.259827372698</v>
      </c>
      <c r="I613" s="86">
        <v>45960.332022407398</v>
      </c>
      <c r="J613" s="87">
        <v>1.7326808333333299</v>
      </c>
      <c r="K613" s="69" t="s">
        <v>274</v>
      </c>
      <c r="L613" s="69"/>
      <c r="M613" s="71"/>
      <c r="N613" s="71"/>
      <c r="O613" s="71"/>
      <c r="P613" s="71" t="s">
        <v>275</v>
      </c>
      <c r="Q613" s="88">
        <v>0.13067875122459799</v>
      </c>
      <c r="R613" s="89" t="s">
        <v>276</v>
      </c>
      <c r="S613" s="89"/>
      <c r="T613">
        <v>8.6</v>
      </c>
      <c r="U613" s="76">
        <v>0.2</v>
      </c>
      <c r="V613">
        <v>9.8000000000000007</v>
      </c>
      <c r="W613" s="90">
        <v>0.1</v>
      </c>
      <c r="X613" s="90"/>
      <c r="Y613" s="71"/>
      <c r="Z613" s="71"/>
      <c r="AA613" s="71"/>
      <c r="AB613" s="71"/>
      <c r="AC613" s="71"/>
      <c r="AD613" s="71"/>
      <c r="AE613" s="71"/>
      <c r="AF613" s="71"/>
      <c r="AG613" s="82">
        <v>1.2</v>
      </c>
      <c r="AH613" s="76"/>
      <c r="AI613" s="76"/>
      <c r="AJ613" s="76"/>
      <c r="AK613" s="71">
        <v>0.15</v>
      </c>
      <c r="AL613" s="88">
        <v>3.4375863625514903E-2</v>
      </c>
      <c r="AM613" s="89">
        <f t="shared" si="9"/>
        <v>0.22917242417009936</v>
      </c>
      <c r="AN613" s="78"/>
    </row>
    <row r="614" spans="1:40" x14ac:dyDescent="0.25">
      <c r="A614" t="s">
        <v>44</v>
      </c>
      <c r="B614" t="s">
        <v>45</v>
      </c>
      <c r="C614" s="121" t="s">
        <v>174</v>
      </c>
      <c r="D614" t="s">
        <v>196</v>
      </c>
      <c r="E614" t="s">
        <v>61</v>
      </c>
      <c r="F614">
        <v>3</v>
      </c>
      <c r="G614">
        <v>25</v>
      </c>
      <c r="H614" s="86">
        <v>45960.332022407398</v>
      </c>
      <c r="I614" s="86">
        <v>45960.404201956</v>
      </c>
      <c r="J614" s="87">
        <v>1.7323091666666699</v>
      </c>
      <c r="K614" s="69" t="s">
        <v>274</v>
      </c>
      <c r="L614" s="69"/>
      <c r="M614" s="71"/>
      <c r="N614" s="71"/>
      <c r="O614" s="71"/>
      <c r="P614" s="71" t="s">
        <v>275</v>
      </c>
      <c r="Q614" s="88">
        <v>0.113494451447972</v>
      </c>
      <c r="R614" s="89" t="s">
        <v>276</v>
      </c>
      <c r="S614" s="89"/>
      <c r="T614">
        <v>8.1</v>
      </c>
      <c r="U614" s="76">
        <v>0.2</v>
      </c>
      <c r="V614">
        <v>9.8000000000000007</v>
      </c>
      <c r="W614" s="90">
        <v>0.1</v>
      </c>
      <c r="X614" s="90"/>
      <c r="Y614" s="71"/>
      <c r="Z614" s="71"/>
      <c r="AA614" s="71"/>
      <c r="AB614" s="71"/>
      <c r="AC614" s="71"/>
      <c r="AD614" s="71"/>
      <c r="AE614" s="71"/>
      <c r="AF614" s="71"/>
      <c r="AG614" s="82">
        <v>0.3</v>
      </c>
      <c r="AH614" s="76"/>
      <c r="AI614" s="76"/>
      <c r="AJ614" s="76"/>
      <c r="AK614" s="71">
        <v>0.15</v>
      </c>
      <c r="AL614" s="88">
        <v>3.4375863625514903E-2</v>
      </c>
      <c r="AM614" s="89">
        <f t="shared" si="9"/>
        <v>0.22917242417009936</v>
      </c>
      <c r="AN614" s="78"/>
    </row>
    <row r="615" spans="1:40" x14ac:dyDescent="0.25">
      <c r="A615" t="s">
        <v>44</v>
      </c>
      <c r="B615" t="s">
        <v>45</v>
      </c>
      <c r="C615" s="121" t="s">
        <v>174</v>
      </c>
      <c r="D615" t="s">
        <v>196</v>
      </c>
      <c r="E615" t="s">
        <v>61</v>
      </c>
      <c r="F615">
        <v>3</v>
      </c>
      <c r="G615">
        <v>26</v>
      </c>
      <c r="H615" s="86">
        <v>45960.404201956</v>
      </c>
      <c r="I615" s="86">
        <v>45960.476380671302</v>
      </c>
      <c r="J615" s="87">
        <v>1.73228916666667</v>
      </c>
      <c r="K615" s="69" t="s">
        <v>274</v>
      </c>
      <c r="L615" s="69"/>
      <c r="M615" s="71"/>
      <c r="N615" s="71"/>
      <c r="O615" s="71"/>
      <c r="P615" s="71" t="s">
        <v>275</v>
      </c>
      <c r="Q615" s="88">
        <v>0.114356557914833</v>
      </c>
      <c r="R615" s="89" t="s">
        <v>276</v>
      </c>
      <c r="S615" s="89"/>
      <c r="T615">
        <v>7.4</v>
      </c>
      <c r="U615" s="76">
        <v>0.2</v>
      </c>
      <c r="V615">
        <v>9.8000000000000007</v>
      </c>
      <c r="W615" s="90">
        <v>0.1</v>
      </c>
      <c r="X615" s="90"/>
      <c r="Y615" s="71"/>
      <c r="Z615" s="71"/>
      <c r="AA615" s="71"/>
      <c r="AB615" s="71"/>
      <c r="AC615" s="71"/>
      <c r="AD615" s="71"/>
      <c r="AE615" s="71"/>
      <c r="AF615" s="71"/>
      <c r="AG615" s="82">
        <v>0.1</v>
      </c>
      <c r="AH615" s="76"/>
      <c r="AI615" s="76"/>
      <c r="AJ615" s="76"/>
      <c r="AK615" s="71">
        <v>0.15</v>
      </c>
      <c r="AL615" s="88">
        <v>3.4375863625514903E-2</v>
      </c>
      <c r="AM615" s="89">
        <f t="shared" si="9"/>
        <v>0.22917242417009936</v>
      </c>
      <c r="AN615" s="78"/>
    </row>
    <row r="616" spans="1:40" x14ac:dyDescent="0.25">
      <c r="A616" t="s">
        <v>44</v>
      </c>
      <c r="B616" t="s">
        <v>45</v>
      </c>
      <c r="C616" s="121" t="s">
        <v>174</v>
      </c>
      <c r="D616" t="s">
        <v>196</v>
      </c>
      <c r="E616" t="s">
        <v>61</v>
      </c>
      <c r="F616">
        <v>3</v>
      </c>
      <c r="G616">
        <v>27</v>
      </c>
      <c r="H616" s="86">
        <v>45960.476380671302</v>
      </c>
      <c r="I616" s="86">
        <v>45960.5485807523</v>
      </c>
      <c r="J616" s="87">
        <v>1.73280194444444</v>
      </c>
      <c r="K616" s="69" t="s">
        <v>274</v>
      </c>
      <c r="L616" s="69"/>
      <c r="M616" s="71"/>
      <c r="N616" s="71"/>
      <c r="O616" s="71"/>
      <c r="P616" s="71" t="s">
        <v>275</v>
      </c>
      <c r="Q616" s="88">
        <v>0.18071969923298001</v>
      </c>
      <c r="R616" s="89" t="s">
        <v>276</v>
      </c>
      <c r="S616" s="89"/>
      <c r="T616">
        <v>8.1</v>
      </c>
      <c r="U616" s="76">
        <v>0.2</v>
      </c>
      <c r="V616">
        <v>9.8000000000000007</v>
      </c>
      <c r="W616" s="90">
        <v>0.1</v>
      </c>
      <c r="X616" s="90"/>
      <c r="Y616" s="71"/>
      <c r="Z616" s="71"/>
      <c r="AA616" s="71"/>
      <c r="AB616" s="71"/>
      <c r="AC616" s="71"/>
      <c r="AD616" s="71"/>
      <c r="AE616" s="71"/>
      <c r="AF616" s="71"/>
      <c r="AG616" s="82">
        <v>0</v>
      </c>
      <c r="AH616" s="76"/>
      <c r="AI616" s="76"/>
      <c r="AJ616" s="76"/>
      <c r="AK616" s="71">
        <v>0.15</v>
      </c>
      <c r="AL616" s="88">
        <v>3.4375863625514903E-2</v>
      </c>
      <c r="AM616" s="89">
        <f t="shared" si="9"/>
        <v>0.22917242417009936</v>
      </c>
      <c r="AN616" s="78"/>
    </row>
    <row r="617" spans="1:40" x14ac:dyDescent="0.25">
      <c r="A617" t="s">
        <v>44</v>
      </c>
      <c r="B617" t="s">
        <v>45</v>
      </c>
      <c r="C617" s="121" t="s">
        <v>174</v>
      </c>
      <c r="D617" t="s">
        <v>196</v>
      </c>
      <c r="E617" t="s">
        <v>61</v>
      </c>
      <c r="F617">
        <v>3</v>
      </c>
      <c r="G617">
        <v>28</v>
      </c>
      <c r="H617" s="86">
        <v>45960.5485807523</v>
      </c>
      <c r="I617" s="86">
        <v>45960.620762465303</v>
      </c>
      <c r="J617" s="87">
        <v>1.7323611111111099</v>
      </c>
      <c r="K617" s="69" t="s">
        <v>274</v>
      </c>
      <c r="L617" s="69"/>
      <c r="M617" s="71"/>
      <c r="N617" s="71"/>
      <c r="O617" s="71"/>
      <c r="P617" s="71" t="s">
        <v>275</v>
      </c>
      <c r="Q617" s="88">
        <v>0.14208349828952499</v>
      </c>
      <c r="R617" s="89" t="s">
        <v>276</v>
      </c>
      <c r="S617" s="89"/>
      <c r="T617">
        <v>11</v>
      </c>
      <c r="U617" s="76">
        <v>0.2</v>
      </c>
      <c r="V617">
        <v>9.8000000000000007</v>
      </c>
      <c r="W617" s="90">
        <v>0.1</v>
      </c>
      <c r="X617" s="90"/>
      <c r="Y617" s="71"/>
      <c r="Z617" s="71"/>
      <c r="AA617" s="71"/>
      <c r="AB617" s="71"/>
      <c r="AC617" s="71"/>
      <c r="AD617" s="71"/>
      <c r="AE617" s="71"/>
      <c r="AF617" s="71"/>
      <c r="AG617" s="82">
        <v>0</v>
      </c>
      <c r="AH617" s="76"/>
      <c r="AI617" s="76"/>
      <c r="AJ617" s="76"/>
      <c r="AK617" s="71">
        <v>0.15</v>
      </c>
      <c r="AL617" s="88">
        <v>3.4375863625514903E-2</v>
      </c>
      <c r="AM617" s="89">
        <f t="shared" si="9"/>
        <v>0.22917242417009936</v>
      </c>
      <c r="AN617" s="78"/>
    </row>
    <row r="618" spans="1:40" x14ac:dyDescent="0.25">
      <c r="A618" t="s">
        <v>44</v>
      </c>
      <c r="B618" t="s">
        <v>45</v>
      </c>
      <c r="C618" s="121" t="s">
        <v>174</v>
      </c>
      <c r="D618" t="s">
        <v>196</v>
      </c>
      <c r="E618" t="s">
        <v>61</v>
      </c>
      <c r="F618">
        <v>3</v>
      </c>
      <c r="G618">
        <v>29</v>
      </c>
      <c r="H618" s="86">
        <v>45960.620762465303</v>
      </c>
      <c r="I618" s="86">
        <v>45960.692952106503</v>
      </c>
      <c r="J618" s="87">
        <v>1.7325513888888899</v>
      </c>
      <c r="K618" s="69" t="s">
        <v>274</v>
      </c>
      <c r="L618" s="69"/>
      <c r="M618" s="71"/>
      <c r="N618" s="71"/>
      <c r="O618" s="71"/>
      <c r="P618" s="71" t="s">
        <v>275</v>
      </c>
      <c r="Q618" s="88">
        <v>7.9102579768983203E-2</v>
      </c>
      <c r="R618" s="89" t="s">
        <v>276</v>
      </c>
      <c r="S618" s="89"/>
      <c r="T618">
        <v>9.1</v>
      </c>
      <c r="U618" s="76">
        <v>0.2</v>
      </c>
      <c r="V618">
        <v>9.9</v>
      </c>
      <c r="W618" s="90">
        <v>0.1</v>
      </c>
      <c r="X618" s="90"/>
      <c r="Y618" s="71"/>
      <c r="Z618" s="71"/>
      <c r="AA618" s="71"/>
      <c r="AB618" s="71"/>
      <c r="AC618" s="71"/>
      <c r="AD618" s="71"/>
      <c r="AE618" s="71"/>
      <c r="AF618" s="71"/>
      <c r="AG618" s="82">
        <v>1.2</v>
      </c>
      <c r="AH618" s="76"/>
      <c r="AI618" s="76"/>
      <c r="AJ618" s="76"/>
      <c r="AK618" s="71">
        <v>0.15</v>
      </c>
      <c r="AL618" s="88">
        <v>3.4375863625514903E-2</v>
      </c>
      <c r="AM618" s="89">
        <f t="shared" si="9"/>
        <v>0.22917242417009936</v>
      </c>
      <c r="AN618" s="78"/>
    </row>
    <row r="619" spans="1:40" x14ac:dyDescent="0.25">
      <c r="A619" t="s">
        <v>44</v>
      </c>
      <c r="B619" t="s">
        <v>45</v>
      </c>
      <c r="C619" s="121" t="s">
        <v>174</v>
      </c>
      <c r="D619" t="s">
        <v>196</v>
      </c>
      <c r="E619" t="s">
        <v>61</v>
      </c>
      <c r="F619">
        <v>3</v>
      </c>
      <c r="G619">
        <v>30</v>
      </c>
      <c r="H619" s="86">
        <v>45960.692952106503</v>
      </c>
      <c r="I619" s="86">
        <v>45960.7651296759</v>
      </c>
      <c r="J619" s="87">
        <v>1.7322616666666699</v>
      </c>
      <c r="K619" s="69" t="s">
        <v>274</v>
      </c>
      <c r="L619" s="69"/>
      <c r="M619" s="71"/>
      <c r="N619" s="71"/>
      <c r="O619" s="71"/>
      <c r="P619" s="71" t="s">
        <v>275</v>
      </c>
      <c r="Q619" s="88">
        <v>2.3704147442771401E-2</v>
      </c>
      <c r="R619" s="89" t="s">
        <v>276</v>
      </c>
      <c r="S619" s="89"/>
      <c r="T619">
        <v>4.4000000000000004</v>
      </c>
      <c r="U619" s="76">
        <v>0.2</v>
      </c>
      <c r="V619">
        <v>10</v>
      </c>
      <c r="W619" s="90">
        <v>0.1</v>
      </c>
      <c r="X619" s="90"/>
      <c r="Y619" s="71"/>
      <c r="Z619" s="71"/>
      <c r="AA619" s="71"/>
      <c r="AB619" s="71"/>
      <c r="AC619" s="71"/>
      <c r="AD619" s="71"/>
      <c r="AE619" s="71"/>
      <c r="AF619" s="71"/>
      <c r="AG619" s="82">
        <v>0</v>
      </c>
      <c r="AH619" s="76"/>
      <c r="AI619" s="76"/>
      <c r="AJ619" s="76"/>
      <c r="AK619" s="71">
        <v>0.15</v>
      </c>
      <c r="AL619" s="88">
        <v>3.4375863625514903E-2</v>
      </c>
      <c r="AM619" s="89">
        <f t="shared" si="9"/>
        <v>0.22917242417009936</v>
      </c>
      <c r="AN619" s="78"/>
    </row>
    <row r="620" spans="1:40" x14ac:dyDescent="0.25">
      <c r="A620" t="s">
        <v>44</v>
      </c>
      <c r="B620" t="s">
        <v>45</v>
      </c>
      <c r="C620" s="121" t="s">
        <v>174</v>
      </c>
      <c r="D620" t="s">
        <v>196</v>
      </c>
      <c r="E620" t="s">
        <v>61</v>
      </c>
      <c r="F620">
        <v>3</v>
      </c>
      <c r="G620">
        <v>31</v>
      </c>
      <c r="H620" s="86">
        <v>45960.7651296759</v>
      </c>
      <c r="I620" s="86">
        <v>45960.837316365702</v>
      </c>
      <c r="J620" s="87">
        <v>1.73248055555556</v>
      </c>
      <c r="K620" s="69" t="s">
        <v>274</v>
      </c>
      <c r="L620" s="69"/>
      <c r="M620" s="71"/>
      <c r="N620" s="71"/>
      <c r="O620" s="71"/>
      <c r="P620" s="71" t="s">
        <v>275</v>
      </c>
      <c r="Q620" s="88">
        <v>1.7417245848174698E-2</v>
      </c>
      <c r="R620" s="89" t="s">
        <v>276</v>
      </c>
      <c r="S620" s="89"/>
      <c r="T620">
        <v>3.1</v>
      </c>
      <c r="U620" s="76">
        <v>0.2</v>
      </c>
      <c r="V620">
        <v>9.9</v>
      </c>
      <c r="W620" s="90">
        <v>0.1</v>
      </c>
      <c r="X620" s="90"/>
      <c r="Y620" s="71"/>
      <c r="Z620" s="71"/>
      <c r="AA620" s="71"/>
      <c r="AB620" s="71"/>
      <c r="AC620" s="71"/>
      <c r="AD620" s="71"/>
      <c r="AE620" s="71"/>
      <c r="AF620" s="71"/>
      <c r="AG620" s="82">
        <v>0</v>
      </c>
      <c r="AH620" s="76"/>
      <c r="AI620" s="76"/>
      <c r="AJ620" s="76"/>
      <c r="AK620" s="71">
        <v>0.15</v>
      </c>
      <c r="AL620" s="88">
        <v>3.4375863625514903E-2</v>
      </c>
      <c r="AM620" s="89">
        <f t="shared" si="9"/>
        <v>0.22917242417009936</v>
      </c>
      <c r="AN620" s="78"/>
    </row>
    <row r="621" spans="1:40" x14ac:dyDescent="0.25">
      <c r="A621" t="s">
        <v>44</v>
      </c>
      <c r="B621" t="s">
        <v>45</v>
      </c>
      <c r="C621" s="121" t="s">
        <v>174</v>
      </c>
      <c r="D621" t="s">
        <v>196</v>
      </c>
      <c r="E621" t="s">
        <v>61</v>
      </c>
      <c r="F621">
        <v>3</v>
      </c>
      <c r="G621">
        <v>32</v>
      </c>
      <c r="H621" s="86">
        <v>45960.837316365702</v>
      </c>
      <c r="I621" s="86">
        <v>45960.909493634303</v>
      </c>
      <c r="J621" s="87">
        <v>1.7322544444444501</v>
      </c>
      <c r="K621" s="69" t="s">
        <v>274</v>
      </c>
      <c r="L621" s="69"/>
      <c r="M621" s="71"/>
      <c r="N621" s="71"/>
      <c r="O621" s="71"/>
      <c r="P621" s="71" t="s">
        <v>275</v>
      </c>
      <c r="Q621" s="88">
        <v>2.0004865466692501E-2</v>
      </c>
      <c r="R621" s="89" t="s">
        <v>276</v>
      </c>
      <c r="S621" s="89"/>
      <c r="T621">
        <v>3.1</v>
      </c>
      <c r="U621" s="76">
        <v>0.2</v>
      </c>
      <c r="V621">
        <v>9.6999999999999993</v>
      </c>
      <c r="W621" s="90">
        <v>0.1</v>
      </c>
      <c r="X621" s="90"/>
      <c r="Y621" s="71"/>
      <c r="Z621" s="71"/>
      <c r="AA621" s="71"/>
      <c r="AB621" s="71"/>
      <c r="AC621" s="71"/>
      <c r="AD621" s="71"/>
      <c r="AE621" s="71"/>
      <c r="AF621" s="71"/>
      <c r="AG621" s="82">
        <v>0</v>
      </c>
      <c r="AH621" s="76"/>
      <c r="AI621" s="76"/>
      <c r="AJ621" s="76"/>
      <c r="AK621" s="71">
        <v>0.15</v>
      </c>
      <c r="AL621" s="88">
        <v>3.4375863625514903E-2</v>
      </c>
      <c r="AM621" s="89">
        <f t="shared" si="9"/>
        <v>0.22917242417009936</v>
      </c>
      <c r="AN621" s="78"/>
    </row>
    <row r="622" spans="1:40" x14ac:dyDescent="0.25">
      <c r="A622" t="s">
        <v>44</v>
      </c>
      <c r="B622" t="s">
        <v>45</v>
      </c>
      <c r="C622" s="121" t="s">
        <v>174</v>
      </c>
      <c r="D622" t="s">
        <v>196</v>
      </c>
      <c r="E622" t="s">
        <v>61</v>
      </c>
      <c r="F622">
        <v>3</v>
      </c>
      <c r="G622">
        <v>33</v>
      </c>
      <c r="H622" s="86">
        <v>45960.909493634303</v>
      </c>
      <c r="I622" s="86">
        <v>45960.981672187503</v>
      </c>
      <c r="J622" s="87">
        <v>1.73228527777778</v>
      </c>
      <c r="K622" s="69" t="s">
        <v>274</v>
      </c>
      <c r="L622" s="69"/>
      <c r="M622" s="71"/>
      <c r="N622" s="71"/>
      <c r="O622" s="71"/>
      <c r="P622" s="71" t="s">
        <v>275</v>
      </c>
      <c r="Q622" s="88">
        <v>2.3145538257439601E-2</v>
      </c>
      <c r="R622" s="89" t="s">
        <v>276</v>
      </c>
      <c r="S622" s="89"/>
      <c r="T622">
        <v>3.6</v>
      </c>
      <c r="U622" s="76">
        <v>0.2</v>
      </c>
      <c r="V622">
        <v>9.5</v>
      </c>
      <c r="W622" s="90">
        <v>0.1</v>
      </c>
      <c r="X622" s="90"/>
      <c r="Y622" s="71"/>
      <c r="Z622" s="71"/>
      <c r="AA622" s="71"/>
      <c r="AB622" s="71"/>
      <c r="AC622" s="71"/>
      <c r="AD622" s="71"/>
      <c r="AE622" s="71"/>
      <c r="AF622" s="71"/>
      <c r="AG622" s="82">
        <v>0</v>
      </c>
      <c r="AH622" s="76"/>
      <c r="AI622" s="76"/>
      <c r="AJ622" s="76"/>
      <c r="AK622" s="71">
        <v>0.15</v>
      </c>
      <c r="AL622" s="88">
        <v>3.4375863625514903E-2</v>
      </c>
      <c r="AM622" s="89">
        <f t="shared" si="9"/>
        <v>0.22917242417009936</v>
      </c>
      <c r="AN622" s="78"/>
    </row>
    <row r="623" spans="1:40" x14ac:dyDescent="0.25">
      <c r="A623" t="s">
        <v>44</v>
      </c>
      <c r="B623" t="s">
        <v>45</v>
      </c>
      <c r="C623" s="121" t="s">
        <v>174</v>
      </c>
      <c r="D623" t="s">
        <v>196</v>
      </c>
      <c r="E623" t="s">
        <v>61</v>
      </c>
      <c r="F623">
        <v>3</v>
      </c>
      <c r="G623">
        <v>34</v>
      </c>
      <c r="H623" s="86">
        <v>45960.981672187503</v>
      </c>
      <c r="I623" s="86">
        <v>45961.053866921298</v>
      </c>
      <c r="J623" s="87">
        <v>1.7326736111111101</v>
      </c>
      <c r="K623" s="69" t="s">
        <v>274</v>
      </c>
      <c r="L623" s="69"/>
      <c r="M623" s="71"/>
      <c r="N623" s="71"/>
      <c r="O623" s="71"/>
      <c r="P623" s="71" t="s">
        <v>275</v>
      </c>
      <c r="Q623" s="88">
        <v>1.9022117158677701E-2</v>
      </c>
      <c r="R623" s="89" t="s">
        <v>276</v>
      </c>
      <c r="S623" s="89"/>
      <c r="T623">
        <v>2.2999999999999998</v>
      </c>
      <c r="U623" s="76">
        <v>0.2</v>
      </c>
      <c r="V623">
        <v>9.1999999999999993</v>
      </c>
      <c r="W623" s="90">
        <v>0.1</v>
      </c>
      <c r="X623" s="90"/>
      <c r="Y623" s="71"/>
      <c r="Z623" s="71"/>
      <c r="AA623" s="71"/>
      <c r="AB623" s="71"/>
      <c r="AC623" s="71"/>
      <c r="AD623" s="71"/>
      <c r="AE623" s="71"/>
      <c r="AF623" s="71"/>
      <c r="AG623" s="82">
        <v>0</v>
      </c>
      <c r="AH623" s="76"/>
      <c r="AI623" s="76"/>
      <c r="AJ623" s="76"/>
      <c r="AK623" s="71">
        <v>0.15</v>
      </c>
      <c r="AL623" s="88">
        <v>3.4375863625514903E-2</v>
      </c>
      <c r="AM623" s="89">
        <f t="shared" si="9"/>
        <v>0.22917242417009936</v>
      </c>
      <c r="AN623" s="78"/>
    </row>
    <row r="624" spans="1:40" x14ac:dyDescent="0.25">
      <c r="A624" t="s">
        <v>44</v>
      </c>
      <c r="B624" t="s">
        <v>45</v>
      </c>
      <c r="C624" s="121" t="s">
        <v>174</v>
      </c>
      <c r="D624" t="s">
        <v>196</v>
      </c>
      <c r="E624" t="s">
        <v>61</v>
      </c>
      <c r="F624">
        <v>3</v>
      </c>
      <c r="G624">
        <v>35</v>
      </c>
      <c r="H624" s="86">
        <v>45961.053866921298</v>
      </c>
      <c r="I624" s="86">
        <v>45961.126055069399</v>
      </c>
      <c r="J624" s="87">
        <v>1.73251555555556</v>
      </c>
      <c r="K624" s="69" t="s">
        <v>274</v>
      </c>
      <c r="L624" s="69"/>
      <c r="M624" s="71"/>
      <c r="N624" s="71"/>
      <c r="O624" s="71"/>
      <c r="P624" s="71" t="s">
        <v>275</v>
      </c>
      <c r="Q624" s="88">
        <v>2.1880825329406099E-2</v>
      </c>
      <c r="R624" s="89" t="s">
        <v>276</v>
      </c>
      <c r="S624" s="89"/>
      <c r="T624">
        <v>3.4</v>
      </c>
      <c r="U624" s="76">
        <v>0.2</v>
      </c>
      <c r="V624">
        <v>9.1</v>
      </c>
      <c r="W624" s="90">
        <v>0.1</v>
      </c>
      <c r="X624" s="90"/>
      <c r="Y624" s="71"/>
      <c r="Z624" s="71"/>
      <c r="AA624" s="71"/>
      <c r="AB624" s="71"/>
      <c r="AC624" s="71"/>
      <c r="AD624" s="71"/>
      <c r="AE624" s="71"/>
      <c r="AF624" s="71"/>
      <c r="AG624" s="82">
        <v>0</v>
      </c>
      <c r="AH624" s="76"/>
      <c r="AI624" s="76"/>
      <c r="AJ624" s="76"/>
      <c r="AK624" s="71">
        <v>0.15</v>
      </c>
      <c r="AL624" s="88">
        <v>3.4375863625514903E-2</v>
      </c>
      <c r="AM624" s="89">
        <f t="shared" si="9"/>
        <v>0.22917242417009936</v>
      </c>
      <c r="AN624" s="78"/>
    </row>
    <row r="625" spans="1:40" x14ac:dyDescent="0.25">
      <c r="A625" t="s">
        <v>44</v>
      </c>
      <c r="B625" t="s">
        <v>45</v>
      </c>
      <c r="C625" s="121" t="s">
        <v>174</v>
      </c>
      <c r="D625" t="s">
        <v>196</v>
      </c>
      <c r="E625" t="s">
        <v>61</v>
      </c>
      <c r="F625">
        <v>3</v>
      </c>
      <c r="G625">
        <v>36</v>
      </c>
      <c r="H625" s="86">
        <v>45961.126055069399</v>
      </c>
      <c r="I625" s="86">
        <v>45961.198232476898</v>
      </c>
      <c r="J625" s="87">
        <v>1.7322577777777799</v>
      </c>
      <c r="K625" s="69" t="s">
        <v>274</v>
      </c>
      <c r="L625" s="69"/>
      <c r="M625" s="71"/>
      <c r="N625" s="71"/>
      <c r="O625" s="71"/>
      <c r="P625" s="71" t="s">
        <v>275</v>
      </c>
      <c r="Q625" s="88">
        <v>2.7527675291229899E-2</v>
      </c>
      <c r="R625" s="89" t="s">
        <v>276</v>
      </c>
      <c r="S625" s="89"/>
      <c r="T625">
        <v>4.5999999999999996</v>
      </c>
      <c r="U625" s="76">
        <v>0.2</v>
      </c>
      <c r="V625">
        <v>9</v>
      </c>
      <c r="W625" s="90">
        <v>0.1</v>
      </c>
      <c r="X625" s="90"/>
      <c r="Y625" s="71"/>
      <c r="Z625" s="71"/>
      <c r="AA625" s="71"/>
      <c r="AB625" s="71"/>
      <c r="AC625" s="71"/>
      <c r="AD625" s="71"/>
      <c r="AE625" s="71"/>
      <c r="AF625" s="71"/>
      <c r="AG625" s="82">
        <v>0</v>
      </c>
      <c r="AH625" s="76"/>
      <c r="AI625" s="76"/>
      <c r="AJ625" s="76"/>
      <c r="AK625" s="71">
        <v>0.15</v>
      </c>
      <c r="AL625" s="88">
        <v>3.4375863625514903E-2</v>
      </c>
      <c r="AM625" s="89">
        <f t="shared" si="9"/>
        <v>0.22917242417009936</v>
      </c>
      <c r="AN625" s="78"/>
    </row>
    <row r="626" spans="1:40" x14ac:dyDescent="0.25">
      <c r="A626" t="s">
        <v>44</v>
      </c>
      <c r="B626" t="s">
        <v>45</v>
      </c>
      <c r="C626" s="121" t="s">
        <v>174</v>
      </c>
      <c r="D626" t="s">
        <v>196</v>
      </c>
      <c r="E626" t="s">
        <v>61</v>
      </c>
      <c r="F626">
        <v>3</v>
      </c>
      <c r="G626">
        <v>37</v>
      </c>
      <c r="H626" s="86">
        <v>45961.198232476898</v>
      </c>
      <c r="I626" s="86">
        <v>45961.270411608799</v>
      </c>
      <c r="J626" s="87">
        <v>1.7322991666666701</v>
      </c>
      <c r="K626" s="69" t="s">
        <v>274</v>
      </c>
      <c r="L626" s="69"/>
      <c r="M626" s="71"/>
      <c r="N626" s="71"/>
      <c r="O626" s="71"/>
      <c r="P626" s="71" t="s">
        <v>275</v>
      </c>
      <c r="Q626" s="88">
        <v>2.7683732274709001E-2</v>
      </c>
      <c r="R626" s="89" t="s">
        <v>276</v>
      </c>
      <c r="S626" s="89"/>
      <c r="T626">
        <v>3.2</v>
      </c>
      <c r="U626" s="76">
        <v>0.2</v>
      </c>
      <c r="V626">
        <v>8.9</v>
      </c>
      <c r="W626" s="90">
        <v>0.1</v>
      </c>
      <c r="X626" s="90"/>
      <c r="Y626" s="71"/>
      <c r="Z626" s="71"/>
      <c r="AA626" s="71"/>
      <c r="AB626" s="71"/>
      <c r="AC626" s="71"/>
      <c r="AD626" s="71"/>
      <c r="AE626" s="71"/>
      <c r="AF626" s="71"/>
      <c r="AG626" s="82">
        <v>0</v>
      </c>
      <c r="AH626" s="76"/>
      <c r="AI626" s="76"/>
      <c r="AJ626" s="76"/>
      <c r="AK626" s="71">
        <v>0.15</v>
      </c>
      <c r="AL626" s="88">
        <v>3.4375863625514903E-2</v>
      </c>
      <c r="AM626" s="89">
        <f t="shared" si="9"/>
        <v>0.22917242417009936</v>
      </c>
      <c r="AN626" s="78"/>
    </row>
    <row r="627" spans="1:40" x14ac:dyDescent="0.25">
      <c r="A627" t="s">
        <v>44</v>
      </c>
      <c r="B627" t="s">
        <v>45</v>
      </c>
      <c r="C627" s="121" t="s">
        <v>174</v>
      </c>
      <c r="D627" t="s">
        <v>196</v>
      </c>
      <c r="E627" t="s">
        <v>61</v>
      </c>
      <c r="F627">
        <v>3</v>
      </c>
      <c r="G627">
        <v>38</v>
      </c>
      <c r="H627" s="86">
        <v>45961.270411608799</v>
      </c>
      <c r="I627" s="86">
        <v>45961.342589965301</v>
      </c>
      <c r="J627" s="87">
        <v>1.73228055555556</v>
      </c>
      <c r="K627" s="69" t="s">
        <v>274</v>
      </c>
      <c r="L627" s="69"/>
      <c r="M627" s="71"/>
      <c r="N627" s="71"/>
      <c r="O627" s="71"/>
      <c r="P627" s="71" t="s">
        <v>275</v>
      </c>
      <c r="Q627" s="88">
        <v>2.39050484784008E-2</v>
      </c>
      <c r="R627" s="89" t="s">
        <v>276</v>
      </c>
      <c r="S627" s="89"/>
      <c r="T627">
        <v>3.9</v>
      </c>
      <c r="U627" s="76">
        <v>0.2</v>
      </c>
      <c r="V627">
        <v>8.9</v>
      </c>
      <c r="W627" s="90">
        <v>0.1</v>
      </c>
      <c r="X627" s="90"/>
      <c r="Y627" s="71"/>
      <c r="Z627" s="71"/>
      <c r="AA627" s="71"/>
      <c r="AB627" s="71"/>
      <c r="AC627" s="71"/>
      <c r="AD627" s="71"/>
      <c r="AE627" s="71"/>
      <c r="AF627" s="71"/>
      <c r="AG627" s="82">
        <v>0</v>
      </c>
      <c r="AH627" s="76"/>
      <c r="AI627" s="76"/>
      <c r="AJ627" s="76"/>
      <c r="AK627" s="71">
        <v>0.15</v>
      </c>
      <c r="AL627" s="88">
        <v>3.4375863625514903E-2</v>
      </c>
      <c r="AM627" s="89">
        <f t="shared" si="9"/>
        <v>0.22917242417009936</v>
      </c>
      <c r="AN627" s="78"/>
    </row>
    <row r="628" spans="1:40" x14ac:dyDescent="0.25">
      <c r="A628" t="s">
        <v>44</v>
      </c>
      <c r="B628" t="s">
        <v>45</v>
      </c>
      <c r="C628" s="121" t="s">
        <v>174</v>
      </c>
      <c r="D628" t="s">
        <v>196</v>
      </c>
      <c r="E628" t="s">
        <v>61</v>
      </c>
      <c r="F628">
        <v>3</v>
      </c>
      <c r="G628">
        <v>39</v>
      </c>
      <c r="H628" s="86">
        <v>45961.342589965301</v>
      </c>
      <c r="I628" s="86">
        <v>45961.414777500002</v>
      </c>
      <c r="J628" s="87">
        <v>1.73250083333333</v>
      </c>
      <c r="K628" s="69" t="s">
        <v>274</v>
      </c>
      <c r="L628" s="69"/>
      <c r="M628" s="71"/>
      <c r="N628" s="71"/>
      <c r="O628" s="71"/>
      <c r="P628" s="71" t="s">
        <v>275</v>
      </c>
      <c r="Q628" s="88">
        <v>2.4828781761171499E-2</v>
      </c>
      <c r="R628" s="89" t="s">
        <v>276</v>
      </c>
      <c r="S628" s="89"/>
      <c r="T628">
        <v>4.7</v>
      </c>
      <c r="U628" s="76">
        <v>0.2</v>
      </c>
      <c r="V628">
        <v>8.8000000000000007</v>
      </c>
      <c r="W628" s="90">
        <v>0.1</v>
      </c>
      <c r="X628" s="90"/>
      <c r="Y628" s="71"/>
      <c r="Z628" s="71"/>
      <c r="AA628" s="71"/>
      <c r="AB628" s="71"/>
      <c r="AC628" s="71"/>
      <c r="AD628" s="71"/>
      <c r="AE628" s="71"/>
      <c r="AF628" s="71"/>
      <c r="AG628" s="82">
        <v>0</v>
      </c>
      <c r="AH628" s="76"/>
      <c r="AI628" s="76"/>
      <c r="AJ628" s="76"/>
      <c r="AK628" s="71">
        <v>0.15</v>
      </c>
      <c r="AL628" s="88">
        <v>3.4375863625514903E-2</v>
      </c>
      <c r="AM628" s="89">
        <f t="shared" si="9"/>
        <v>0.22917242417009936</v>
      </c>
      <c r="AN628" s="78"/>
    </row>
    <row r="629" spans="1:40" x14ac:dyDescent="0.25">
      <c r="A629" t="s">
        <v>44</v>
      </c>
      <c r="B629" t="s">
        <v>45</v>
      </c>
      <c r="C629" s="121" t="s">
        <v>174</v>
      </c>
      <c r="D629" t="s">
        <v>196</v>
      </c>
      <c r="E629" t="s">
        <v>61</v>
      </c>
      <c r="F629">
        <v>3</v>
      </c>
      <c r="G629">
        <v>40</v>
      </c>
      <c r="H629" s="86">
        <v>45961.414777500002</v>
      </c>
      <c r="I629" s="86">
        <v>45961.486964432901</v>
      </c>
      <c r="J629" s="87">
        <v>1.7324863888888899</v>
      </c>
      <c r="K629" s="69" t="s">
        <v>274</v>
      </c>
      <c r="L629" s="69"/>
      <c r="M629" s="71"/>
      <c r="N629" s="71"/>
      <c r="O629" s="71"/>
      <c r="P629" s="71" t="s">
        <v>275</v>
      </c>
      <c r="Q629" s="88">
        <v>5.6696562845618297E-2</v>
      </c>
      <c r="R629" s="89" t="s">
        <v>276</v>
      </c>
      <c r="S629" s="89"/>
      <c r="T629">
        <v>7.3</v>
      </c>
      <c r="U629" s="76">
        <v>0.2</v>
      </c>
      <c r="V629">
        <v>8.6999999999999993</v>
      </c>
      <c r="W629" s="90">
        <v>0.1</v>
      </c>
      <c r="X629" s="90"/>
      <c r="Y629" s="71"/>
      <c r="Z629" s="71"/>
      <c r="AA629" s="71"/>
      <c r="AB629" s="71"/>
      <c r="AC629" s="71"/>
      <c r="AD629" s="71"/>
      <c r="AE629" s="71"/>
      <c r="AF629" s="71"/>
      <c r="AG629" s="82">
        <v>0</v>
      </c>
      <c r="AH629" s="76"/>
      <c r="AI629" s="76"/>
      <c r="AJ629" s="76"/>
      <c r="AK629" s="71">
        <v>0.15</v>
      </c>
      <c r="AL629" s="88">
        <v>3.4375863625514903E-2</v>
      </c>
      <c r="AM629" s="89">
        <f t="shared" si="9"/>
        <v>0.22917242417009936</v>
      </c>
      <c r="AN629" s="78"/>
    </row>
    <row r="630" spans="1:40" x14ac:dyDescent="0.25">
      <c r="A630" t="s">
        <v>44</v>
      </c>
      <c r="B630" t="s">
        <v>45</v>
      </c>
      <c r="C630" s="121" t="s">
        <v>174</v>
      </c>
      <c r="D630" t="s">
        <v>196</v>
      </c>
      <c r="E630" t="s">
        <v>61</v>
      </c>
      <c r="F630">
        <v>3</v>
      </c>
      <c r="G630">
        <v>41</v>
      </c>
      <c r="H630" s="86">
        <v>45961.486964432901</v>
      </c>
      <c r="I630" s="86">
        <v>45961.559147627297</v>
      </c>
      <c r="J630" s="87">
        <v>1.7323966666666699</v>
      </c>
      <c r="K630" s="69" t="s">
        <v>274</v>
      </c>
      <c r="L630" s="69"/>
      <c r="M630" s="71"/>
      <c r="N630" s="71"/>
      <c r="O630" s="71"/>
      <c r="P630" s="71" t="s">
        <v>275</v>
      </c>
      <c r="Q630" s="88">
        <v>8.1956389079490793E-2</v>
      </c>
      <c r="R630" s="89" t="s">
        <v>276</v>
      </c>
      <c r="S630" s="89"/>
      <c r="T630">
        <v>10.7</v>
      </c>
      <c r="U630" s="76">
        <v>0.2</v>
      </c>
      <c r="V630">
        <v>8.8000000000000007</v>
      </c>
      <c r="W630" s="90">
        <v>0.1</v>
      </c>
      <c r="X630" s="90"/>
      <c r="Y630" s="71"/>
      <c r="Z630" s="71"/>
      <c r="AA630" s="71"/>
      <c r="AB630" s="71"/>
      <c r="AC630" s="71"/>
      <c r="AD630" s="71"/>
      <c r="AE630" s="71"/>
      <c r="AF630" s="71"/>
      <c r="AG630" s="82">
        <v>0</v>
      </c>
      <c r="AH630" s="76"/>
      <c r="AI630" s="76"/>
      <c r="AJ630" s="76"/>
      <c r="AK630" s="71">
        <v>0.15</v>
      </c>
      <c r="AL630" s="88">
        <v>3.4375863625514903E-2</v>
      </c>
      <c r="AM630" s="89">
        <f t="shared" si="9"/>
        <v>0.22917242417009936</v>
      </c>
      <c r="AN630" s="78"/>
    </row>
    <row r="631" spans="1:40" x14ac:dyDescent="0.25">
      <c r="A631" t="s">
        <v>44</v>
      </c>
      <c r="B631" t="s">
        <v>45</v>
      </c>
      <c r="C631" s="121" t="s">
        <v>174</v>
      </c>
      <c r="D631" t="s">
        <v>196</v>
      </c>
      <c r="E631" t="s">
        <v>61</v>
      </c>
      <c r="F631">
        <v>3</v>
      </c>
      <c r="G631">
        <v>42</v>
      </c>
      <c r="H631" s="86">
        <v>45961.559147627297</v>
      </c>
      <c r="I631" s="86">
        <v>45961.631339467604</v>
      </c>
      <c r="J631" s="87">
        <v>1.7326041666666701</v>
      </c>
      <c r="K631" s="69" t="s">
        <v>274</v>
      </c>
      <c r="L631" s="69"/>
      <c r="M631" s="71"/>
      <c r="N631" s="71"/>
      <c r="O631" s="71"/>
      <c r="P631" s="71" t="s">
        <v>275</v>
      </c>
      <c r="Q631" s="88">
        <v>5.7163169408554801E-2</v>
      </c>
      <c r="R631" s="89" t="s">
        <v>276</v>
      </c>
      <c r="S631" s="89"/>
      <c r="T631">
        <v>10.5</v>
      </c>
      <c r="U631" s="76">
        <v>0.2</v>
      </c>
      <c r="V631">
        <v>8.9</v>
      </c>
      <c r="W631" s="90">
        <v>0.1</v>
      </c>
      <c r="X631" s="90"/>
      <c r="Y631" s="71"/>
      <c r="Z631" s="71"/>
      <c r="AA631" s="71"/>
      <c r="AB631" s="71"/>
      <c r="AC631" s="71"/>
      <c r="AD631" s="71"/>
      <c r="AE631" s="71"/>
      <c r="AF631" s="71"/>
      <c r="AG631" s="82">
        <v>0</v>
      </c>
      <c r="AH631" s="76"/>
      <c r="AI631" s="76"/>
      <c r="AJ631" s="76"/>
      <c r="AK631" s="71">
        <v>0.15</v>
      </c>
      <c r="AL631" s="88">
        <v>3.4375863625514903E-2</v>
      </c>
      <c r="AM631" s="89">
        <f t="shared" si="9"/>
        <v>0.22917242417009936</v>
      </c>
      <c r="AN631" s="78"/>
    </row>
    <row r="632" spans="1:40" x14ac:dyDescent="0.25">
      <c r="A632" t="s">
        <v>44</v>
      </c>
      <c r="B632" t="s">
        <v>45</v>
      </c>
      <c r="C632" s="121" t="s">
        <v>174</v>
      </c>
      <c r="D632" t="s">
        <v>196</v>
      </c>
      <c r="E632" t="s">
        <v>61</v>
      </c>
      <c r="F632">
        <v>3</v>
      </c>
      <c r="G632">
        <v>43</v>
      </c>
      <c r="H632" s="86">
        <v>45961.631339467604</v>
      </c>
      <c r="I632" s="86">
        <v>45961.7035138426</v>
      </c>
      <c r="J632" s="87">
        <v>1.7321850000000001</v>
      </c>
      <c r="K632" s="69" t="s">
        <v>274</v>
      </c>
      <c r="L632" s="69"/>
      <c r="M632" s="71"/>
      <c r="N632" s="71"/>
      <c r="O632" s="71"/>
      <c r="P632" s="71" t="s">
        <v>275</v>
      </c>
      <c r="Q632" s="88">
        <v>4.2966555337977698E-2</v>
      </c>
      <c r="R632" s="89" t="s">
        <v>276</v>
      </c>
      <c r="S632" s="89"/>
      <c r="T632">
        <v>9.9</v>
      </c>
      <c r="U632" s="76">
        <v>0.2</v>
      </c>
      <c r="V632">
        <v>9.1</v>
      </c>
      <c r="W632" s="90">
        <v>0.1</v>
      </c>
      <c r="X632" s="90"/>
      <c r="Y632" s="71"/>
      <c r="Z632" s="71"/>
      <c r="AA632" s="71"/>
      <c r="AB632" s="71"/>
      <c r="AC632" s="71"/>
      <c r="AD632" s="71"/>
      <c r="AE632" s="71"/>
      <c r="AF632" s="71"/>
      <c r="AG632" s="82">
        <v>0</v>
      </c>
      <c r="AH632" s="76"/>
      <c r="AI632" s="76"/>
      <c r="AJ632" s="76"/>
      <c r="AK632" s="71">
        <v>0.15</v>
      </c>
      <c r="AL632" s="88">
        <v>3.4375863625514903E-2</v>
      </c>
      <c r="AM632" s="89">
        <f t="shared" si="9"/>
        <v>0.22917242417009936</v>
      </c>
      <c r="AN632" s="78"/>
    </row>
    <row r="633" spans="1:40" x14ac:dyDescent="0.25">
      <c r="A633" t="s">
        <v>44</v>
      </c>
      <c r="B633" t="s">
        <v>45</v>
      </c>
      <c r="C633" s="121" t="s">
        <v>174</v>
      </c>
      <c r="D633" t="s">
        <v>196</v>
      </c>
      <c r="E633" t="s">
        <v>61</v>
      </c>
      <c r="F633">
        <v>3</v>
      </c>
      <c r="G633">
        <v>44</v>
      </c>
      <c r="H633" s="86">
        <v>45961.7035138426</v>
      </c>
      <c r="I633" s="86">
        <v>45961.775701979197</v>
      </c>
      <c r="J633" s="87">
        <v>1.7325152777777799</v>
      </c>
      <c r="K633" s="69" t="s">
        <v>274</v>
      </c>
      <c r="L633" s="69"/>
      <c r="M633" s="71"/>
      <c r="N633" s="71"/>
      <c r="O633" s="71"/>
      <c r="P633" s="71" t="s">
        <v>275</v>
      </c>
      <c r="Q633" s="88">
        <v>1.90943984929666E-2</v>
      </c>
      <c r="R633" s="89" t="s">
        <v>276</v>
      </c>
      <c r="S633" s="89"/>
      <c r="T633">
        <v>7.7</v>
      </c>
      <c r="U633" s="76">
        <v>0.2</v>
      </c>
      <c r="V633">
        <v>9.3000000000000007</v>
      </c>
      <c r="W633" s="90">
        <v>0.1</v>
      </c>
      <c r="X633" s="90"/>
      <c r="Y633" s="71"/>
      <c r="Z633" s="71"/>
      <c r="AA633" s="71"/>
      <c r="AB633" s="71"/>
      <c r="AC633" s="71"/>
      <c r="AD633" s="71"/>
      <c r="AE633" s="71"/>
      <c r="AF633" s="71"/>
      <c r="AG633" s="82">
        <v>0</v>
      </c>
      <c r="AH633" s="76"/>
      <c r="AI633" s="76"/>
      <c r="AJ633" s="76"/>
      <c r="AK633" s="71">
        <v>0.15</v>
      </c>
      <c r="AL633" s="88">
        <v>3.4375863625514903E-2</v>
      </c>
      <c r="AM633" s="89">
        <f t="shared" si="9"/>
        <v>0.22917242417009936</v>
      </c>
      <c r="AN633" s="78"/>
    </row>
    <row r="634" spans="1:40" x14ac:dyDescent="0.25">
      <c r="A634" t="s">
        <v>44</v>
      </c>
      <c r="B634" t="s">
        <v>45</v>
      </c>
      <c r="C634" s="121" t="s">
        <v>174</v>
      </c>
      <c r="D634" t="s">
        <v>196</v>
      </c>
      <c r="E634" t="s">
        <v>61</v>
      </c>
      <c r="F634">
        <v>3</v>
      </c>
      <c r="G634">
        <v>45</v>
      </c>
      <c r="H634" s="86">
        <v>45961.775701979197</v>
      </c>
      <c r="I634" s="86">
        <v>45961.847877870401</v>
      </c>
      <c r="J634" s="87">
        <v>1.73222138888889</v>
      </c>
      <c r="K634" s="69" t="s">
        <v>274</v>
      </c>
      <c r="L634" s="69"/>
      <c r="M634" s="71"/>
      <c r="N634" s="71"/>
      <c r="O634" s="71"/>
      <c r="P634" s="71" t="s">
        <v>275</v>
      </c>
      <c r="Q634" s="88">
        <v>1.5875447391891201E-2</v>
      </c>
      <c r="R634" s="89" t="s">
        <v>276</v>
      </c>
      <c r="S634" s="89"/>
      <c r="T634">
        <v>7.7</v>
      </c>
      <c r="U634" s="76">
        <v>0.2</v>
      </c>
      <c r="V634">
        <v>9.3000000000000007</v>
      </c>
      <c r="W634" s="90">
        <v>0.1</v>
      </c>
      <c r="X634" s="90"/>
      <c r="Y634" s="71"/>
      <c r="Z634" s="71"/>
      <c r="AA634" s="71"/>
      <c r="AB634" s="71"/>
      <c r="AC634" s="71"/>
      <c r="AD634" s="71"/>
      <c r="AE634" s="71"/>
      <c r="AF634" s="71"/>
      <c r="AG634" s="82">
        <v>0</v>
      </c>
      <c r="AH634" s="76"/>
      <c r="AI634" s="76"/>
      <c r="AJ634" s="76"/>
      <c r="AK634" s="71">
        <v>0.15</v>
      </c>
      <c r="AL634" s="88">
        <v>3.4375863625514903E-2</v>
      </c>
      <c r="AM634" s="89">
        <f t="shared" si="9"/>
        <v>0.22917242417009936</v>
      </c>
      <c r="AN634" s="78"/>
    </row>
    <row r="635" spans="1:40" x14ac:dyDescent="0.25">
      <c r="A635" t="s">
        <v>44</v>
      </c>
      <c r="B635" t="s">
        <v>45</v>
      </c>
      <c r="C635" s="121" t="s">
        <v>174</v>
      </c>
      <c r="D635" t="s">
        <v>196</v>
      </c>
      <c r="E635" t="s">
        <v>61</v>
      </c>
      <c r="F635">
        <v>3</v>
      </c>
      <c r="G635">
        <v>46</v>
      </c>
      <c r="H635" s="86">
        <v>45961.847877870401</v>
      </c>
      <c r="I635" s="86">
        <v>45961.920069861102</v>
      </c>
      <c r="J635" s="87">
        <v>1.73260777777778</v>
      </c>
      <c r="K635" s="69" t="s">
        <v>274</v>
      </c>
      <c r="L635" s="69"/>
      <c r="M635" s="71"/>
      <c r="N635" s="71"/>
      <c r="O635" s="71"/>
      <c r="P635" s="71" t="s">
        <v>275</v>
      </c>
      <c r="Q635" s="88">
        <v>1.8937031804180399E-2</v>
      </c>
      <c r="R635" s="89" t="s">
        <v>276</v>
      </c>
      <c r="S635" s="89"/>
      <c r="T635">
        <v>7.9</v>
      </c>
      <c r="U635" s="76">
        <v>0.2</v>
      </c>
      <c r="V635">
        <v>9.3000000000000007</v>
      </c>
      <c r="W635" s="90">
        <v>0.1</v>
      </c>
      <c r="X635" s="90"/>
      <c r="Y635" s="71"/>
      <c r="Z635" s="71"/>
      <c r="AA635" s="71"/>
      <c r="AB635" s="71"/>
      <c r="AC635" s="71"/>
      <c r="AD635" s="71"/>
      <c r="AE635" s="71"/>
      <c r="AF635" s="71"/>
      <c r="AG635" s="82">
        <v>0</v>
      </c>
      <c r="AH635" s="76"/>
      <c r="AI635" s="76"/>
      <c r="AJ635" s="76"/>
      <c r="AK635" s="71">
        <v>0.15</v>
      </c>
      <c r="AL635" s="88">
        <v>3.4375863625514903E-2</v>
      </c>
      <c r="AM635" s="89">
        <f t="shared" si="9"/>
        <v>0.22917242417009936</v>
      </c>
      <c r="AN635" s="78"/>
    </row>
    <row r="636" spans="1:40" x14ac:dyDescent="0.25">
      <c r="A636" t="s">
        <v>44</v>
      </c>
      <c r="B636" t="s">
        <v>45</v>
      </c>
      <c r="C636" s="121" t="s">
        <v>174</v>
      </c>
      <c r="D636" t="s">
        <v>196</v>
      </c>
      <c r="E636" t="s">
        <v>61</v>
      </c>
      <c r="F636">
        <v>3</v>
      </c>
      <c r="G636">
        <v>47</v>
      </c>
      <c r="H636" s="86">
        <v>45961.920069861102</v>
      </c>
      <c r="I636" s="86">
        <v>45961.992260439802</v>
      </c>
      <c r="J636" s="87">
        <v>1.73257388888889</v>
      </c>
      <c r="K636" s="69" t="s">
        <v>274</v>
      </c>
      <c r="L636" s="69"/>
      <c r="M636" s="71"/>
      <c r="N636" s="71"/>
      <c r="O636" s="71"/>
      <c r="P636" s="71" t="s">
        <v>275</v>
      </c>
      <c r="Q636" s="88">
        <v>1.9215886554033799E-2</v>
      </c>
      <c r="R636" s="89" t="s">
        <v>276</v>
      </c>
      <c r="S636" s="89"/>
      <c r="T636">
        <v>7.9</v>
      </c>
      <c r="U636" s="76">
        <v>0.2</v>
      </c>
      <c r="V636">
        <v>9.1999999999999993</v>
      </c>
      <c r="W636" s="90">
        <v>0.1</v>
      </c>
      <c r="X636" s="90"/>
      <c r="Y636" s="71"/>
      <c r="Z636" s="71"/>
      <c r="AA636" s="71"/>
      <c r="AB636" s="71"/>
      <c r="AC636" s="71"/>
      <c r="AD636" s="71"/>
      <c r="AE636" s="71"/>
      <c r="AF636" s="71"/>
      <c r="AG636" s="82">
        <v>0</v>
      </c>
      <c r="AH636" s="76"/>
      <c r="AI636" s="76"/>
      <c r="AJ636" s="76"/>
      <c r="AK636" s="71">
        <v>0.15</v>
      </c>
      <c r="AL636" s="88">
        <v>3.4375863625514903E-2</v>
      </c>
      <c r="AM636" s="89">
        <f t="shared" si="9"/>
        <v>0.22917242417009936</v>
      </c>
      <c r="AN636" s="78"/>
    </row>
    <row r="637" spans="1:40" x14ac:dyDescent="0.25">
      <c r="A637" t="s">
        <v>44</v>
      </c>
      <c r="B637" t="s">
        <v>45</v>
      </c>
      <c r="C637" s="121" t="s">
        <v>174</v>
      </c>
      <c r="D637" t="s">
        <v>196</v>
      </c>
      <c r="E637" t="s">
        <v>61</v>
      </c>
      <c r="F637">
        <v>3</v>
      </c>
      <c r="G637">
        <v>48</v>
      </c>
      <c r="H637" s="86">
        <v>45961.992260439802</v>
      </c>
      <c r="I637" s="86">
        <v>45962.064445081</v>
      </c>
      <c r="J637" s="87">
        <v>1.73243138888889</v>
      </c>
      <c r="K637" s="69" t="s">
        <v>274</v>
      </c>
      <c r="L637" s="69"/>
      <c r="M637" s="71"/>
      <c r="N637" s="71"/>
      <c r="O637" s="71"/>
      <c r="P637" s="71" t="s">
        <v>275</v>
      </c>
      <c r="Q637" s="88">
        <v>1.6794333156784701E-2</v>
      </c>
      <c r="R637" s="89" t="s">
        <v>276</v>
      </c>
      <c r="S637" s="89"/>
      <c r="T637">
        <v>8.1</v>
      </c>
      <c r="U637" s="76">
        <v>0.2</v>
      </c>
      <c r="V637">
        <v>9.1999999999999993</v>
      </c>
      <c r="W637" s="90">
        <v>0.1</v>
      </c>
      <c r="X637" s="90"/>
      <c r="Y637" s="71"/>
      <c r="Z637" s="71"/>
      <c r="AA637" s="71"/>
      <c r="AB637" s="71"/>
      <c r="AC637" s="71"/>
      <c r="AD637" s="71"/>
      <c r="AE637" s="71"/>
      <c r="AF637" s="71"/>
      <c r="AG637" s="82">
        <v>0</v>
      </c>
      <c r="AH637" s="76"/>
      <c r="AI637" s="76"/>
      <c r="AJ637" s="76"/>
      <c r="AK637" s="71">
        <v>0.15</v>
      </c>
      <c r="AL637" s="88">
        <v>3.4375863625514903E-2</v>
      </c>
      <c r="AM637" s="89">
        <f t="shared" si="9"/>
        <v>0.22917242417009936</v>
      </c>
      <c r="AN637" s="78"/>
    </row>
    <row r="638" spans="1:40" x14ac:dyDescent="0.25">
      <c r="A638" t="s">
        <v>44</v>
      </c>
      <c r="B638" t="s">
        <v>45</v>
      </c>
      <c r="C638" s="121" t="s">
        <v>174</v>
      </c>
      <c r="D638" t="s">
        <v>196</v>
      </c>
      <c r="E638" t="s">
        <v>61</v>
      </c>
      <c r="F638">
        <v>3</v>
      </c>
      <c r="G638">
        <v>49</v>
      </c>
      <c r="H638" s="86">
        <v>45962.064445081</v>
      </c>
      <c r="I638" s="86">
        <v>45962.136623715298</v>
      </c>
      <c r="J638" s="87">
        <v>1.7322872222222201</v>
      </c>
      <c r="K638" s="69" t="s">
        <v>274</v>
      </c>
      <c r="L638" s="69"/>
      <c r="M638" s="71"/>
      <c r="N638" s="71"/>
      <c r="O638" s="71"/>
      <c r="P638" s="71" t="s">
        <v>275</v>
      </c>
      <c r="Q638" s="88">
        <v>1.9991325952634899E-2</v>
      </c>
      <c r="R638" s="89" t="s">
        <v>276</v>
      </c>
      <c r="S638" s="89"/>
      <c r="T638">
        <v>8.1999999999999993</v>
      </c>
      <c r="U638" s="76">
        <v>0.2</v>
      </c>
      <c r="V638">
        <v>9.1999999999999993</v>
      </c>
      <c r="W638" s="90">
        <v>0.1</v>
      </c>
      <c r="X638" s="90"/>
      <c r="Y638" s="71"/>
      <c r="Z638" s="71"/>
      <c r="AA638" s="71"/>
      <c r="AB638" s="71"/>
      <c r="AC638" s="71"/>
      <c r="AD638" s="71"/>
      <c r="AE638" s="71"/>
      <c r="AF638" s="71"/>
      <c r="AG638" s="82">
        <v>0</v>
      </c>
      <c r="AH638" s="76"/>
      <c r="AI638" s="76"/>
      <c r="AJ638" s="76"/>
      <c r="AK638" s="71">
        <v>0.15</v>
      </c>
      <c r="AL638" s="88">
        <v>3.4375863625514903E-2</v>
      </c>
      <c r="AM638" s="89">
        <f t="shared" si="9"/>
        <v>0.22917242417009936</v>
      </c>
      <c r="AN638" s="78"/>
    </row>
    <row r="639" spans="1:40" x14ac:dyDescent="0.25">
      <c r="A639" t="s">
        <v>44</v>
      </c>
      <c r="B639" t="s">
        <v>45</v>
      </c>
      <c r="C639" s="121" t="s">
        <v>174</v>
      </c>
      <c r="D639" t="s">
        <v>196</v>
      </c>
      <c r="E639" t="s">
        <v>61</v>
      </c>
      <c r="F639">
        <v>3</v>
      </c>
      <c r="G639">
        <v>50</v>
      </c>
      <c r="H639" s="86">
        <v>45962.136623715298</v>
      </c>
      <c r="I639" s="86">
        <v>45962.2088151852</v>
      </c>
      <c r="J639" s="87">
        <v>1.73259527777778</v>
      </c>
      <c r="K639" s="69" t="s">
        <v>274</v>
      </c>
      <c r="L639" s="69"/>
      <c r="M639" s="71"/>
      <c r="N639" s="71"/>
      <c r="O639" s="71"/>
      <c r="P639" s="71" t="s">
        <v>275</v>
      </c>
      <c r="Q639" s="88">
        <v>1.9813346951605301E-2</v>
      </c>
      <c r="R639" s="89" t="s">
        <v>276</v>
      </c>
      <c r="S639" s="89"/>
      <c r="T639">
        <v>8</v>
      </c>
      <c r="U639" s="76">
        <v>0.2</v>
      </c>
      <c r="V639">
        <v>9.1999999999999993</v>
      </c>
      <c r="W639" s="90">
        <v>0.1</v>
      </c>
      <c r="X639" s="90"/>
      <c r="Y639" s="71"/>
      <c r="Z639" s="71"/>
      <c r="AA639" s="71"/>
      <c r="AB639" s="71"/>
      <c r="AC639" s="71"/>
      <c r="AD639" s="71"/>
      <c r="AE639" s="71"/>
      <c r="AF639" s="71"/>
      <c r="AG639" s="82">
        <v>0</v>
      </c>
      <c r="AH639" s="76"/>
      <c r="AI639" s="76"/>
      <c r="AJ639" s="76"/>
      <c r="AK639" s="71">
        <v>0.15</v>
      </c>
      <c r="AL639" s="88">
        <v>3.4375863625514903E-2</v>
      </c>
      <c r="AM639" s="89">
        <f t="shared" si="9"/>
        <v>0.22917242417009936</v>
      </c>
      <c r="AN639" s="78"/>
    </row>
    <row r="640" spans="1:40" x14ac:dyDescent="0.25">
      <c r="A640" t="s">
        <v>44</v>
      </c>
      <c r="B640" t="s">
        <v>45</v>
      </c>
      <c r="C640" s="121" t="s">
        <v>174</v>
      </c>
      <c r="D640" t="s">
        <v>196</v>
      </c>
      <c r="E640" t="s">
        <v>61</v>
      </c>
      <c r="F640">
        <v>3</v>
      </c>
      <c r="G640">
        <v>51</v>
      </c>
      <c r="H640" s="86">
        <v>45962.2088151852</v>
      </c>
      <c r="I640" s="86">
        <v>45962.281001909701</v>
      </c>
      <c r="J640" s="87">
        <v>1.7324813888888899</v>
      </c>
      <c r="K640" s="69" t="s">
        <v>274</v>
      </c>
      <c r="L640" s="69"/>
      <c r="M640" s="71"/>
      <c r="N640" s="71"/>
      <c r="O640" s="71"/>
      <c r="P640" s="71" t="s">
        <v>275</v>
      </c>
      <c r="Q640" s="88">
        <v>1.9657550678751998E-2</v>
      </c>
      <c r="R640" s="89" t="s">
        <v>276</v>
      </c>
      <c r="S640" s="89"/>
      <c r="T640">
        <v>8</v>
      </c>
      <c r="U640" s="76">
        <v>0.2</v>
      </c>
      <c r="V640">
        <v>9.1999999999999993</v>
      </c>
      <c r="W640" s="90">
        <v>0.1</v>
      </c>
      <c r="X640" s="90"/>
      <c r="Y640" s="71"/>
      <c r="Z640" s="71"/>
      <c r="AA640" s="71"/>
      <c r="AB640" s="71"/>
      <c r="AC640" s="71"/>
      <c r="AD640" s="71"/>
      <c r="AE640" s="71"/>
      <c r="AF640" s="71"/>
      <c r="AG640" s="82">
        <v>0</v>
      </c>
      <c r="AH640" s="76"/>
      <c r="AI640" s="76"/>
      <c r="AJ640" s="76"/>
      <c r="AK640" s="71">
        <v>0.15</v>
      </c>
      <c r="AL640" s="88">
        <v>3.4375863625514903E-2</v>
      </c>
      <c r="AM640" s="89">
        <f t="shared" si="9"/>
        <v>0.22917242417009936</v>
      </c>
      <c r="AN640" s="78"/>
    </row>
    <row r="641" spans="1:40" x14ac:dyDescent="0.25">
      <c r="A641" t="s">
        <v>44</v>
      </c>
      <c r="B641" t="s">
        <v>45</v>
      </c>
      <c r="C641" s="121" t="s">
        <v>174</v>
      </c>
      <c r="D641" t="s">
        <v>196</v>
      </c>
      <c r="E641" t="s">
        <v>61</v>
      </c>
      <c r="F641">
        <v>3</v>
      </c>
      <c r="G641">
        <v>52</v>
      </c>
      <c r="H641" s="86">
        <v>45962.281001909701</v>
      </c>
      <c r="I641" s="86">
        <v>45962.3531752083</v>
      </c>
      <c r="J641" s="87">
        <v>1.73215916666667</v>
      </c>
      <c r="K641" s="69" t="s">
        <v>274</v>
      </c>
      <c r="L641" s="69"/>
      <c r="M641" s="71"/>
      <c r="N641" s="71"/>
      <c r="O641" s="71"/>
      <c r="P641" s="71" t="s">
        <v>275</v>
      </c>
      <c r="Q641" s="88">
        <v>1.47029698816509E-2</v>
      </c>
      <c r="R641" s="89" t="s">
        <v>276</v>
      </c>
      <c r="S641" s="89"/>
      <c r="T641">
        <v>7.5</v>
      </c>
      <c r="U641" s="76">
        <v>0.2</v>
      </c>
      <c r="V641">
        <v>9.1999999999999993</v>
      </c>
      <c r="W641" s="90">
        <v>0.1</v>
      </c>
      <c r="X641" s="90"/>
      <c r="Y641" s="71"/>
      <c r="Z641" s="71"/>
      <c r="AA641" s="71"/>
      <c r="AB641" s="71"/>
      <c r="AC641" s="71"/>
      <c r="AD641" s="71"/>
      <c r="AE641" s="71"/>
      <c r="AF641" s="71"/>
      <c r="AG641" s="82">
        <v>0</v>
      </c>
      <c r="AH641" s="76"/>
      <c r="AI641" s="76"/>
      <c r="AJ641" s="76"/>
      <c r="AK641" s="71">
        <v>0.15</v>
      </c>
      <c r="AL641" s="88">
        <v>3.4375863625514903E-2</v>
      </c>
      <c r="AM641" s="89">
        <f t="shared" si="9"/>
        <v>0.22917242417009936</v>
      </c>
      <c r="AN641" s="78"/>
    </row>
    <row r="642" spans="1:40" x14ac:dyDescent="0.25">
      <c r="A642" t="s">
        <v>44</v>
      </c>
      <c r="B642" t="s">
        <v>45</v>
      </c>
      <c r="C642" s="121" t="s">
        <v>174</v>
      </c>
      <c r="D642" t="s">
        <v>196</v>
      </c>
      <c r="E642" t="s">
        <v>61</v>
      </c>
      <c r="F642">
        <v>3</v>
      </c>
      <c r="G642">
        <v>53</v>
      </c>
      <c r="H642" s="86">
        <v>45962.3531752083</v>
      </c>
      <c r="I642" s="86">
        <v>45962.425368379598</v>
      </c>
      <c r="J642" s="87">
        <v>1.7326361111111099</v>
      </c>
      <c r="K642" s="69" t="s">
        <v>274</v>
      </c>
      <c r="L642" s="69"/>
      <c r="M642" s="71"/>
      <c r="N642" s="71"/>
      <c r="O642" s="71"/>
      <c r="P642" s="71" t="s">
        <v>275</v>
      </c>
      <c r="Q642" s="88">
        <v>1.66657838815964E-2</v>
      </c>
      <c r="R642" s="89" t="s">
        <v>276</v>
      </c>
      <c r="S642" s="89"/>
      <c r="T642">
        <v>7.6</v>
      </c>
      <c r="U642" s="76">
        <v>0.2</v>
      </c>
      <c r="V642">
        <v>9.1999999999999993</v>
      </c>
      <c r="W642" s="90">
        <v>0.1</v>
      </c>
      <c r="X642" s="90"/>
      <c r="Y642" s="71"/>
      <c r="Z642" s="71"/>
      <c r="AA642" s="71"/>
      <c r="AB642" s="71"/>
      <c r="AC642" s="71"/>
      <c r="AD642" s="71"/>
      <c r="AE642" s="71"/>
      <c r="AF642" s="71"/>
      <c r="AG642" s="82">
        <v>0</v>
      </c>
      <c r="AH642" s="76"/>
      <c r="AI642" s="76"/>
      <c r="AJ642" s="76"/>
      <c r="AK642" s="71">
        <v>0.15</v>
      </c>
      <c r="AL642" s="88">
        <v>3.4375863625514903E-2</v>
      </c>
      <c r="AM642" s="89">
        <f t="shared" si="9"/>
        <v>0.22917242417009936</v>
      </c>
      <c r="AN642" s="78"/>
    </row>
    <row r="643" spans="1:40" x14ac:dyDescent="0.25">
      <c r="A643" t="s">
        <v>44</v>
      </c>
      <c r="B643" t="s">
        <v>45</v>
      </c>
      <c r="C643" s="121" t="s">
        <v>174</v>
      </c>
      <c r="D643" t="s">
        <v>196</v>
      </c>
      <c r="E643" t="s">
        <v>61</v>
      </c>
      <c r="F643">
        <v>3</v>
      </c>
      <c r="G643">
        <v>54</v>
      </c>
      <c r="H643" s="86">
        <v>45962.425368379598</v>
      </c>
      <c r="I643" s="86">
        <v>45962.497551817098</v>
      </c>
      <c r="J643" s="87">
        <v>1.7324025000000001</v>
      </c>
      <c r="K643" s="69" t="s">
        <v>274</v>
      </c>
      <c r="L643" s="69"/>
      <c r="M643" s="71"/>
      <c r="N643" s="71"/>
      <c r="O643" s="71"/>
      <c r="P643" s="71" t="s">
        <v>275</v>
      </c>
      <c r="Q643" s="88">
        <v>2.9139100250132499E-2</v>
      </c>
      <c r="R643" s="89" t="s">
        <v>276</v>
      </c>
      <c r="S643" s="89"/>
      <c r="T643">
        <v>9.6999999999999993</v>
      </c>
      <c r="U643" s="76">
        <v>0.2</v>
      </c>
      <c r="V643">
        <v>9.1999999999999993</v>
      </c>
      <c r="W643" s="90">
        <v>0.1</v>
      </c>
      <c r="X643" s="90"/>
      <c r="Y643" s="71"/>
      <c r="Z643" s="71"/>
      <c r="AA643" s="71"/>
      <c r="AB643" s="71"/>
      <c r="AC643" s="71"/>
      <c r="AD643" s="71"/>
      <c r="AE643" s="71"/>
      <c r="AF643" s="71"/>
      <c r="AG643" s="82">
        <v>0</v>
      </c>
      <c r="AH643" s="76"/>
      <c r="AI643" s="76"/>
      <c r="AJ643" s="76"/>
      <c r="AK643" s="71">
        <v>0.15</v>
      </c>
      <c r="AL643" s="88">
        <v>3.4375863625514903E-2</v>
      </c>
      <c r="AM643" s="89">
        <f t="shared" si="9"/>
        <v>0.22917242417009936</v>
      </c>
      <c r="AN643" s="78"/>
    </row>
    <row r="644" spans="1:40" x14ac:dyDescent="0.25">
      <c r="A644" t="s">
        <v>44</v>
      </c>
      <c r="B644" t="s">
        <v>45</v>
      </c>
      <c r="C644" s="121" t="s">
        <v>174</v>
      </c>
      <c r="D644" t="s">
        <v>196</v>
      </c>
      <c r="E644" t="s">
        <v>61</v>
      </c>
      <c r="F644">
        <v>3</v>
      </c>
      <c r="G644">
        <v>55</v>
      </c>
      <c r="H644" s="86">
        <v>45962.497551817098</v>
      </c>
      <c r="I644" s="86">
        <v>45962.569741782398</v>
      </c>
      <c r="J644" s="87">
        <v>1.73255916666667</v>
      </c>
      <c r="K644" s="69" t="s">
        <v>274</v>
      </c>
      <c r="L644" s="69"/>
      <c r="M644" s="71"/>
      <c r="N644" s="71"/>
      <c r="O644" s="71"/>
      <c r="P644" s="71" t="s">
        <v>275</v>
      </c>
      <c r="Q644" s="88">
        <v>3.4524200420330602E-2</v>
      </c>
      <c r="R644" s="89" t="s">
        <v>276</v>
      </c>
      <c r="S644" s="89"/>
      <c r="T644">
        <v>10.9</v>
      </c>
      <c r="U644" s="76">
        <v>0.2</v>
      </c>
      <c r="V644">
        <v>9.1999999999999993</v>
      </c>
      <c r="W644" s="90">
        <v>0.1</v>
      </c>
      <c r="X644" s="90"/>
      <c r="Y644" s="71"/>
      <c r="Z644" s="71"/>
      <c r="AA644" s="71"/>
      <c r="AB644" s="71"/>
      <c r="AC644" s="71"/>
      <c r="AD644" s="71"/>
      <c r="AE644" s="71"/>
      <c r="AF644" s="71"/>
      <c r="AG644" s="82">
        <v>0</v>
      </c>
      <c r="AH644" s="76"/>
      <c r="AI644" s="76"/>
      <c r="AJ644" s="76"/>
      <c r="AK644" s="71">
        <v>0.15</v>
      </c>
      <c r="AL644" s="88">
        <v>3.4375863625514903E-2</v>
      </c>
      <c r="AM644" s="89">
        <f t="shared" si="9"/>
        <v>0.22917242417009936</v>
      </c>
      <c r="AN644" s="78"/>
    </row>
    <row r="645" spans="1:40" x14ac:dyDescent="0.25">
      <c r="A645" t="s">
        <v>44</v>
      </c>
      <c r="B645" t="s">
        <v>45</v>
      </c>
      <c r="C645" s="121" t="s">
        <v>174</v>
      </c>
      <c r="D645" t="s">
        <v>196</v>
      </c>
      <c r="E645" t="s">
        <v>61</v>
      </c>
      <c r="F645">
        <v>3</v>
      </c>
      <c r="G645">
        <v>56</v>
      </c>
      <c r="H645" s="86">
        <v>45962.569741782398</v>
      </c>
      <c r="I645" s="86">
        <v>45962.641934918996</v>
      </c>
      <c r="J645" s="87">
        <v>1.73263527777778</v>
      </c>
      <c r="K645" s="69" t="s">
        <v>274</v>
      </c>
      <c r="L645" s="69"/>
      <c r="M645" s="71"/>
      <c r="N645" s="71"/>
      <c r="O645" s="71"/>
      <c r="P645" s="71" t="s">
        <v>275</v>
      </c>
      <c r="Q645" s="88">
        <v>2.16426702893124E-2</v>
      </c>
      <c r="R645" s="89" t="s">
        <v>276</v>
      </c>
      <c r="S645" s="89"/>
      <c r="T645">
        <v>10.9</v>
      </c>
      <c r="U645" s="76">
        <v>0.2</v>
      </c>
      <c r="V645">
        <v>9.4</v>
      </c>
      <c r="W645" s="90">
        <v>0.1</v>
      </c>
      <c r="X645" s="90"/>
      <c r="Y645" s="71"/>
      <c r="Z645" s="71"/>
      <c r="AA645" s="71"/>
      <c r="AB645" s="71"/>
      <c r="AC645" s="71"/>
      <c r="AD645" s="71"/>
      <c r="AE645" s="71"/>
      <c r="AF645" s="71"/>
      <c r="AG645" s="82">
        <v>0.1</v>
      </c>
      <c r="AH645" s="76"/>
      <c r="AI645" s="76"/>
      <c r="AJ645" s="76"/>
      <c r="AK645" s="71">
        <v>0.15</v>
      </c>
      <c r="AL645" s="88">
        <v>3.4375863625514903E-2</v>
      </c>
      <c r="AM645" s="89">
        <f t="shared" ref="AM645:AM708" si="10">AL645/AK645</f>
        <v>0.22917242417009936</v>
      </c>
      <c r="AN645" s="78"/>
    </row>
    <row r="646" spans="1:40" x14ac:dyDescent="0.25">
      <c r="A646" t="s">
        <v>44</v>
      </c>
      <c r="B646" t="s">
        <v>45</v>
      </c>
      <c r="C646" s="121" t="s">
        <v>174</v>
      </c>
      <c r="D646" t="s">
        <v>196</v>
      </c>
      <c r="E646" t="s">
        <v>61</v>
      </c>
      <c r="F646">
        <v>3</v>
      </c>
      <c r="G646">
        <v>57</v>
      </c>
      <c r="H646" s="86">
        <v>45962.641934918996</v>
      </c>
      <c r="I646" s="86">
        <v>45962.714117962998</v>
      </c>
      <c r="J646" s="87">
        <v>1.73239305555556</v>
      </c>
      <c r="K646" s="69" t="s">
        <v>274</v>
      </c>
      <c r="L646" s="69"/>
      <c r="M646" s="71"/>
      <c r="N646" s="71"/>
      <c r="O646" s="71"/>
      <c r="P646" s="71" t="s">
        <v>275</v>
      </c>
      <c r="Q646" s="88">
        <v>1.7720710742752301E-2</v>
      </c>
      <c r="R646" s="89" t="s">
        <v>276</v>
      </c>
      <c r="S646" s="89"/>
      <c r="T646">
        <v>10.7</v>
      </c>
      <c r="U646" s="76">
        <v>0.2</v>
      </c>
      <c r="V646">
        <v>9.5</v>
      </c>
      <c r="W646" s="90">
        <v>0.1</v>
      </c>
      <c r="X646" s="90"/>
      <c r="Y646" s="71"/>
      <c r="Z646" s="71"/>
      <c r="AA646" s="71"/>
      <c r="AB646" s="71"/>
      <c r="AC646" s="71"/>
      <c r="AD646" s="71"/>
      <c r="AE646" s="71"/>
      <c r="AF646" s="71"/>
      <c r="AG646" s="82">
        <v>0.3</v>
      </c>
      <c r="AH646" s="76"/>
      <c r="AI646" s="76"/>
      <c r="AJ646" s="76"/>
      <c r="AK646" s="71">
        <v>0.15</v>
      </c>
      <c r="AL646" s="88">
        <v>3.4375863625514903E-2</v>
      </c>
      <c r="AM646" s="89">
        <f t="shared" si="10"/>
        <v>0.22917242417009936</v>
      </c>
      <c r="AN646" s="78"/>
    </row>
    <row r="647" spans="1:40" x14ac:dyDescent="0.25">
      <c r="A647" t="s">
        <v>44</v>
      </c>
      <c r="B647" t="s">
        <v>45</v>
      </c>
      <c r="C647" s="121" t="s">
        <v>174</v>
      </c>
      <c r="D647" t="s">
        <v>196</v>
      </c>
      <c r="E647" t="s">
        <v>61</v>
      </c>
      <c r="F647">
        <v>3</v>
      </c>
      <c r="G647">
        <v>58</v>
      </c>
      <c r="H647" s="86">
        <v>45962.714117962998</v>
      </c>
      <c r="I647" s="86">
        <v>45962.786291411998</v>
      </c>
      <c r="J647" s="87">
        <v>1.7321627777777799</v>
      </c>
      <c r="K647" s="69" t="s">
        <v>274</v>
      </c>
      <c r="L647" s="69"/>
      <c r="M647" s="71"/>
      <c r="N647" s="71"/>
      <c r="O647" s="71"/>
      <c r="P647" s="71" t="s">
        <v>275</v>
      </c>
      <c r="Q647" s="88">
        <v>1.23784581152778E-2</v>
      </c>
      <c r="R647" s="89" t="s">
        <v>276</v>
      </c>
      <c r="S647" s="89"/>
      <c r="T647">
        <v>10.6</v>
      </c>
      <c r="U647" s="76">
        <v>0.2</v>
      </c>
      <c r="V647">
        <v>9.6</v>
      </c>
      <c r="W647" s="90">
        <v>0.1</v>
      </c>
      <c r="X647" s="90"/>
      <c r="Y647" s="71"/>
      <c r="Z647" s="71"/>
      <c r="AA647" s="71"/>
      <c r="AB647" s="71"/>
      <c r="AC647" s="71"/>
      <c r="AD647" s="71"/>
      <c r="AE647" s="71"/>
      <c r="AF647" s="71"/>
      <c r="AG647" s="82">
        <v>1.7</v>
      </c>
      <c r="AH647" s="76"/>
      <c r="AI647" s="76"/>
      <c r="AJ647" s="76"/>
      <c r="AK647" s="71">
        <v>0.15</v>
      </c>
      <c r="AL647" s="88">
        <v>3.4375863625514903E-2</v>
      </c>
      <c r="AM647" s="89">
        <f t="shared" si="10"/>
        <v>0.22917242417009936</v>
      </c>
      <c r="AN647" s="78"/>
    </row>
    <row r="648" spans="1:40" x14ac:dyDescent="0.25">
      <c r="A648" t="s">
        <v>44</v>
      </c>
      <c r="B648" t="s">
        <v>45</v>
      </c>
      <c r="C648" s="121" t="s">
        <v>174</v>
      </c>
      <c r="D648" t="s">
        <v>196</v>
      </c>
      <c r="E648" t="s">
        <v>61</v>
      </c>
      <c r="F648">
        <v>3</v>
      </c>
      <c r="G648">
        <v>59</v>
      </c>
      <c r="H648" s="86">
        <v>45962.786291411998</v>
      </c>
      <c r="I648" s="86">
        <v>45962.858487361103</v>
      </c>
      <c r="J648" s="87">
        <v>1.7327027777777799</v>
      </c>
      <c r="K648" s="69" t="s">
        <v>274</v>
      </c>
      <c r="L648" s="69"/>
      <c r="M648" s="71"/>
      <c r="N648" s="71"/>
      <c r="O648" s="71"/>
      <c r="P648" s="71" t="s">
        <v>275</v>
      </c>
      <c r="Q648" s="88">
        <v>1.2704776591269701E-2</v>
      </c>
      <c r="R648" s="89" t="s">
        <v>276</v>
      </c>
      <c r="S648" s="89"/>
      <c r="T648">
        <v>10.4</v>
      </c>
      <c r="U648" s="76">
        <v>0.2</v>
      </c>
      <c r="V648">
        <v>9.6999999999999993</v>
      </c>
      <c r="W648" s="90">
        <v>0.1</v>
      </c>
      <c r="X648" s="90"/>
      <c r="Y648" s="71"/>
      <c r="Z648" s="71"/>
      <c r="AA648" s="71"/>
      <c r="AB648" s="71"/>
      <c r="AC648" s="71"/>
      <c r="AD648" s="71"/>
      <c r="AE648" s="71"/>
      <c r="AF648" s="71"/>
      <c r="AG648" s="82">
        <v>0</v>
      </c>
      <c r="AH648" s="76"/>
      <c r="AI648" s="76"/>
      <c r="AJ648" s="76"/>
      <c r="AK648" s="71">
        <v>0.15</v>
      </c>
      <c r="AL648" s="88">
        <v>3.4375863625514903E-2</v>
      </c>
      <c r="AM648" s="89">
        <f t="shared" si="10"/>
        <v>0.22917242417009936</v>
      </c>
      <c r="AN648" s="78"/>
    </row>
    <row r="649" spans="1:40" x14ac:dyDescent="0.25">
      <c r="A649" t="s">
        <v>44</v>
      </c>
      <c r="B649" t="s">
        <v>45</v>
      </c>
      <c r="C649" s="121" t="s">
        <v>174</v>
      </c>
      <c r="D649" t="s">
        <v>196</v>
      </c>
      <c r="E649" t="s">
        <v>61</v>
      </c>
      <c r="F649">
        <v>3</v>
      </c>
      <c r="G649">
        <v>60</v>
      </c>
      <c r="H649" s="86">
        <v>45962.858487361103</v>
      </c>
      <c r="I649" s="86">
        <v>45962.930661851897</v>
      </c>
      <c r="J649" s="87">
        <v>1.7321877777777801</v>
      </c>
      <c r="K649" s="69" t="s">
        <v>274</v>
      </c>
      <c r="L649" s="69"/>
      <c r="M649" s="71"/>
      <c r="N649" s="71"/>
      <c r="O649" s="71"/>
      <c r="P649" s="71" t="s">
        <v>275</v>
      </c>
      <c r="Q649" s="88">
        <v>1.40807550483696E-2</v>
      </c>
      <c r="R649" s="89" t="s">
        <v>276</v>
      </c>
      <c r="S649" s="89"/>
      <c r="T649">
        <v>10.5</v>
      </c>
      <c r="U649" s="76">
        <v>0.2</v>
      </c>
      <c r="V649">
        <v>9.8000000000000007</v>
      </c>
      <c r="W649" s="90">
        <v>0.1</v>
      </c>
      <c r="X649" s="90"/>
      <c r="Y649" s="71"/>
      <c r="Z649" s="71"/>
      <c r="AA649" s="71"/>
      <c r="AB649" s="71"/>
      <c r="AC649" s="71"/>
      <c r="AD649" s="71"/>
      <c r="AE649" s="71"/>
      <c r="AF649" s="71"/>
      <c r="AG649" s="82">
        <v>0</v>
      </c>
      <c r="AH649" s="76"/>
      <c r="AI649" s="76"/>
      <c r="AJ649" s="76"/>
      <c r="AK649" s="71">
        <v>0.15</v>
      </c>
      <c r="AL649" s="88">
        <v>3.4375863625514903E-2</v>
      </c>
      <c r="AM649" s="89">
        <f t="shared" si="10"/>
        <v>0.22917242417009936</v>
      </c>
      <c r="AN649" s="78"/>
    </row>
    <row r="650" spans="1:40" x14ac:dyDescent="0.25">
      <c r="A650" t="s">
        <v>44</v>
      </c>
      <c r="B650" t="s">
        <v>45</v>
      </c>
      <c r="C650" s="121" t="s">
        <v>174</v>
      </c>
      <c r="D650" t="s">
        <v>196</v>
      </c>
      <c r="E650" t="s">
        <v>61</v>
      </c>
      <c r="F650">
        <v>3</v>
      </c>
      <c r="G650">
        <v>61</v>
      </c>
      <c r="H650" s="86">
        <v>45962.930661851897</v>
      </c>
      <c r="I650" s="86">
        <v>45963.002845347197</v>
      </c>
      <c r="J650" s="87">
        <v>1.73240388888889</v>
      </c>
      <c r="K650" s="69" t="s">
        <v>274</v>
      </c>
      <c r="L650" s="69"/>
      <c r="M650" s="71"/>
      <c r="N650" s="71"/>
      <c r="O650" s="71"/>
      <c r="P650" s="71" t="s">
        <v>275</v>
      </c>
      <c r="Q650" s="88">
        <v>1.44809911755116E-2</v>
      </c>
      <c r="R650" s="89" t="s">
        <v>276</v>
      </c>
      <c r="S650" s="89"/>
      <c r="T650">
        <v>10</v>
      </c>
      <c r="U650" s="76">
        <v>0.2</v>
      </c>
      <c r="V650">
        <v>9.8000000000000007</v>
      </c>
      <c r="W650" s="90">
        <v>0.1</v>
      </c>
      <c r="X650" s="90"/>
      <c r="Y650" s="71"/>
      <c r="Z650" s="71"/>
      <c r="AA650" s="71"/>
      <c r="AB650" s="71"/>
      <c r="AC650" s="71"/>
      <c r="AD650" s="71"/>
      <c r="AE650" s="71"/>
      <c r="AF650" s="71"/>
      <c r="AG650" s="82">
        <v>0.2</v>
      </c>
      <c r="AH650" s="76"/>
      <c r="AI650" s="76"/>
      <c r="AJ650" s="76"/>
      <c r="AK650" s="71">
        <v>0.15</v>
      </c>
      <c r="AL650" s="88">
        <v>3.4375863625514903E-2</v>
      </c>
      <c r="AM650" s="89">
        <f t="shared" si="10"/>
        <v>0.22917242417009936</v>
      </c>
      <c r="AN650" s="78"/>
    </row>
    <row r="651" spans="1:40" x14ac:dyDescent="0.25">
      <c r="A651" t="s">
        <v>44</v>
      </c>
      <c r="B651" t="s">
        <v>45</v>
      </c>
      <c r="C651" s="121" t="s">
        <v>174</v>
      </c>
      <c r="D651" t="s">
        <v>196</v>
      </c>
      <c r="E651" t="s">
        <v>61</v>
      </c>
      <c r="F651">
        <v>3</v>
      </c>
      <c r="G651">
        <v>62</v>
      </c>
      <c r="H651" s="86">
        <v>45963.002845347197</v>
      </c>
      <c r="I651" s="86">
        <v>45963.075030347201</v>
      </c>
      <c r="J651" s="87">
        <v>1.73244</v>
      </c>
      <c r="K651" s="69" t="s">
        <v>274</v>
      </c>
      <c r="L651" s="69"/>
      <c r="M651" s="71"/>
      <c r="N651" s="71"/>
      <c r="O651" s="71"/>
      <c r="P651" s="71" t="s">
        <v>275</v>
      </c>
      <c r="Q651" s="88">
        <v>1.0907526392151101E-2</v>
      </c>
      <c r="R651" s="89" t="s">
        <v>276</v>
      </c>
      <c r="S651" s="89"/>
      <c r="T651">
        <v>9.1</v>
      </c>
      <c r="U651" s="76">
        <v>0.2</v>
      </c>
      <c r="V651">
        <v>9.8000000000000007</v>
      </c>
      <c r="W651" s="90">
        <v>0.1</v>
      </c>
      <c r="X651" s="90"/>
      <c r="Y651" s="71"/>
      <c r="Z651" s="71"/>
      <c r="AA651" s="71"/>
      <c r="AB651" s="71"/>
      <c r="AC651" s="71"/>
      <c r="AD651" s="71"/>
      <c r="AE651" s="71"/>
      <c r="AF651" s="71"/>
      <c r="AG651" s="82">
        <v>0</v>
      </c>
      <c r="AH651" s="76"/>
      <c r="AI651" s="76"/>
      <c r="AJ651" s="76"/>
      <c r="AK651" s="71">
        <v>0.15</v>
      </c>
      <c r="AL651" s="88">
        <v>3.4375863625514903E-2</v>
      </c>
      <c r="AM651" s="89">
        <f t="shared" si="10"/>
        <v>0.22917242417009936</v>
      </c>
      <c r="AN651" s="78"/>
    </row>
    <row r="652" spans="1:40" x14ac:dyDescent="0.25">
      <c r="A652" t="s">
        <v>44</v>
      </c>
      <c r="B652" t="s">
        <v>45</v>
      </c>
      <c r="C652" s="121" t="s">
        <v>174</v>
      </c>
      <c r="D652" t="s">
        <v>196</v>
      </c>
      <c r="E652" t="s">
        <v>61</v>
      </c>
      <c r="F652">
        <v>3</v>
      </c>
      <c r="G652">
        <v>63</v>
      </c>
      <c r="H652" s="86">
        <v>45963.075030347201</v>
      </c>
      <c r="I652" s="86">
        <v>45963.147215451398</v>
      </c>
      <c r="J652" s="87">
        <v>1.7324425000000001</v>
      </c>
      <c r="K652" s="69" t="s">
        <v>274</v>
      </c>
      <c r="L652" s="69"/>
      <c r="M652" s="71"/>
      <c r="N652" s="71"/>
      <c r="O652" s="71"/>
      <c r="P652" s="71" t="s">
        <v>275</v>
      </c>
      <c r="Q652" s="88">
        <v>1.01553138594607E-2</v>
      </c>
      <c r="R652" s="89" t="s">
        <v>276</v>
      </c>
      <c r="S652" s="89"/>
      <c r="T652">
        <v>8.1999999999999993</v>
      </c>
      <c r="U652" s="76">
        <v>0.2</v>
      </c>
      <c r="V652">
        <v>9.8000000000000007</v>
      </c>
      <c r="W652" s="90">
        <v>0.1</v>
      </c>
      <c r="X652" s="90"/>
      <c r="Y652" s="71"/>
      <c r="Z652" s="71"/>
      <c r="AA652" s="71"/>
      <c r="AB652" s="71"/>
      <c r="AC652" s="71"/>
      <c r="AD652" s="71"/>
      <c r="AE652" s="71"/>
      <c r="AF652" s="71"/>
      <c r="AG652" s="82">
        <v>0</v>
      </c>
      <c r="AH652" s="76"/>
      <c r="AI652" s="76"/>
      <c r="AJ652" s="76"/>
      <c r="AK652" s="71">
        <v>0.15</v>
      </c>
      <c r="AL652" s="88">
        <v>3.4375863625514903E-2</v>
      </c>
      <c r="AM652" s="89">
        <f t="shared" si="10"/>
        <v>0.22917242417009936</v>
      </c>
      <c r="AN652" s="78"/>
    </row>
    <row r="653" spans="1:40" x14ac:dyDescent="0.25">
      <c r="A653" t="s">
        <v>44</v>
      </c>
      <c r="B653" t="s">
        <v>45</v>
      </c>
      <c r="C653" s="121" t="s">
        <v>174</v>
      </c>
      <c r="D653" t="s">
        <v>196</v>
      </c>
      <c r="E653" t="s">
        <v>61</v>
      </c>
      <c r="F653">
        <v>3</v>
      </c>
      <c r="G653">
        <v>64</v>
      </c>
      <c r="H653" s="86">
        <v>45963.147215451398</v>
      </c>
      <c r="I653" s="86">
        <v>45963.219411620397</v>
      </c>
      <c r="J653" s="87">
        <v>1.7327080555555601</v>
      </c>
      <c r="K653" s="69" t="s">
        <v>274</v>
      </c>
      <c r="L653" s="69"/>
      <c r="M653" s="71"/>
      <c r="N653" s="71"/>
      <c r="O653" s="71"/>
      <c r="P653" s="71" t="s">
        <v>275</v>
      </c>
      <c r="Q653" s="88">
        <v>8.9751714048705092E-3</v>
      </c>
      <c r="R653" s="89" t="s">
        <v>276</v>
      </c>
      <c r="S653" s="89"/>
      <c r="T653">
        <v>8.5</v>
      </c>
      <c r="U653" s="76">
        <v>0.2</v>
      </c>
      <c r="V653">
        <v>9.6999999999999993</v>
      </c>
      <c r="W653" s="90">
        <v>0.1</v>
      </c>
      <c r="X653" s="90"/>
      <c r="Y653" s="71"/>
      <c r="Z653" s="71"/>
      <c r="AA653" s="71"/>
      <c r="AB653" s="71"/>
      <c r="AC653" s="71"/>
      <c r="AD653" s="71"/>
      <c r="AE653" s="71"/>
      <c r="AF653" s="71"/>
      <c r="AG653" s="82">
        <v>0</v>
      </c>
      <c r="AH653" s="76"/>
      <c r="AI653" s="76"/>
      <c r="AJ653" s="76"/>
      <c r="AK653" s="71">
        <v>0.15</v>
      </c>
      <c r="AL653" s="88">
        <v>3.4375863625514903E-2</v>
      </c>
      <c r="AM653" s="89">
        <f t="shared" si="10"/>
        <v>0.22917242417009936</v>
      </c>
      <c r="AN653" s="78"/>
    </row>
    <row r="654" spans="1:40" x14ac:dyDescent="0.25">
      <c r="A654" t="s">
        <v>44</v>
      </c>
      <c r="B654" t="s">
        <v>45</v>
      </c>
      <c r="C654" s="121" t="s">
        <v>174</v>
      </c>
      <c r="D654" t="s">
        <v>196</v>
      </c>
      <c r="E654" t="s">
        <v>61</v>
      </c>
      <c r="F654">
        <v>3</v>
      </c>
      <c r="G654">
        <v>65</v>
      </c>
      <c r="H654" s="86">
        <v>45963.219411620397</v>
      </c>
      <c r="I654" s="86">
        <v>45963.291585729203</v>
      </c>
      <c r="J654" s="87">
        <v>1.7321786111111099</v>
      </c>
      <c r="K654" s="69" t="s">
        <v>274</v>
      </c>
      <c r="L654" s="69"/>
      <c r="M654" s="71"/>
      <c r="N654" s="71"/>
      <c r="O654" s="71"/>
      <c r="P654" s="71" t="s">
        <v>275</v>
      </c>
      <c r="Q654" s="88">
        <v>9.6020169400491007E-3</v>
      </c>
      <c r="R654" s="89" t="s">
        <v>276</v>
      </c>
      <c r="S654" s="89"/>
      <c r="T654">
        <v>8.1999999999999993</v>
      </c>
      <c r="U654" s="76">
        <v>0.2</v>
      </c>
      <c r="V654">
        <v>9.6999999999999993</v>
      </c>
      <c r="W654" s="90">
        <v>0.1</v>
      </c>
      <c r="X654" s="90"/>
      <c r="Y654" s="71"/>
      <c r="Z654" s="71"/>
      <c r="AA654" s="71"/>
      <c r="AB654" s="71"/>
      <c r="AC654" s="71"/>
      <c r="AD654" s="71"/>
      <c r="AE654" s="71"/>
      <c r="AF654" s="71"/>
      <c r="AG654" s="82">
        <v>0</v>
      </c>
      <c r="AH654" s="76"/>
      <c r="AI654" s="76"/>
      <c r="AJ654" s="76"/>
      <c r="AK654" s="71">
        <v>0.15</v>
      </c>
      <c r="AL654" s="88">
        <v>3.4375863625514903E-2</v>
      </c>
      <c r="AM654" s="89">
        <f t="shared" si="10"/>
        <v>0.22917242417009936</v>
      </c>
      <c r="AN654" s="78"/>
    </row>
    <row r="655" spans="1:40" x14ac:dyDescent="0.25">
      <c r="A655" t="s">
        <v>44</v>
      </c>
      <c r="B655" t="s">
        <v>45</v>
      </c>
      <c r="C655" s="121" t="s">
        <v>174</v>
      </c>
      <c r="D655" t="s">
        <v>196</v>
      </c>
      <c r="E655" t="s">
        <v>61</v>
      </c>
      <c r="F655">
        <v>3</v>
      </c>
      <c r="G655">
        <v>66</v>
      </c>
      <c r="H655" s="86">
        <v>45963.291585729203</v>
      </c>
      <c r="I655" s="86">
        <v>45963.363762476904</v>
      </c>
      <c r="J655" s="87">
        <v>1.7322419444444399</v>
      </c>
      <c r="K655" s="69" t="s">
        <v>274</v>
      </c>
      <c r="L655" s="69"/>
      <c r="M655" s="71"/>
      <c r="N655" s="71"/>
      <c r="O655" s="71"/>
      <c r="P655" s="71" t="s">
        <v>275</v>
      </c>
      <c r="Q655" s="88">
        <v>9.6395177869567292E-3</v>
      </c>
      <c r="R655" s="89" t="s">
        <v>276</v>
      </c>
      <c r="S655" s="89"/>
      <c r="T655">
        <v>8.9</v>
      </c>
      <c r="U655" s="76">
        <v>0.2</v>
      </c>
      <c r="V655">
        <v>9.6</v>
      </c>
      <c r="W655" s="90">
        <v>0.1</v>
      </c>
      <c r="X655" s="90"/>
      <c r="Y655" s="71"/>
      <c r="Z655" s="71"/>
      <c r="AA655" s="71"/>
      <c r="AB655" s="71"/>
      <c r="AC655" s="71"/>
      <c r="AD655" s="71"/>
      <c r="AE655" s="71"/>
      <c r="AF655" s="71"/>
      <c r="AG655" s="82">
        <v>2.6</v>
      </c>
      <c r="AH655" s="76"/>
      <c r="AI655" s="76"/>
      <c r="AJ655" s="76"/>
      <c r="AK655" s="71">
        <v>0.15</v>
      </c>
      <c r="AL655" s="88">
        <v>3.4375863625514903E-2</v>
      </c>
      <c r="AM655" s="89">
        <f t="shared" si="10"/>
        <v>0.22917242417009936</v>
      </c>
      <c r="AN655" s="78"/>
    </row>
    <row r="656" spans="1:40" x14ac:dyDescent="0.25">
      <c r="A656" t="s">
        <v>44</v>
      </c>
      <c r="B656" t="s">
        <v>45</v>
      </c>
      <c r="C656" s="121" t="s">
        <v>174</v>
      </c>
      <c r="D656" t="s">
        <v>196</v>
      </c>
      <c r="E656" t="s">
        <v>61</v>
      </c>
      <c r="F656">
        <v>3</v>
      </c>
      <c r="G656">
        <v>67</v>
      </c>
      <c r="H656" s="86">
        <v>45963.363762476904</v>
      </c>
      <c r="I656" s="86">
        <v>45963.435940775496</v>
      </c>
      <c r="J656" s="87">
        <v>1.7322791666666699</v>
      </c>
      <c r="K656" s="69" t="s">
        <v>274</v>
      </c>
      <c r="L656" s="69"/>
      <c r="M656" s="71"/>
      <c r="N656" s="71"/>
      <c r="O656" s="71"/>
      <c r="P656" s="71" t="s">
        <v>275</v>
      </c>
      <c r="Q656" s="88">
        <v>1.10362233662455E-2</v>
      </c>
      <c r="R656" s="89" t="s">
        <v>276</v>
      </c>
      <c r="S656" s="89"/>
      <c r="T656">
        <v>8.9</v>
      </c>
      <c r="U656" s="76">
        <v>0.2</v>
      </c>
      <c r="V656">
        <v>9.6</v>
      </c>
      <c r="W656" s="90">
        <v>0.1</v>
      </c>
      <c r="X656" s="90"/>
      <c r="Y656" s="71"/>
      <c r="Z656" s="71"/>
      <c r="AA656" s="71"/>
      <c r="AB656" s="71"/>
      <c r="AC656" s="71"/>
      <c r="AD656" s="71"/>
      <c r="AE656" s="71"/>
      <c r="AF656" s="71"/>
      <c r="AG656" s="82">
        <v>0</v>
      </c>
      <c r="AH656" s="76"/>
      <c r="AI656" s="76"/>
      <c r="AJ656" s="76"/>
      <c r="AK656" s="71">
        <v>0.15</v>
      </c>
      <c r="AL656" s="88">
        <v>3.4375863625514903E-2</v>
      </c>
      <c r="AM656" s="89">
        <f t="shared" si="10"/>
        <v>0.22917242417009936</v>
      </c>
      <c r="AN656" s="78"/>
    </row>
    <row r="657" spans="1:40" x14ac:dyDescent="0.25">
      <c r="A657" t="s">
        <v>44</v>
      </c>
      <c r="B657" t="s">
        <v>45</v>
      </c>
      <c r="C657" s="121" t="s">
        <v>174</v>
      </c>
      <c r="D657" t="s">
        <v>196</v>
      </c>
      <c r="E657" t="s">
        <v>61</v>
      </c>
      <c r="F657">
        <v>3</v>
      </c>
      <c r="G657">
        <v>68</v>
      </c>
      <c r="H657" s="86">
        <v>45963.435940775496</v>
      </c>
      <c r="I657" s="86">
        <v>45963.508135578697</v>
      </c>
      <c r="J657" s="87">
        <v>1.7326752777777801</v>
      </c>
      <c r="K657" s="69" t="s">
        <v>274</v>
      </c>
      <c r="L657" s="69"/>
      <c r="M657" s="71"/>
      <c r="N657" s="71"/>
      <c r="O657" s="71"/>
      <c r="P657" s="71" t="s">
        <v>275</v>
      </c>
      <c r="Q657" s="88">
        <v>4.6550954883801197E-2</v>
      </c>
      <c r="R657" s="89" t="s">
        <v>276</v>
      </c>
      <c r="S657" s="89"/>
      <c r="T657">
        <v>10</v>
      </c>
      <c r="U657" s="76">
        <v>0.2</v>
      </c>
      <c r="V657">
        <v>9.6</v>
      </c>
      <c r="W657" s="90">
        <v>0.1</v>
      </c>
      <c r="X657" s="90"/>
      <c r="Y657" s="71"/>
      <c r="Z657" s="71"/>
      <c r="AA657" s="71"/>
      <c r="AB657" s="71"/>
      <c r="AC657" s="71"/>
      <c r="AD657" s="71"/>
      <c r="AE657" s="71"/>
      <c r="AF657" s="71"/>
      <c r="AG657" s="82">
        <v>0</v>
      </c>
      <c r="AH657" s="76"/>
      <c r="AI657" s="76"/>
      <c r="AJ657" s="76"/>
      <c r="AK657" s="71">
        <v>0.15</v>
      </c>
      <c r="AL657" s="88">
        <v>3.4375863625514903E-2</v>
      </c>
      <c r="AM657" s="89">
        <f t="shared" si="10"/>
        <v>0.22917242417009936</v>
      </c>
      <c r="AN657" s="78"/>
    </row>
    <row r="658" spans="1:40" x14ac:dyDescent="0.25">
      <c r="A658" t="s">
        <v>44</v>
      </c>
      <c r="B658" t="s">
        <v>45</v>
      </c>
      <c r="C658" s="121" t="s">
        <v>174</v>
      </c>
      <c r="D658" t="s">
        <v>196</v>
      </c>
      <c r="E658" t="s">
        <v>61</v>
      </c>
      <c r="F658">
        <v>3</v>
      </c>
      <c r="G658">
        <v>69</v>
      </c>
      <c r="H658" s="86">
        <v>45963.508135578697</v>
      </c>
      <c r="I658" s="86">
        <v>45963.580318055603</v>
      </c>
      <c r="J658" s="87">
        <v>1.73237944444444</v>
      </c>
      <c r="K658" s="69" t="s">
        <v>274</v>
      </c>
      <c r="L658" s="69"/>
      <c r="M658" s="71"/>
      <c r="N658" s="71"/>
      <c r="O658" s="71"/>
      <c r="P658" s="71" t="s">
        <v>275</v>
      </c>
      <c r="Q658" s="88">
        <v>4.73563409995129E-2</v>
      </c>
      <c r="R658" s="89" t="s">
        <v>276</v>
      </c>
      <c r="S658" s="89"/>
      <c r="T658">
        <v>12.6</v>
      </c>
      <c r="U658" s="76">
        <v>0.2</v>
      </c>
      <c r="V658">
        <v>9.6999999999999993</v>
      </c>
      <c r="W658" s="90">
        <v>0.1</v>
      </c>
      <c r="X658" s="90"/>
      <c r="Y658" s="71"/>
      <c r="Z658" s="71"/>
      <c r="AA658" s="71"/>
      <c r="AB658" s="71"/>
      <c r="AC658" s="71"/>
      <c r="AD658" s="71"/>
      <c r="AE658" s="71"/>
      <c r="AF658" s="71"/>
      <c r="AG658" s="82">
        <v>0</v>
      </c>
      <c r="AH658" s="76"/>
      <c r="AI658" s="76"/>
      <c r="AJ658" s="76"/>
      <c r="AK658" s="71">
        <v>0.15</v>
      </c>
      <c r="AL658" s="88">
        <v>3.4375863625514903E-2</v>
      </c>
      <c r="AM658" s="89">
        <f t="shared" si="10"/>
        <v>0.22917242417009936</v>
      </c>
      <c r="AN658" s="78"/>
    </row>
    <row r="659" spans="1:40" x14ac:dyDescent="0.25">
      <c r="A659" t="s">
        <v>44</v>
      </c>
      <c r="B659" t="s">
        <v>45</v>
      </c>
      <c r="C659" s="121" t="s">
        <v>174</v>
      </c>
      <c r="D659" t="s">
        <v>196</v>
      </c>
      <c r="E659" t="s">
        <v>61</v>
      </c>
      <c r="F659">
        <v>3</v>
      </c>
      <c r="G659">
        <v>70</v>
      </c>
      <c r="H659" s="86">
        <v>45963.580318055603</v>
      </c>
      <c r="I659" s="86">
        <v>45963.6524926852</v>
      </c>
      <c r="J659" s="87">
        <v>1.7321911111111099</v>
      </c>
      <c r="K659" s="69" t="s">
        <v>274</v>
      </c>
      <c r="L659" s="69"/>
      <c r="M659" s="71"/>
      <c r="N659" s="71"/>
      <c r="O659" s="71"/>
      <c r="P659" s="71" t="s">
        <v>275</v>
      </c>
      <c r="Q659" s="88">
        <v>3.7286993737034098E-2</v>
      </c>
      <c r="R659" s="89" t="s">
        <v>276</v>
      </c>
      <c r="S659" s="89"/>
      <c r="T659">
        <v>12.2</v>
      </c>
      <c r="U659" s="76">
        <v>0.2</v>
      </c>
      <c r="V659">
        <v>9.9</v>
      </c>
      <c r="W659" s="90">
        <v>0.1</v>
      </c>
      <c r="X659" s="90"/>
      <c r="Y659" s="71"/>
      <c r="Z659" s="71"/>
      <c r="AA659" s="71"/>
      <c r="AB659" s="71"/>
      <c r="AC659" s="71"/>
      <c r="AD659" s="71"/>
      <c r="AE659" s="71"/>
      <c r="AF659" s="71"/>
      <c r="AG659" s="82">
        <v>0</v>
      </c>
      <c r="AH659" s="76"/>
      <c r="AI659" s="76"/>
      <c r="AJ659" s="76"/>
      <c r="AK659" s="71">
        <v>0.15</v>
      </c>
      <c r="AL659" s="88">
        <v>3.4375863625514903E-2</v>
      </c>
      <c r="AM659" s="89">
        <f t="shared" si="10"/>
        <v>0.22917242417009936</v>
      </c>
      <c r="AN659" s="78"/>
    </row>
    <row r="660" spans="1:40" x14ac:dyDescent="0.25">
      <c r="A660" t="s">
        <v>44</v>
      </c>
      <c r="B660" t="s">
        <v>45</v>
      </c>
      <c r="C660" s="121" t="s">
        <v>174</v>
      </c>
      <c r="D660" t="s">
        <v>196</v>
      </c>
      <c r="E660" t="s">
        <v>61</v>
      </c>
      <c r="F660">
        <v>3</v>
      </c>
      <c r="G660">
        <v>71</v>
      </c>
      <c r="H660" s="86">
        <v>45963.6524926852</v>
      </c>
      <c r="I660" s="86">
        <v>45963.724692523101</v>
      </c>
      <c r="J660" s="87">
        <v>1.7327961111111101</v>
      </c>
      <c r="K660" s="69" t="s">
        <v>274</v>
      </c>
      <c r="L660" s="69"/>
      <c r="M660" s="71"/>
      <c r="N660" s="71"/>
      <c r="O660" s="71"/>
      <c r="P660" s="71" t="s">
        <v>275</v>
      </c>
      <c r="Q660" s="88">
        <v>2.3050777150254699E-2</v>
      </c>
      <c r="R660" s="89" t="s">
        <v>276</v>
      </c>
      <c r="S660" s="89"/>
      <c r="T660">
        <v>9.1999999999999993</v>
      </c>
      <c r="U660" s="76">
        <v>0.2</v>
      </c>
      <c r="V660">
        <v>10.1</v>
      </c>
      <c r="W660" s="90">
        <v>0.1</v>
      </c>
      <c r="X660" s="90"/>
      <c r="Y660" s="71"/>
      <c r="Z660" s="71"/>
      <c r="AA660" s="71"/>
      <c r="AB660" s="71"/>
      <c r="AC660" s="71"/>
      <c r="AD660" s="71"/>
      <c r="AE660" s="71"/>
      <c r="AF660" s="71"/>
      <c r="AG660" s="82">
        <v>0</v>
      </c>
      <c r="AH660" s="76"/>
      <c r="AI660" s="76"/>
      <c r="AJ660" s="76"/>
      <c r="AK660" s="71">
        <v>0.15</v>
      </c>
      <c r="AL660" s="88">
        <v>3.4375863625514903E-2</v>
      </c>
      <c r="AM660" s="89">
        <f t="shared" si="10"/>
        <v>0.22917242417009936</v>
      </c>
      <c r="AN660" s="78"/>
    </row>
    <row r="661" spans="1:40" x14ac:dyDescent="0.25">
      <c r="A661" t="s">
        <v>44</v>
      </c>
      <c r="B661" t="s">
        <v>45</v>
      </c>
      <c r="C661" s="121" t="s">
        <v>174</v>
      </c>
      <c r="D661" t="s">
        <v>196</v>
      </c>
      <c r="E661" t="s">
        <v>61</v>
      </c>
      <c r="F661">
        <v>3</v>
      </c>
      <c r="G661">
        <v>72</v>
      </c>
      <c r="H661" s="86">
        <v>45963.724692523101</v>
      </c>
      <c r="I661" s="86">
        <v>45963.796877615699</v>
      </c>
      <c r="J661" s="87">
        <v>1.73244222222222</v>
      </c>
      <c r="K661" s="69" t="s">
        <v>274</v>
      </c>
      <c r="L661" s="69"/>
      <c r="M661" s="71"/>
      <c r="N661" s="71"/>
      <c r="O661" s="71"/>
      <c r="P661" s="71" t="s">
        <v>275</v>
      </c>
      <c r="Q661" s="88">
        <v>7.9442172889550196E-3</v>
      </c>
      <c r="R661" s="89" t="s">
        <v>276</v>
      </c>
      <c r="S661" s="89"/>
      <c r="T661">
        <v>6.4</v>
      </c>
      <c r="U661" s="76">
        <v>0.2</v>
      </c>
      <c r="V661">
        <v>10.199999999999999</v>
      </c>
      <c r="W661" s="90">
        <v>0.1</v>
      </c>
      <c r="X661" s="90"/>
      <c r="Y661" s="71"/>
      <c r="Z661" s="71"/>
      <c r="AA661" s="71"/>
      <c r="AB661" s="71"/>
      <c r="AC661" s="71"/>
      <c r="AD661" s="71"/>
      <c r="AE661" s="71"/>
      <c r="AF661" s="71"/>
      <c r="AG661" s="82">
        <v>0</v>
      </c>
      <c r="AH661" s="76"/>
      <c r="AI661" s="76"/>
      <c r="AJ661" s="76"/>
      <c r="AK661" s="71">
        <v>0.15</v>
      </c>
      <c r="AL661" s="88">
        <v>3.4375863625514903E-2</v>
      </c>
      <c r="AM661" s="89">
        <f t="shared" si="10"/>
        <v>0.22917242417009936</v>
      </c>
      <c r="AN661" s="78"/>
    </row>
    <row r="662" spans="1:40" x14ac:dyDescent="0.25">
      <c r="A662" t="s">
        <v>44</v>
      </c>
      <c r="B662" t="s">
        <v>45</v>
      </c>
      <c r="C662" s="121" t="s">
        <v>174</v>
      </c>
      <c r="D662" t="s">
        <v>196</v>
      </c>
      <c r="E662" t="s">
        <v>61</v>
      </c>
      <c r="F662">
        <v>3</v>
      </c>
      <c r="G662">
        <v>73</v>
      </c>
      <c r="H662" s="86">
        <v>45963.796877615699</v>
      </c>
      <c r="I662" s="86">
        <v>45963.869057002303</v>
      </c>
      <c r="J662" s="87">
        <v>1.7323052777777801</v>
      </c>
      <c r="K662" s="69" t="s">
        <v>274</v>
      </c>
      <c r="L662" s="69"/>
      <c r="M662" s="71"/>
      <c r="N662" s="71"/>
      <c r="O662" s="71"/>
      <c r="P662" s="71" t="s">
        <v>275</v>
      </c>
      <c r="Q662" s="88">
        <v>5.2297943869560101E-3</v>
      </c>
      <c r="R662" s="89" t="s">
        <v>276</v>
      </c>
      <c r="S662" s="89"/>
      <c r="T662">
        <v>5.8</v>
      </c>
      <c r="U662" s="76">
        <v>0.2</v>
      </c>
      <c r="V662">
        <v>10</v>
      </c>
      <c r="W662" s="90">
        <v>0.1</v>
      </c>
      <c r="X662" s="90"/>
      <c r="Y662" s="71"/>
      <c r="Z662" s="71"/>
      <c r="AA662" s="71"/>
      <c r="AB662" s="71"/>
      <c r="AC662" s="71"/>
      <c r="AD662" s="71"/>
      <c r="AE662" s="71"/>
      <c r="AF662" s="71"/>
      <c r="AG662" s="82">
        <v>0</v>
      </c>
      <c r="AH662" s="76"/>
      <c r="AI662" s="76"/>
      <c r="AJ662" s="76"/>
      <c r="AK662" s="71">
        <v>0.15</v>
      </c>
      <c r="AL662" s="88">
        <v>3.4375863625514903E-2</v>
      </c>
      <c r="AM662" s="89">
        <f t="shared" si="10"/>
        <v>0.22917242417009936</v>
      </c>
      <c r="AN662" s="78"/>
    </row>
    <row r="663" spans="1:40" x14ac:dyDescent="0.25">
      <c r="A663" t="s">
        <v>44</v>
      </c>
      <c r="B663" t="s">
        <v>45</v>
      </c>
      <c r="C663" s="121" t="s">
        <v>174</v>
      </c>
      <c r="D663" t="s">
        <v>196</v>
      </c>
      <c r="E663" t="s">
        <v>61</v>
      </c>
      <c r="F663">
        <v>3</v>
      </c>
      <c r="G663">
        <v>74</v>
      </c>
      <c r="H663" s="86">
        <v>45963.869057002303</v>
      </c>
      <c r="I663" s="86">
        <v>45963.941247488401</v>
      </c>
      <c r="J663" s="87">
        <v>1.73257166666667</v>
      </c>
      <c r="K663" s="69" t="s">
        <v>274</v>
      </c>
      <c r="L663" s="69"/>
      <c r="M663" s="71"/>
      <c r="N663" s="71"/>
      <c r="O663" s="71"/>
      <c r="P663" s="71" t="s">
        <v>275</v>
      </c>
      <c r="Q663" s="88">
        <v>3.5569522968802499E-3</v>
      </c>
      <c r="R663" s="89" t="s">
        <v>276</v>
      </c>
      <c r="S663" s="89"/>
      <c r="T663">
        <v>7.2</v>
      </c>
      <c r="U663" s="76">
        <v>0.2</v>
      </c>
      <c r="V663">
        <v>9.8000000000000007</v>
      </c>
      <c r="W663" s="90">
        <v>0.1</v>
      </c>
      <c r="X663" s="90"/>
      <c r="Y663" s="71"/>
      <c r="Z663" s="71"/>
      <c r="AA663" s="71"/>
      <c r="AB663" s="71"/>
      <c r="AC663" s="71"/>
      <c r="AD663" s="71"/>
      <c r="AE663" s="71"/>
      <c r="AF663" s="71"/>
      <c r="AG663" s="82">
        <v>0</v>
      </c>
      <c r="AH663" s="76"/>
      <c r="AI663" s="76"/>
      <c r="AJ663" s="76"/>
      <c r="AK663" s="71">
        <v>0.15</v>
      </c>
      <c r="AL663" s="88">
        <v>3.4375863625514903E-2</v>
      </c>
      <c r="AM663" s="89">
        <f t="shared" si="10"/>
        <v>0.22917242417009936</v>
      </c>
      <c r="AN663" s="78"/>
    </row>
    <row r="664" spans="1:40" x14ac:dyDescent="0.25">
      <c r="A664" t="s">
        <v>44</v>
      </c>
      <c r="B664" t="s">
        <v>45</v>
      </c>
      <c r="C664" s="121" t="s">
        <v>174</v>
      </c>
      <c r="D664" t="s">
        <v>196</v>
      </c>
      <c r="E664" t="s">
        <v>61</v>
      </c>
      <c r="F664">
        <v>3</v>
      </c>
      <c r="G664">
        <v>75</v>
      </c>
      <c r="H664" s="86">
        <v>45963.941247488401</v>
      </c>
      <c r="I664" s="86">
        <v>45964.013431898202</v>
      </c>
      <c r="J664" s="87">
        <v>1.73242583333333</v>
      </c>
      <c r="K664" s="69" t="s">
        <v>274</v>
      </c>
      <c r="L664" s="69"/>
      <c r="M664" s="71"/>
      <c r="N664" s="71"/>
      <c r="O664" s="71"/>
      <c r="P664" s="71" t="s">
        <v>275</v>
      </c>
      <c r="Q664" s="88">
        <v>3.8493577742310702E-3</v>
      </c>
      <c r="R664" s="89" t="s">
        <v>276</v>
      </c>
      <c r="S664" s="89"/>
      <c r="T664">
        <v>6.6</v>
      </c>
      <c r="U664" s="76">
        <v>0.2</v>
      </c>
      <c r="V664">
        <v>9.6999999999999993</v>
      </c>
      <c r="W664" s="90">
        <v>0.1</v>
      </c>
      <c r="X664" s="90"/>
      <c r="Y664" s="71"/>
      <c r="Z664" s="71"/>
      <c r="AA664" s="71"/>
      <c r="AB664" s="71"/>
      <c r="AC664" s="71"/>
      <c r="AD664" s="71"/>
      <c r="AE664" s="71"/>
      <c r="AF664" s="71"/>
      <c r="AG664" s="82">
        <v>0</v>
      </c>
      <c r="AH664" s="76"/>
      <c r="AI664" s="76"/>
      <c r="AJ664" s="76"/>
      <c r="AK664" s="71">
        <v>0.15</v>
      </c>
      <c r="AL664" s="88">
        <v>3.4375863625514903E-2</v>
      </c>
      <c r="AM664" s="89">
        <f t="shared" si="10"/>
        <v>0.22917242417009936</v>
      </c>
      <c r="AN664" s="78"/>
    </row>
    <row r="665" spans="1:40" x14ac:dyDescent="0.25">
      <c r="A665" t="s">
        <v>44</v>
      </c>
      <c r="B665" t="s">
        <v>45</v>
      </c>
      <c r="C665" s="121" t="s">
        <v>174</v>
      </c>
      <c r="D665" t="s">
        <v>196</v>
      </c>
      <c r="E665" t="s">
        <v>61</v>
      </c>
      <c r="F665">
        <v>3</v>
      </c>
      <c r="G665">
        <v>76</v>
      </c>
      <c r="H665" s="86">
        <v>45964.013431898202</v>
      </c>
      <c r="I665" s="86">
        <v>45964.085614745403</v>
      </c>
      <c r="J665" s="87">
        <v>1.7323883333333301</v>
      </c>
      <c r="K665" s="69" t="s">
        <v>274</v>
      </c>
      <c r="L665" s="69"/>
      <c r="M665" s="71"/>
      <c r="N665" s="71"/>
      <c r="O665" s="71"/>
      <c r="P665" s="71" t="s">
        <v>275</v>
      </c>
      <c r="Q665" s="88">
        <v>3.9429464649604201E-3</v>
      </c>
      <c r="R665" s="89" t="s">
        <v>276</v>
      </c>
      <c r="S665" s="89"/>
      <c r="T665">
        <v>6.8</v>
      </c>
      <c r="U665" s="76">
        <v>0.2</v>
      </c>
      <c r="V665">
        <v>9.6</v>
      </c>
      <c r="W665" s="90">
        <v>0.1</v>
      </c>
      <c r="X665" s="90"/>
      <c r="Y665" s="71"/>
      <c r="Z665" s="71"/>
      <c r="AA665" s="71"/>
      <c r="AB665" s="71"/>
      <c r="AC665" s="71"/>
      <c r="AD665" s="71"/>
      <c r="AE665" s="71"/>
      <c r="AF665" s="71"/>
      <c r="AG665" s="82">
        <v>0</v>
      </c>
      <c r="AH665" s="76"/>
      <c r="AI665" s="76"/>
      <c r="AJ665" s="76"/>
      <c r="AK665" s="71">
        <v>0.15</v>
      </c>
      <c r="AL665" s="88">
        <v>3.4375863625514903E-2</v>
      </c>
      <c r="AM665" s="89">
        <f t="shared" si="10"/>
        <v>0.22917242417009936</v>
      </c>
      <c r="AN665" s="78"/>
    </row>
    <row r="666" spans="1:40" x14ac:dyDescent="0.25">
      <c r="A666" t="s">
        <v>44</v>
      </c>
      <c r="B666" t="s">
        <v>45</v>
      </c>
      <c r="C666" s="121" t="s">
        <v>174</v>
      </c>
      <c r="D666" t="s">
        <v>196</v>
      </c>
      <c r="E666" t="s">
        <v>61</v>
      </c>
      <c r="F666">
        <v>3</v>
      </c>
      <c r="G666">
        <v>77</v>
      </c>
      <c r="H666" s="86">
        <v>45964.085614745403</v>
      </c>
      <c r="I666" s="86">
        <v>45964.157789884302</v>
      </c>
      <c r="J666" s="87">
        <v>1.73220333333333</v>
      </c>
      <c r="K666" s="69" t="s">
        <v>274</v>
      </c>
      <c r="L666" s="69"/>
      <c r="M666" s="71"/>
      <c r="N666" s="71"/>
      <c r="O666" s="71"/>
      <c r="P666" s="71" t="s">
        <v>275</v>
      </c>
      <c r="Q666" s="88">
        <v>4.5568560429253904E-3</v>
      </c>
      <c r="R666" s="89" t="s">
        <v>276</v>
      </c>
      <c r="S666" s="89"/>
      <c r="T666">
        <v>6.7</v>
      </c>
      <c r="U666" s="76">
        <v>0.2</v>
      </c>
      <c r="V666">
        <v>9.5</v>
      </c>
      <c r="W666" s="90">
        <v>0.1</v>
      </c>
      <c r="X666" s="90"/>
      <c r="Y666" s="71"/>
      <c r="Z666" s="71"/>
      <c r="AA666" s="71"/>
      <c r="AB666" s="71"/>
      <c r="AC666" s="71"/>
      <c r="AD666" s="71"/>
      <c r="AE666" s="71"/>
      <c r="AF666" s="71"/>
      <c r="AG666" s="82">
        <v>0</v>
      </c>
      <c r="AH666" s="76"/>
      <c r="AI666" s="76"/>
      <c r="AJ666" s="76"/>
      <c r="AK666" s="71">
        <v>0.15</v>
      </c>
      <c r="AL666" s="88">
        <v>3.4375863625514903E-2</v>
      </c>
      <c r="AM666" s="89">
        <f t="shared" si="10"/>
        <v>0.22917242417009936</v>
      </c>
      <c r="AN666" s="78"/>
    </row>
    <row r="667" spans="1:40" x14ac:dyDescent="0.25">
      <c r="A667" t="s">
        <v>44</v>
      </c>
      <c r="B667" t="s">
        <v>45</v>
      </c>
      <c r="C667" s="121" t="s">
        <v>174</v>
      </c>
      <c r="D667" t="s">
        <v>196</v>
      </c>
      <c r="E667" t="s">
        <v>61</v>
      </c>
      <c r="F667">
        <v>3</v>
      </c>
      <c r="G667">
        <v>78</v>
      </c>
      <c r="H667" s="86">
        <v>45964.157789884302</v>
      </c>
      <c r="I667" s="86">
        <v>45964.2299686111</v>
      </c>
      <c r="J667" s="87">
        <v>1.7322894444444501</v>
      </c>
      <c r="K667" s="69" t="s">
        <v>274</v>
      </c>
      <c r="L667" s="69"/>
      <c r="M667" s="71"/>
      <c r="N667" s="71"/>
      <c r="O667" s="71"/>
      <c r="P667" s="71" t="s">
        <v>275</v>
      </c>
      <c r="Q667" s="88">
        <v>5.4026325685161197E-3</v>
      </c>
      <c r="R667" s="89" t="s">
        <v>276</v>
      </c>
      <c r="S667" s="89"/>
      <c r="T667">
        <v>6.1</v>
      </c>
      <c r="U667" s="76">
        <v>0.2</v>
      </c>
      <c r="V667">
        <v>9.4</v>
      </c>
      <c r="W667" s="90">
        <v>0.1</v>
      </c>
      <c r="X667" s="90"/>
      <c r="Y667" s="71"/>
      <c r="Z667" s="71"/>
      <c r="AA667" s="71"/>
      <c r="AB667" s="71"/>
      <c r="AC667" s="71"/>
      <c r="AD667" s="71"/>
      <c r="AE667" s="71"/>
      <c r="AF667" s="71"/>
      <c r="AG667" s="82">
        <v>0</v>
      </c>
      <c r="AH667" s="76"/>
      <c r="AI667" s="76"/>
      <c r="AJ667" s="76"/>
      <c r="AK667" s="71">
        <v>0.15</v>
      </c>
      <c r="AL667" s="88">
        <v>3.4375863625514903E-2</v>
      </c>
      <c r="AM667" s="89">
        <f t="shared" si="10"/>
        <v>0.22917242417009936</v>
      </c>
      <c r="AN667" s="78"/>
    </row>
    <row r="668" spans="1:40" x14ac:dyDescent="0.25">
      <c r="A668" t="s">
        <v>44</v>
      </c>
      <c r="B668" t="s">
        <v>45</v>
      </c>
      <c r="C668" s="121" t="s">
        <v>174</v>
      </c>
      <c r="D668" t="s">
        <v>196</v>
      </c>
      <c r="E668" t="s">
        <v>61</v>
      </c>
      <c r="F668">
        <v>3</v>
      </c>
      <c r="G668">
        <v>79</v>
      </c>
      <c r="H668" s="86">
        <v>45964.2299686111</v>
      </c>
      <c r="I668" s="86">
        <v>45964.302156874997</v>
      </c>
      <c r="J668" s="87">
        <v>1.7325183333333301</v>
      </c>
      <c r="K668" s="69" t="s">
        <v>274</v>
      </c>
      <c r="L668" s="69"/>
      <c r="M668" s="71"/>
      <c r="N668" s="71"/>
      <c r="O668" s="71"/>
      <c r="P668" s="71" t="s">
        <v>275</v>
      </c>
      <c r="Q668" s="88">
        <v>4.4768163849252399E-3</v>
      </c>
      <c r="R668" s="89" t="s">
        <v>276</v>
      </c>
      <c r="S668" s="89"/>
      <c r="T668">
        <v>6.6</v>
      </c>
      <c r="U668" s="76">
        <v>0.2</v>
      </c>
      <c r="V668">
        <v>9.3000000000000007</v>
      </c>
      <c r="W668" s="90">
        <v>0.1</v>
      </c>
      <c r="X668" s="90"/>
      <c r="Y668" s="71"/>
      <c r="Z668" s="71"/>
      <c r="AA668" s="71"/>
      <c r="AB668" s="71"/>
      <c r="AC668" s="71"/>
      <c r="AD668" s="71"/>
      <c r="AE668" s="71"/>
      <c r="AF668" s="71"/>
      <c r="AG668" s="82">
        <v>0</v>
      </c>
      <c r="AH668" s="76"/>
      <c r="AI668" s="76"/>
      <c r="AJ668" s="76"/>
      <c r="AK668" s="71">
        <v>0.15</v>
      </c>
      <c r="AL668" s="88">
        <v>3.4375863625514903E-2</v>
      </c>
      <c r="AM668" s="89">
        <f t="shared" si="10"/>
        <v>0.22917242417009936</v>
      </c>
      <c r="AN668" s="78"/>
    </row>
    <row r="669" spans="1:40" x14ac:dyDescent="0.25">
      <c r="A669" t="s">
        <v>44</v>
      </c>
      <c r="B669" t="s">
        <v>45</v>
      </c>
      <c r="C669" s="121" t="s">
        <v>174</v>
      </c>
      <c r="D669" t="s">
        <v>196</v>
      </c>
      <c r="E669" t="s">
        <v>61</v>
      </c>
      <c r="F669">
        <v>3</v>
      </c>
      <c r="G669">
        <v>80</v>
      </c>
      <c r="H669" s="86">
        <v>45964.302156874997</v>
      </c>
      <c r="I669" s="86">
        <v>45964.374348148202</v>
      </c>
      <c r="J669" s="87">
        <v>1.7325905555555601</v>
      </c>
      <c r="K669" s="69" t="s">
        <v>274</v>
      </c>
      <c r="L669" s="69"/>
      <c r="M669" s="71"/>
      <c r="N669" s="71"/>
      <c r="O669" s="71"/>
      <c r="P669" s="71" t="s">
        <v>275</v>
      </c>
      <c r="Q669" s="88">
        <v>5.1459720663010102E-3</v>
      </c>
      <c r="R669" s="89" t="s">
        <v>276</v>
      </c>
      <c r="S669" s="89"/>
      <c r="T669">
        <v>5.3</v>
      </c>
      <c r="U669" s="76">
        <v>0.2</v>
      </c>
      <c r="V669">
        <v>9.3000000000000007</v>
      </c>
      <c r="W669" s="90">
        <v>0.1</v>
      </c>
      <c r="X669" s="90"/>
      <c r="Y669" s="71"/>
      <c r="Z669" s="71"/>
      <c r="AA669" s="71"/>
      <c r="AB669" s="71"/>
      <c r="AC669" s="71"/>
      <c r="AD669" s="71"/>
      <c r="AE669" s="71"/>
      <c r="AF669" s="71"/>
      <c r="AG669" s="82">
        <v>0</v>
      </c>
      <c r="AH669" s="76"/>
      <c r="AI669" s="76"/>
      <c r="AJ669" s="76"/>
      <c r="AK669" s="71">
        <v>0.15</v>
      </c>
      <c r="AL669" s="88">
        <v>3.4375863625514903E-2</v>
      </c>
      <c r="AM669" s="89">
        <f t="shared" si="10"/>
        <v>0.22917242417009936</v>
      </c>
      <c r="AN669" s="78"/>
    </row>
    <row r="670" spans="1:40" x14ac:dyDescent="0.25">
      <c r="A670" t="s">
        <v>44</v>
      </c>
      <c r="B670" t="s">
        <v>45</v>
      </c>
      <c r="C670" s="121" t="s">
        <v>174</v>
      </c>
      <c r="D670" t="s">
        <v>196</v>
      </c>
      <c r="E670" t="s">
        <v>61</v>
      </c>
      <c r="F670">
        <v>3</v>
      </c>
      <c r="G670">
        <v>81</v>
      </c>
      <c r="H670" s="86">
        <v>45964.374348148202</v>
      </c>
      <c r="I670" s="86">
        <v>45964.446527534703</v>
      </c>
      <c r="J670" s="87">
        <v>1.7323052777777801</v>
      </c>
      <c r="K670" s="69" t="s">
        <v>274</v>
      </c>
      <c r="L670" s="69"/>
      <c r="M670" s="71"/>
      <c r="N670" s="71"/>
      <c r="O670" s="71"/>
      <c r="P670" s="71" t="s">
        <v>275</v>
      </c>
      <c r="Q670" s="88">
        <v>1.40567832587983E-2</v>
      </c>
      <c r="R670" s="89" t="s">
        <v>276</v>
      </c>
      <c r="S670" s="89"/>
      <c r="T670">
        <v>7.9</v>
      </c>
      <c r="U670" s="76">
        <v>0.2</v>
      </c>
      <c r="V670">
        <v>9.1999999999999993</v>
      </c>
      <c r="W670" s="90">
        <v>0.1</v>
      </c>
      <c r="X670" s="90"/>
      <c r="Y670" s="71"/>
      <c r="Z670" s="71"/>
      <c r="AA670" s="71"/>
      <c r="AB670" s="71"/>
      <c r="AC670" s="71"/>
      <c r="AD670" s="71"/>
      <c r="AE670" s="71"/>
      <c r="AF670" s="71"/>
      <c r="AG670" s="82">
        <v>0</v>
      </c>
      <c r="AH670" s="76"/>
      <c r="AI670" s="76"/>
      <c r="AJ670" s="76"/>
      <c r="AK670" s="71">
        <v>0.15</v>
      </c>
      <c r="AL670" s="88">
        <v>3.4375863625514903E-2</v>
      </c>
      <c r="AM670" s="89">
        <f t="shared" si="10"/>
        <v>0.22917242417009936</v>
      </c>
      <c r="AN670" s="78"/>
    </row>
    <row r="671" spans="1:40" x14ac:dyDescent="0.25">
      <c r="A671" t="s">
        <v>44</v>
      </c>
      <c r="B671" t="s">
        <v>45</v>
      </c>
      <c r="C671" s="121" t="s">
        <v>174</v>
      </c>
      <c r="D671" t="s">
        <v>196</v>
      </c>
      <c r="E671" t="s">
        <v>61</v>
      </c>
      <c r="F671">
        <v>3</v>
      </c>
      <c r="G671">
        <v>82</v>
      </c>
      <c r="H671" s="86">
        <v>45964.446527534703</v>
      </c>
      <c r="I671" s="86">
        <v>45964.518712638899</v>
      </c>
      <c r="J671" s="87">
        <v>1.7324425000000001</v>
      </c>
      <c r="K671" s="69" t="s">
        <v>274</v>
      </c>
      <c r="L671" s="69"/>
      <c r="M671" s="71"/>
      <c r="N671" s="71"/>
      <c r="O671" s="71"/>
      <c r="P671" s="71" t="s">
        <v>275</v>
      </c>
      <c r="Q671" s="88">
        <v>3.6714217144504797E-2</v>
      </c>
      <c r="R671" s="89" t="s">
        <v>276</v>
      </c>
      <c r="S671" s="89"/>
      <c r="T671">
        <v>10.4</v>
      </c>
      <c r="U671" s="76">
        <v>0.2</v>
      </c>
      <c r="V671">
        <v>9.1999999999999993</v>
      </c>
      <c r="W671" s="90">
        <v>0.1</v>
      </c>
      <c r="X671" s="90"/>
      <c r="Y671" s="71"/>
      <c r="Z671" s="71"/>
      <c r="AA671" s="71"/>
      <c r="AB671" s="71"/>
      <c r="AC671" s="71"/>
      <c r="AD671" s="71"/>
      <c r="AE671" s="71"/>
      <c r="AF671" s="71"/>
      <c r="AG671" s="82">
        <v>0</v>
      </c>
      <c r="AH671" s="76"/>
      <c r="AI671" s="76"/>
      <c r="AJ671" s="76"/>
      <c r="AK671" s="71">
        <v>0.15</v>
      </c>
      <c r="AL671" s="88">
        <v>3.4375863625514903E-2</v>
      </c>
      <c r="AM671" s="89">
        <f t="shared" si="10"/>
        <v>0.22917242417009936</v>
      </c>
      <c r="AN671" s="78"/>
    </row>
    <row r="672" spans="1:40" x14ac:dyDescent="0.25">
      <c r="A672" t="s">
        <v>44</v>
      </c>
      <c r="B672" t="s">
        <v>45</v>
      </c>
      <c r="C672" s="121" t="s">
        <v>174</v>
      </c>
      <c r="D672" t="s">
        <v>196</v>
      </c>
      <c r="E672" t="s">
        <v>61</v>
      </c>
      <c r="F672">
        <v>3</v>
      </c>
      <c r="G672">
        <v>83</v>
      </c>
      <c r="H672" s="86">
        <v>45964.518712638899</v>
      </c>
      <c r="I672" s="86">
        <v>45964.590885949103</v>
      </c>
      <c r="J672" s="87">
        <v>1.7321594444444499</v>
      </c>
      <c r="K672" s="69" t="s">
        <v>274</v>
      </c>
      <c r="L672" s="69"/>
      <c r="M672" s="71"/>
      <c r="N672" s="71"/>
      <c r="O672" s="71"/>
      <c r="P672" s="71" t="s">
        <v>275</v>
      </c>
      <c r="Q672" s="88">
        <v>3.0336406387360002E-2</v>
      </c>
      <c r="R672" s="89" t="s">
        <v>276</v>
      </c>
      <c r="S672" s="89"/>
      <c r="T672">
        <v>10.5</v>
      </c>
      <c r="U672" s="76">
        <v>0.2</v>
      </c>
      <c r="V672">
        <v>9.1999999999999993</v>
      </c>
      <c r="W672" s="90">
        <v>0.1</v>
      </c>
      <c r="X672" s="90"/>
      <c r="Y672" s="71"/>
      <c r="Z672" s="71"/>
      <c r="AA672" s="71"/>
      <c r="AB672" s="71"/>
      <c r="AC672" s="71"/>
      <c r="AD672" s="71"/>
      <c r="AE672" s="71"/>
      <c r="AF672" s="71"/>
      <c r="AG672" s="82">
        <v>0</v>
      </c>
      <c r="AH672" s="76"/>
      <c r="AI672" s="76"/>
      <c r="AJ672" s="76"/>
      <c r="AK672" s="71">
        <v>0.15</v>
      </c>
      <c r="AL672" s="88">
        <v>3.4375863625514903E-2</v>
      </c>
      <c r="AM672" s="89">
        <f t="shared" si="10"/>
        <v>0.22917242417009936</v>
      </c>
      <c r="AN672" s="78"/>
    </row>
    <row r="673" spans="1:40" x14ac:dyDescent="0.25">
      <c r="A673" t="s">
        <v>44</v>
      </c>
      <c r="B673" t="s">
        <v>45</v>
      </c>
      <c r="C673" s="121" t="s">
        <v>174</v>
      </c>
      <c r="D673" t="s">
        <v>196</v>
      </c>
      <c r="E673" t="s">
        <v>61</v>
      </c>
      <c r="F673">
        <v>3</v>
      </c>
      <c r="G673">
        <v>84</v>
      </c>
      <c r="H673" s="86">
        <v>45964.590885949103</v>
      </c>
      <c r="I673" s="86">
        <v>45964.6630870718</v>
      </c>
      <c r="J673" s="87">
        <v>1.73282694444444</v>
      </c>
      <c r="K673" s="69" t="s">
        <v>274</v>
      </c>
      <c r="L673" s="69"/>
      <c r="M673" s="71"/>
      <c r="N673" s="71"/>
      <c r="O673" s="71"/>
      <c r="P673" s="71" t="s">
        <v>275</v>
      </c>
      <c r="Q673" s="88">
        <v>1.8623466934119402E-2</v>
      </c>
      <c r="R673" s="89" t="s">
        <v>276</v>
      </c>
      <c r="S673" s="89"/>
      <c r="T673">
        <v>10.1</v>
      </c>
      <c r="U673" s="76">
        <v>0.2</v>
      </c>
      <c r="V673">
        <v>9.4</v>
      </c>
      <c r="W673" s="90">
        <v>0.1</v>
      </c>
      <c r="X673" s="90"/>
      <c r="Y673" s="71"/>
      <c r="Z673" s="71"/>
      <c r="AA673" s="71"/>
      <c r="AB673" s="71"/>
      <c r="AC673" s="71"/>
      <c r="AD673" s="71"/>
      <c r="AE673" s="71"/>
      <c r="AF673" s="71"/>
      <c r="AG673" s="82">
        <v>0.3</v>
      </c>
      <c r="AH673" s="76"/>
      <c r="AI673" s="76"/>
      <c r="AJ673" s="76"/>
      <c r="AK673" s="71">
        <v>0.15</v>
      </c>
      <c r="AL673" s="88">
        <v>3.4375863625514903E-2</v>
      </c>
      <c r="AM673" s="89">
        <f t="shared" si="10"/>
        <v>0.22917242417009936</v>
      </c>
      <c r="AN673" s="78"/>
    </row>
    <row r="674" spans="1:40" x14ac:dyDescent="0.25">
      <c r="A674" t="s">
        <v>44</v>
      </c>
      <c r="B674" t="s">
        <v>45</v>
      </c>
      <c r="C674" s="121" t="s">
        <v>174</v>
      </c>
      <c r="D674" t="s">
        <v>196</v>
      </c>
      <c r="E674" t="s">
        <v>61</v>
      </c>
      <c r="F674">
        <v>3</v>
      </c>
      <c r="G674">
        <v>85</v>
      </c>
      <c r="H674" s="86">
        <v>45964.6630870718</v>
      </c>
      <c r="I674" s="86">
        <v>45964.7352663079</v>
      </c>
      <c r="J674" s="87">
        <v>1.73230166666667</v>
      </c>
      <c r="K674" s="69" t="s">
        <v>274</v>
      </c>
      <c r="L674" s="69"/>
      <c r="M674" s="71"/>
      <c r="N674" s="71"/>
      <c r="O674" s="71"/>
      <c r="P674" s="71" t="s">
        <v>275</v>
      </c>
      <c r="Q674" s="88">
        <v>8.8821245633051108E-3</v>
      </c>
      <c r="R674" s="89" t="s">
        <v>276</v>
      </c>
      <c r="S674" s="89"/>
      <c r="T674">
        <v>9.3000000000000007</v>
      </c>
      <c r="U674" s="76">
        <v>0.2</v>
      </c>
      <c r="V674">
        <v>9.6</v>
      </c>
      <c r="W674" s="90">
        <v>0.1</v>
      </c>
      <c r="X674" s="90"/>
      <c r="Y674" s="71"/>
      <c r="Z674" s="71"/>
      <c r="AA674" s="71"/>
      <c r="AB674" s="71"/>
      <c r="AC674" s="71"/>
      <c r="AD674" s="71"/>
      <c r="AE674" s="71"/>
      <c r="AF674" s="71"/>
      <c r="AG674" s="82">
        <v>0.3</v>
      </c>
      <c r="AH674" s="76"/>
      <c r="AI674" s="76"/>
      <c r="AJ674" s="76"/>
      <c r="AK674" s="71">
        <v>0.15</v>
      </c>
      <c r="AL674" s="88">
        <v>3.4375863625514903E-2</v>
      </c>
      <c r="AM674" s="89">
        <f t="shared" si="10"/>
        <v>0.22917242417009936</v>
      </c>
      <c r="AN674" s="78"/>
    </row>
    <row r="675" spans="1:40" x14ac:dyDescent="0.25">
      <c r="A675" t="s">
        <v>44</v>
      </c>
      <c r="B675" t="s">
        <v>45</v>
      </c>
      <c r="C675" s="121" t="s">
        <v>174</v>
      </c>
      <c r="D675" t="s">
        <v>196</v>
      </c>
      <c r="E675" t="s">
        <v>61</v>
      </c>
      <c r="F675">
        <v>3</v>
      </c>
      <c r="G675">
        <v>86</v>
      </c>
      <c r="H675" s="86">
        <v>45964.7352663079</v>
      </c>
      <c r="I675" s="86">
        <v>45964.807455080998</v>
      </c>
      <c r="J675" s="87">
        <v>1.7325305555555599</v>
      </c>
      <c r="K675" s="69" t="s">
        <v>274</v>
      </c>
      <c r="L675" s="69"/>
      <c r="M675" s="71"/>
      <c r="N675" s="71"/>
      <c r="O675" s="71"/>
      <c r="P675" s="71" t="s">
        <v>275</v>
      </c>
      <c r="Q675" s="88">
        <v>6.3374515054751297E-3</v>
      </c>
      <c r="R675" s="89" t="s">
        <v>276</v>
      </c>
      <c r="S675" s="89"/>
      <c r="T675">
        <v>9.8000000000000007</v>
      </c>
      <c r="U675" s="76">
        <v>0.2</v>
      </c>
      <c r="V675">
        <v>9.6</v>
      </c>
      <c r="W675" s="90">
        <v>0.1</v>
      </c>
      <c r="X675" s="90"/>
      <c r="Y675" s="71"/>
      <c r="Z675" s="71"/>
      <c r="AA675" s="71"/>
      <c r="AB675" s="71"/>
      <c r="AC675" s="71"/>
      <c r="AD675" s="71"/>
      <c r="AE675" s="71"/>
      <c r="AF675" s="71"/>
      <c r="AG675" s="82">
        <v>0.1</v>
      </c>
      <c r="AH675" s="76"/>
      <c r="AI675" s="76"/>
      <c r="AJ675" s="76"/>
      <c r="AK675" s="71">
        <v>0.15</v>
      </c>
      <c r="AL675" s="88">
        <v>3.4375863625514903E-2</v>
      </c>
      <c r="AM675" s="89">
        <f t="shared" si="10"/>
        <v>0.22917242417009936</v>
      </c>
      <c r="AN675" s="78"/>
    </row>
    <row r="676" spans="1:40" x14ac:dyDescent="0.25">
      <c r="A676" t="s">
        <v>44</v>
      </c>
      <c r="B676" t="s">
        <v>45</v>
      </c>
      <c r="C676" s="121" t="s">
        <v>174</v>
      </c>
      <c r="D676" t="s">
        <v>196</v>
      </c>
      <c r="E676" t="s">
        <v>61</v>
      </c>
      <c r="F676">
        <v>3</v>
      </c>
      <c r="G676">
        <v>87</v>
      </c>
      <c r="H676" s="86">
        <v>45964.807455080998</v>
      </c>
      <c r="I676" s="86">
        <v>45964.8796320486</v>
      </c>
      <c r="J676" s="87">
        <v>1.7322472222222201</v>
      </c>
      <c r="K676" s="69" t="s">
        <v>274</v>
      </c>
      <c r="L676" s="69"/>
      <c r="M676" s="71"/>
      <c r="N676" s="71"/>
      <c r="O676" s="71"/>
      <c r="P676" s="71" t="s">
        <v>275</v>
      </c>
      <c r="Q676" s="88">
        <v>6.3486621693409004E-3</v>
      </c>
      <c r="R676" s="89" t="s">
        <v>276</v>
      </c>
      <c r="S676" s="89"/>
      <c r="T676">
        <v>10.4</v>
      </c>
      <c r="U676" s="76">
        <v>0.2</v>
      </c>
      <c r="V676">
        <v>9.6999999999999993</v>
      </c>
      <c r="W676" s="90">
        <v>0.1</v>
      </c>
      <c r="X676" s="90"/>
      <c r="Y676" s="71"/>
      <c r="Z676" s="71"/>
      <c r="AA676" s="71"/>
      <c r="AB676" s="71"/>
      <c r="AC676" s="71"/>
      <c r="AD676" s="71"/>
      <c r="AE676" s="71"/>
      <c r="AF676" s="71"/>
      <c r="AG676" s="82">
        <v>0.2</v>
      </c>
      <c r="AH676" s="76"/>
      <c r="AI676" s="76"/>
      <c r="AJ676" s="76"/>
      <c r="AK676" s="71">
        <v>0.15</v>
      </c>
      <c r="AL676" s="88">
        <v>3.4375863625514903E-2</v>
      </c>
      <c r="AM676" s="89">
        <f t="shared" si="10"/>
        <v>0.22917242417009936</v>
      </c>
      <c r="AN676" s="78"/>
    </row>
    <row r="677" spans="1:40" x14ac:dyDescent="0.25">
      <c r="A677" t="s">
        <v>44</v>
      </c>
      <c r="B677" t="s">
        <v>45</v>
      </c>
      <c r="C677" s="121" t="s">
        <v>174</v>
      </c>
      <c r="D677" t="s">
        <v>196</v>
      </c>
      <c r="E677" t="s">
        <v>61</v>
      </c>
      <c r="F677">
        <v>3</v>
      </c>
      <c r="G677">
        <v>88</v>
      </c>
      <c r="H677" s="86">
        <v>45964.8796320486</v>
      </c>
      <c r="I677" s="86">
        <v>45964.951816400499</v>
      </c>
      <c r="J677" s="87">
        <v>1.7324244444444501</v>
      </c>
      <c r="K677" s="69" t="s">
        <v>274</v>
      </c>
      <c r="L677" s="69"/>
      <c r="M677" s="71"/>
      <c r="N677" s="71"/>
      <c r="O677" s="71"/>
      <c r="P677" s="71" t="s">
        <v>275</v>
      </c>
      <c r="Q677" s="88">
        <v>7.74112043288678E-3</v>
      </c>
      <c r="R677" s="89" t="s">
        <v>276</v>
      </c>
      <c r="S677" s="89"/>
      <c r="T677">
        <v>11.4</v>
      </c>
      <c r="U677" s="76">
        <v>0.2</v>
      </c>
      <c r="V677">
        <v>9.6999999999999993</v>
      </c>
      <c r="W677" s="90">
        <v>0.1</v>
      </c>
      <c r="X677" s="90"/>
      <c r="Y677" s="71"/>
      <c r="Z677" s="71"/>
      <c r="AA677" s="71"/>
      <c r="AB677" s="71"/>
      <c r="AC677" s="71"/>
      <c r="AD677" s="71"/>
      <c r="AE677" s="71"/>
      <c r="AF677" s="71"/>
      <c r="AG677" s="82">
        <v>0.2</v>
      </c>
      <c r="AH677" s="76"/>
      <c r="AI677" s="76"/>
      <c r="AJ677" s="76"/>
      <c r="AK677" s="71">
        <v>0.15</v>
      </c>
      <c r="AL677" s="88">
        <v>3.4375863625514903E-2</v>
      </c>
      <c r="AM677" s="89">
        <f t="shared" si="10"/>
        <v>0.22917242417009936</v>
      </c>
      <c r="AN677" s="78"/>
    </row>
    <row r="678" spans="1:40" x14ac:dyDescent="0.25">
      <c r="A678" t="s">
        <v>44</v>
      </c>
      <c r="B678" t="s">
        <v>45</v>
      </c>
      <c r="C678" s="121" t="s">
        <v>174</v>
      </c>
      <c r="D678" t="s">
        <v>196</v>
      </c>
      <c r="E678" t="s">
        <v>61</v>
      </c>
      <c r="F678">
        <v>3</v>
      </c>
      <c r="G678">
        <v>89</v>
      </c>
      <c r="H678" s="86">
        <v>45964.951816400499</v>
      </c>
      <c r="I678" s="86">
        <v>45965.024007696797</v>
      </c>
      <c r="J678" s="87">
        <v>1.7325911111111101</v>
      </c>
      <c r="K678" s="69" t="s">
        <v>274</v>
      </c>
      <c r="L678" s="69"/>
      <c r="M678" s="71"/>
      <c r="N678" s="71"/>
      <c r="O678" s="71"/>
      <c r="P678" s="71" t="s">
        <v>275</v>
      </c>
      <c r="Q678" s="88">
        <v>1.2486287875693201E-2</v>
      </c>
      <c r="R678" s="89" t="s">
        <v>276</v>
      </c>
      <c r="S678" s="89"/>
      <c r="T678">
        <v>12.3</v>
      </c>
      <c r="U678" s="76">
        <v>0.2</v>
      </c>
      <c r="V678">
        <v>9.8000000000000007</v>
      </c>
      <c r="W678" s="90">
        <v>0.1</v>
      </c>
      <c r="X678" s="90"/>
      <c r="Y678" s="71"/>
      <c r="Z678" s="71"/>
      <c r="AA678" s="71"/>
      <c r="AB678" s="71"/>
      <c r="AC678" s="71"/>
      <c r="AD678" s="71"/>
      <c r="AE678" s="71"/>
      <c r="AF678" s="71"/>
      <c r="AG678" s="82">
        <v>0.2</v>
      </c>
      <c r="AH678" s="76"/>
      <c r="AI678" s="76"/>
      <c r="AJ678" s="76"/>
      <c r="AK678" s="71">
        <v>0.15</v>
      </c>
      <c r="AL678" s="88">
        <v>3.4375863625514903E-2</v>
      </c>
      <c r="AM678" s="89">
        <f t="shared" si="10"/>
        <v>0.22917242417009936</v>
      </c>
      <c r="AN678" s="78"/>
    </row>
    <row r="679" spans="1:40" x14ac:dyDescent="0.25">
      <c r="A679" t="s">
        <v>44</v>
      </c>
      <c r="B679" t="s">
        <v>45</v>
      </c>
      <c r="C679" s="121" t="s">
        <v>174</v>
      </c>
      <c r="D679" t="s">
        <v>196</v>
      </c>
      <c r="E679" t="s">
        <v>61</v>
      </c>
      <c r="F679">
        <v>3</v>
      </c>
      <c r="G679">
        <v>90</v>
      </c>
      <c r="H679" s="86">
        <v>45965.024007696797</v>
      </c>
      <c r="I679" s="86">
        <v>45965.096203090303</v>
      </c>
      <c r="J679" s="87">
        <v>1.7326894444444401</v>
      </c>
      <c r="K679" s="69" t="s">
        <v>274</v>
      </c>
      <c r="L679" s="69"/>
      <c r="M679" s="71"/>
      <c r="N679" s="71"/>
      <c r="O679" s="71"/>
      <c r="P679" s="71" t="s">
        <v>275</v>
      </c>
      <c r="Q679" s="88">
        <v>1.6797394381516499E-2</v>
      </c>
      <c r="R679" s="89" t="s">
        <v>276</v>
      </c>
      <c r="S679" s="89"/>
      <c r="T679">
        <v>12.5</v>
      </c>
      <c r="U679" s="76">
        <v>0.2</v>
      </c>
      <c r="V679">
        <v>10</v>
      </c>
      <c r="W679" s="90">
        <v>0.1</v>
      </c>
      <c r="X679" s="90"/>
      <c r="Y679" s="71"/>
      <c r="Z679" s="71"/>
      <c r="AA679" s="71"/>
      <c r="AB679" s="71"/>
      <c r="AC679" s="71"/>
      <c r="AD679" s="71"/>
      <c r="AE679" s="71"/>
      <c r="AF679" s="71"/>
      <c r="AG679" s="82">
        <v>0.1</v>
      </c>
      <c r="AH679" s="76"/>
      <c r="AI679" s="76"/>
      <c r="AJ679" s="76"/>
      <c r="AK679" s="71">
        <v>0.15</v>
      </c>
      <c r="AL679" s="88">
        <v>3.4375863625514903E-2</v>
      </c>
      <c r="AM679" s="89">
        <f t="shared" si="10"/>
        <v>0.22917242417009936</v>
      </c>
      <c r="AN679" s="78"/>
    </row>
    <row r="680" spans="1:40" x14ac:dyDescent="0.25">
      <c r="A680" t="s">
        <v>44</v>
      </c>
      <c r="B680" t="s">
        <v>45</v>
      </c>
      <c r="C680" s="121" t="s">
        <v>174</v>
      </c>
      <c r="D680" t="s">
        <v>196</v>
      </c>
      <c r="E680" t="s">
        <v>61</v>
      </c>
      <c r="F680">
        <v>3</v>
      </c>
      <c r="G680">
        <v>91</v>
      </c>
      <c r="H680" s="86">
        <v>45965.096203090303</v>
      </c>
      <c r="I680" s="86">
        <v>45965.168373726898</v>
      </c>
      <c r="J680" s="87">
        <v>1.7320952777777801</v>
      </c>
      <c r="K680" s="69" t="s">
        <v>274</v>
      </c>
      <c r="L680" s="69"/>
      <c r="M680" s="71"/>
      <c r="N680" s="71"/>
      <c r="O680" s="71"/>
      <c r="P680" s="71" t="s">
        <v>275</v>
      </c>
      <c r="Q680" s="88">
        <v>2.9529709350308599E-2</v>
      </c>
      <c r="R680" s="89" t="s">
        <v>276</v>
      </c>
      <c r="S680" s="89"/>
      <c r="T680">
        <v>12.6</v>
      </c>
      <c r="U680" s="76">
        <v>0.2</v>
      </c>
      <c r="V680">
        <v>10</v>
      </c>
      <c r="W680" s="90">
        <v>0.1</v>
      </c>
      <c r="X680" s="90"/>
      <c r="Y680" s="71"/>
      <c r="Z680" s="71"/>
      <c r="AA680" s="71"/>
      <c r="AB680" s="71"/>
      <c r="AC680" s="71"/>
      <c r="AD680" s="71"/>
      <c r="AE680" s="71"/>
      <c r="AF680" s="71"/>
      <c r="AG680" s="82">
        <v>0</v>
      </c>
      <c r="AH680" s="76"/>
      <c r="AI680" s="76"/>
      <c r="AJ680" s="76"/>
      <c r="AK680" s="71">
        <v>0.15</v>
      </c>
      <c r="AL680" s="88">
        <v>3.4375863625514903E-2</v>
      </c>
      <c r="AM680" s="89">
        <f t="shared" si="10"/>
        <v>0.22917242417009936</v>
      </c>
      <c r="AN680" s="78"/>
    </row>
    <row r="681" spans="1:40" x14ac:dyDescent="0.25">
      <c r="A681" t="s">
        <v>44</v>
      </c>
      <c r="B681" t="s">
        <v>45</v>
      </c>
      <c r="C681" s="121" t="s">
        <v>174</v>
      </c>
      <c r="D681" t="s">
        <v>196</v>
      </c>
      <c r="E681" t="s">
        <v>61</v>
      </c>
      <c r="F681">
        <v>3</v>
      </c>
      <c r="G681">
        <v>92</v>
      </c>
      <c r="H681" s="86">
        <v>45965.168373726898</v>
      </c>
      <c r="I681" s="86">
        <v>45965.240562361098</v>
      </c>
      <c r="J681" s="87">
        <v>1.7325272222222201</v>
      </c>
      <c r="K681" s="69" t="s">
        <v>274</v>
      </c>
      <c r="L681" s="69"/>
      <c r="M681" s="71"/>
      <c r="N681" s="71"/>
      <c r="O681" s="71"/>
      <c r="P681" s="71" t="s">
        <v>275</v>
      </c>
      <c r="Q681" s="88">
        <v>2.74690786158036E-2</v>
      </c>
      <c r="R681" s="89" t="s">
        <v>276</v>
      </c>
      <c r="S681" s="89"/>
      <c r="T681">
        <v>12.6</v>
      </c>
      <c r="U681" s="76">
        <v>0.2</v>
      </c>
      <c r="V681">
        <v>10.199999999999999</v>
      </c>
      <c r="W681" s="90">
        <v>0.1</v>
      </c>
      <c r="X681" s="90"/>
      <c r="Y681" s="71"/>
      <c r="Z681" s="71"/>
      <c r="AA681" s="71"/>
      <c r="AB681" s="71"/>
      <c r="AC681" s="71"/>
      <c r="AD681" s="71"/>
      <c r="AE681" s="71"/>
      <c r="AF681" s="71"/>
      <c r="AG681" s="82">
        <v>0.2</v>
      </c>
      <c r="AH681" s="76"/>
      <c r="AI681" s="76"/>
      <c r="AJ681" s="76"/>
      <c r="AK681" s="71">
        <v>0.15</v>
      </c>
      <c r="AL681" s="88">
        <v>3.4375863625514903E-2</v>
      </c>
      <c r="AM681" s="89">
        <f t="shared" si="10"/>
        <v>0.22917242417009936</v>
      </c>
      <c r="AN681" s="78"/>
    </row>
    <row r="682" spans="1:40" x14ac:dyDescent="0.25">
      <c r="A682" t="s">
        <v>44</v>
      </c>
      <c r="B682" t="s">
        <v>45</v>
      </c>
      <c r="C682" s="121" t="s">
        <v>174</v>
      </c>
      <c r="D682" t="s">
        <v>196</v>
      </c>
      <c r="E682" t="s">
        <v>61</v>
      </c>
      <c r="F682">
        <v>3</v>
      </c>
      <c r="G682">
        <v>93</v>
      </c>
      <c r="H682" s="86">
        <v>45965.240562361098</v>
      </c>
      <c r="I682" s="86">
        <v>45965.312734097199</v>
      </c>
      <c r="J682" s="87">
        <v>1.7321216666666699</v>
      </c>
      <c r="K682" s="69" t="s">
        <v>274</v>
      </c>
      <c r="L682" s="69"/>
      <c r="M682" s="71"/>
      <c r="N682" s="71"/>
      <c r="O682" s="71"/>
      <c r="P682" s="71" t="s">
        <v>275</v>
      </c>
      <c r="Q682" s="88">
        <v>2.58797034094835E-2</v>
      </c>
      <c r="R682" s="89" t="s">
        <v>276</v>
      </c>
      <c r="S682" s="89"/>
      <c r="T682">
        <v>12.5</v>
      </c>
      <c r="U682" s="76">
        <v>0.2</v>
      </c>
      <c r="V682">
        <v>10.3</v>
      </c>
      <c r="W682" s="90">
        <v>0.1</v>
      </c>
      <c r="X682" s="90"/>
      <c r="Y682" s="71"/>
      <c r="Z682" s="71"/>
      <c r="AA682" s="71"/>
      <c r="AB682" s="71"/>
      <c r="AC682" s="71"/>
      <c r="AD682" s="71"/>
      <c r="AE682" s="71"/>
      <c r="AF682" s="71"/>
      <c r="AG682" s="82">
        <v>0.4</v>
      </c>
      <c r="AH682" s="76"/>
      <c r="AI682" s="76"/>
      <c r="AJ682" s="76"/>
      <c r="AK682" s="71">
        <v>0.15</v>
      </c>
      <c r="AL682" s="88">
        <v>3.4375863625514903E-2</v>
      </c>
      <c r="AM682" s="89">
        <f t="shared" si="10"/>
        <v>0.22917242417009936</v>
      </c>
      <c r="AN682" s="78"/>
    </row>
    <row r="683" spans="1:40" x14ac:dyDescent="0.25">
      <c r="A683" t="s">
        <v>44</v>
      </c>
      <c r="B683" t="s">
        <v>45</v>
      </c>
      <c r="C683" s="121" t="s">
        <v>174</v>
      </c>
      <c r="D683" t="s">
        <v>196</v>
      </c>
      <c r="E683" t="s">
        <v>61</v>
      </c>
      <c r="F683">
        <v>3</v>
      </c>
      <c r="G683">
        <v>94</v>
      </c>
      <c r="H683" s="86">
        <v>45965.312734097199</v>
      </c>
      <c r="I683" s="86">
        <v>45965.384944189798</v>
      </c>
      <c r="J683" s="87">
        <v>1.7330422222222199</v>
      </c>
      <c r="K683" s="69" t="s">
        <v>274</v>
      </c>
      <c r="L683" s="69"/>
      <c r="M683" s="71"/>
      <c r="N683" s="71"/>
      <c r="O683" s="71"/>
      <c r="P683" s="71" t="s">
        <v>275</v>
      </c>
      <c r="Q683" s="88">
        <v>2.9388505656159799E-2</v>
      </c>
      <c r="R683" s="89" t="s">
        <v>276</v>
      </c>
      <c r="S683" s="89"/>
      <c r="T683">
        <v>12.4</v>
      </c>
      <c r="U683" s="76">
        <v>0.2</v>
      </c>
      <c r="V683">
        <v>10.4</v>
      </c>
      <c r="W683" s="90">
        <v>0.1</v>
      </c>
      <c r="X683" s="90"/>
      <c r="Y683" s="71"/>
      <c r="Z683" s="71"/>
      <c r="AA683" s="71"/>
      <c r="AB683" s="71"/>
      <c r="AC683" s="71"/>
      <c r="AD683" s="71"/>
      <c r="AE683" s="71"/>
      <c r="AF683" s="71"/>
      <c r="AG683" s="82">
        <v>0</v>
      </c>
      <c r="AH683" s="76"/>
      <c r="AI683" s="76"/>
      <c r="AJ683" s="76"/>
      <c r="AK683" s="71">
        <v>0.15</v>
      </c>
      <c r="AL683" s="88">
        <v>3.4375863625514903E-2</v>
      </c>
      <c r="AM683" s="89">
        <f t="shared" si="10"/>
        <v>0.22917242417009936</v>
      </c>
      <c r="AN683" s="78"/>
    </row>
    <row r="684" spans="1:40" x14ac:dyDescent="0.25">
      <c r="A684" t="s">
        <v>44</v>
      </c>
      <c r="B684" t="s">
        <v>45</v>
      </c>
      <c r="C684" s="121" t="s">
        <v>174</v>
      </c>
      <c r="D684" t="s">
        <v>196</v>
      </c>
      <c r="E684" t="s">
        <v>61</v>
      </c>
      <c r="F684">
        <v>3</v>
      </c>
      <c r="G684">
        <v>95</v>
      </c>
      <c r="H684" s="86">
        <v>45965.384944189798</v>
      </c>
      <c r="I684" s="86">
        <v>45965.457151863397</v>
      </c>
      <c r="J684" s="87">
        <v>1.7329841666666701</v>
      </c>
      <c r="K684" s="69" t="s">
        <v>274</v>
      </c>
      <c r="L684" s="69"/>
      <c r="M684" s="71"/>
      <c r="N684" s="71"/>
      <c r="O684" s="71"/>
      <c r="P684" s="71" t="s">
        <v>275</v>
      </c>
      <c r="Q684" s="88">
        <v>2.8768169244850001E-2</v>
      </c>
      <c r="R684" s="89" t="s">
        <v>276</v>
      </c>
      <c r="S684" s="89"/>
      <c r="T684">
        <v>12.6</v>
      </c>
      <c r="U684" s="76">
        <v>0.2</v>
      </c>
      <c r="V684">
        <v>10.5</v>
      </c>
      <c r="W684" s="90">
        <v>0.1</v>
      </c>
      <c r="X684" s="90"/>
      <c r="Y684" s="71"/>
      <c r="Z684" s="71"/>
      <c r="AA684" s="71"/>
      <c r="AB684" s="71"/>
      <c r="AC684" s="71"/>
      <c r="AD684" s="71"/>
      <c r="AE684" s="71"/>
      <c r="AF684" s="71"/>
      <c r="AG684" s="82">
        <v>0.1</v>
      </c>
      <c r="AH684" s="76"/>
      <c r="AI684" s="76"/>
      <c r="AJ684" s="76"/>
      <c r="AK684" s="71">
        <v>0.15</v>
      </c>
      <c r="AL684" s="88">
        <v>3.4375863625514903E-2</v>
      </c>
      <c r="AM684" s="89">
        <f t="shared" si="10"/>
        <v>0.22917242417009936</v>
      </c>
      <c r="AN684" s="78"/>
    </row>
    <row r="685" spans="1:40" x14ac:dyDescent="0.25">
      <c r="A685" t="s">
        <v>44</v>
      </c>
      <c r="B685" t="s">
        <v>45</v>
      </c>
      <c r="C685" s="121" t="s">
        <v>174</v>
      </c>
      <c r="D685" t="s">
        <v>196</v>
      </c>
      <c r="E685" t="s">
        <v>61</v>
      </c>
      <c r="F685">
        <v>3</v>
      </c>
      <c r="G685">
        <v>96</v>
      </c>
      <c r="H685" s="86">
        <v>45965.457151863397</v>
      </c>
      <c r="I685" s="86">
        <v>45965.529334664403</v>
      </c>
      <c r="J685" s="87">
        <v>1.7323872222222201</v>
      </c>
      <c r="K685" s="69" t="s">
        <v>274</v>
      </c>
      <c r="L685" s="69"/>
      <c r="M685" s="71"/>
      <c r="N685" s="71"/>
      <c r="O685" s="71"/>
      <c r="P685" s="71" t="s">
        <v>275</v>
      </c>
      <c r="Q685" s="88">
        <v>3.3132013152057702E-2</v>
      </c>
      <c r="R685" s="89" t="s">
        <v>276</v>
      </c>
      <c r="S685" s="89"/>
      <c r="T685">
        <v>12.8</v>
      </c>
      <c r="U685" s="76">
        <v>0.2</v>
      </c>
      <c r="V685">
        <v>10.6</v>
      </c>
      <c r="W685" s="90">
        <v>0.1</v>
      </c>
      <c r="X685" s="90"/>
      <c r="Y685" s="71"/>
      <c r="Z685" s="71"/>
      <c r="AA685" s="71"/>
      <c r="AB685" s="71"/>
      <c r="AC685" s="71"/>
      <c r="AD685" s="71"/>
      <c r="AE685" s="71"/>
      <c r="AF685" s="71"/>
      <c r="AG685" s="82">
        <v>0.2</v>
      </c>
      <c r="AH685" s="76"/>
      <c r="AI685" s="76"/>
      <c r="AJ685" s="76"/>
      <c r="AK685" s="71">
        <v>0.15</v>
      </c>
      <c r="AL685" s="88">
        <v>3.4375863625514903E-2</v>
      </c>
      <c r="AM685" s="89">
        <f t="shared" si="10"/>
        <v>0.22917242417009936</v>
      </c>
      <c r="AN685" s="78"/>
    </row>
    <row r="686" spans="1:40" x14ac:dyDescent="0.25">
      <c r="A686" t="s">
        <v>44</v>
      </c>
      <c r="B686" t="s">
        <v>45</v>
      </c>
      <c r="C686" s="121" t="s">
        <v>174</v>
      </c>
      <c r="D686" t="s">
        <v>190</v>
      </c>
      <c r="E686" t="s">
        <v>57</v>
      </c>
      <c r="F686">
        <v>3</v>
      </c>
      <c r="G686">
        <v>1</v>
      </c>
      <c r="H686" s="86">
        <v>45958.497033101899</v>
      </c>
      <c r="I686" s="86">
        <v>45958.563654016201</v>
      </c>
      <c r="J686" s="87">
        <v>1.5989019444444399</v>
      </c>
      <c r="K686" s="69" t="s">
        <v>274</v>
      </c>
      <c r="L686" s="69"/>
      <c r="M686" s="71"/>
      <c r="N686" s="71"/>
      <c r="O686" s="71"/>
      <c r="P686" s="71" t="s">
        <v>275</v>
      </c>
      <c r="Q686" s="88" t="s">
        <v>277</v>
      </c>
      <c r="R686" s="89" t="s">
        <v>276</v>
      </c>
      <c r="S686" s="89"/>
      <c r="T686">
        <v>8.1999999999999993</v>
      </c>
      <c r="U686" s="76">
        <v>0.2</v>
      </c>
      <c r="V686">
        <v>9.4</v>
      </c>
      <c r="W686" s="90">
        <v>0.1</v>
      </c>
      <c r="X686" s="90"/>
      <c r="Y686" s="71"/>
      <c r="Z686" s="71"/>
      <c r="AA686" s="71"/>
      <c r="AB686" s="71"/>
      <c r="AC686" s="71"/>
      <c r="AD686" s="71"/>
      <c r="AE686" s="71"/>
      <c r="AF686" s="71"/>
      <c r="AG686" s="82">
        <v>0</v>
      </c>
      <c r="AH686" s="76"/>
      <c r="AI686" s="76"/>
      <c r="AJ686" s="76"/>
      <c r="AK686" s="71">
        <v>0.15</v>
      </c>
      <c r="AL686" s="88">
        <v>3.4139420030223099E-2</v>
      </c>
      <c r="AM686" s="89">
        <f t="shared" si="10"/>
        <v>0.22759613353482067</v>
      </c>
      <c r="AN686" s="78"/>
    </row>
    <row r="687" spans="1:40" x14ac:dyDescent="0.25">
      <c r="A687" t="s">
        <v>44</v>
      </c>
      <c r="B687" t="s">
        <v>45</v>
      </c>
      <c r="C687" s="121" t="s">
        <v>174</v>
      </c>
      <c r="D687" t="s">
        <v>190</v>
      </c>
      <c r="E687" t="s">
        <v>57</v>
      </c>
      <c r="F687">
        <v>3</v>
      </c>
      <c r="G687">
        <v>2</v>
      </c>
      <c r="H687" s="86">
        <v>45958.563654016201</v>
      </c>
      <c r="I687" s="86">
        <v>45958.657605</v>
      </c>
      <c r="J687" s="87">
        <v>2.2548236111111102</v>
      </c>
      <c r="K687" s="69" t="s">
        <v>274</v>
      </c>
      <c r="L687" s="69"/>
      <c r="M687" s="71"/>
      <c r="N687" s="71"/>
      <c r="O687" s="71"/>
      <c r="P687" s="71" t="s">
        <v>275</v>
      </c>
      <c r="Q687" s="88" t="s">
        <v>277</v>
      </c>
      <c r="R687" s="89" t="s">
        <v>276</v>
      </c>
      <c r="S687" s="89"/>
      <c r="T687">
        <v>7.8</v>
      </c>
      <c r="U687" s="76">
        <v>0.2</v>
      </c>
      <c r="V687">
        <v>9.5</v>
      </c>
      <c r="W687" s="90">
        <v>0.1</v>
      </c>
      <c r="X687" s="90"/>
      <c r="Y687" s="71"/>
      <c r="Z687" s="71"/>
      <c r="AA687" s="71"/>
      <c r="AB687" s="71"/>
      <c r="AC687" s="71"/>
      <c r="AD687" s="71"/>
      <c r="AE687" s="71"/>
      <c r="AF687" s="71"/>
      <c r="AG687" s="82">
        <v>0.1</v>
      </c>
      <c r="AH687" s="76"/>
      <c r="AI687" s="76"/>
      <c r="AJ687" s="76"/>
      <c r="AK687" s="71">
        <v>0.15</v>
      </c>
      <c r="AL687" s="88">
        <v>3.4139420030223099E-2</v>
      </c>
      <c r="AM687" s="89">
        <f t="shared" si="10"/>
        <v>0.22759613353482067</v>
      </c>
      <c r="AN687" s="78"/>
    </row>
    <row r="688" spans="1:40" x14ac:dyDescent="0.25">
      <c r="A688" t="s">
        <v>44</v>
      </c>
      <c r="B688" t="s">
        <v>45</v>
      </c>
      <c r="C688" s="121" t="s">
        <v>174</v>
      </c>
      <c r="D688" t="s">
        <v>190</v>
      </c>
      <c r="E688" t="s">
        <v>57</v>
      </c>
      <c r="F688">
        <v>3</v>
      </c>
      <c r="G688">
        <v>3</v>
      </c>
      <c r="H688" s="86">
        <v>45958.657605</v>
      </c>
      <c r="I688" s="86">
        <v>45958.755063622702</v>
      </c>
      <c r="J688" s="87">
        <v>2.3390069444444399</v>
      </c>
      <c r="K688" s="69" t="s">
        <v>274</v>
      </c>
      <c r="L688" s="69"/>
      <c r="M688" s="71"/>
      <c r="N688" s="71"/>
      <c r="O688" s="71"/>
      <c r="P688" s="71" t="s">
        <v>275</v>
      </c>
      <c r="Q688" s="88" t="s">
        <v>277</v>
      </c>
      <c r="R688" s="89" t="s">
        <v>276</v>
      </c>
      <c r="S688" s="89"/>
      <c r="T688">
        <v>6.8</v>
      </c>
      <c r="U688" s="76">
        <v>0.2</v>
      </c>
      <c r="V688">
        <v>9.6</v>
      </c>
      <c r="W688" s="90">
        <v>0.1</v>
      </c>
      <c r="X688" s="90"/>
      <c r="Y688" s="71"/>
      <c r="Z688" s="71"/>
      <c r="AA688" s="71"/>
      <c r="AB688" s="71"/>
      <c r="AC688" s="71"/>
      <c r="AD688" s="71"/>
      <c r="AE688" s="71"/>
      <c r="AF688" s="71"/>
      <c r="AG688" s="82">
        <v>0</v>
      </c>
      <c r="AH688" s="76"/>
      <c r="AI688" s="76"/>
      <c r="AJ688" s="76"/>
      <c r="AK688" s="71">
        <v>0.15</v>
      </c>
      <c r="AL688" s="88">
        <v>3.4139420030223099E-2</v>
      </c>
      <c r="AM688" s="89">
        <f t="shared" si="10"/>
        <v>0.22759613353482067</v>
      </c>
      <c r="AN688" s="78"/>
    </row>
    <row r="689" spans="1:40" x14ac:dyDescent="0.25">
      <c r="A689" t="s">
        <v>44</v>
      </c>
      <c r="B689" t="s">
        <v>45</v>
      </c>
      <c r="C689" s="121" t="s">
        <v>174</v>
      </c>
      <c r="D689" t="s">
        <v>190</v>
      </c>
      <c r="E689" t="s">
        <v>57</v>
      </c>
      <c r="F689">
        <v>3</v>
      </c>
      <c r="G689">
        <v>4</v>
      </c>
      <c r="H689" s="86">
        <v>45958.755063622702</v>
      </c>
      <c r="I689" s="86">
        <v>45958.827241851897</v>
      </c>
      <c r="J689" s="87">
        <v>1.7322774999999999</v>
      </c>
      <c r="K689" s="69" t="s">
        <v>274</v>
      </c>
      <c r="L689" s="69"/>
      <c r="M689" s="71"/>
      <c r="N689" s="71"/>
      <c r="O689" s="71"/>
      <c r="P689" s="71" t="s">
        <v>275</v>
      </c>
      <c r="Q689" s="88">
        <v>-5.3188421254993599E-3</v>
      </c>
      <c r="R689" s="89" t="s">
        <v>276</v>
      </c>
      <c r="S689" s="89"/>
      <c r="T689">
        <v>6</v>
      </c>
      <c r="U689" s="76">
        <v>0.2</v>
      </c>
      <c r="V689">
        <v>9.6999999999999993</v>
      </c>
      <c r="W689" s="90">
        <v>0.1</v>
      </c>
      <c r="X689" s="90"/>
      <c r="Y689" s="71"/>
      <c r="Z689" s="71"/>
      <c r="AA689" s="71"/>
      <c r="AB689" s="71"/>
      <c r="AC689" s="71"/>
      <c r="AD689" s="71"/>
      <c r="AE689" s="71"/>
      <c r="AF689" s="71"/>
      <c r="AG689" s="82">
        <v>0</v>
      </c>
      <c r="AH689" s="76"/>
      <c r="AI689" s="76"/>
      <c r="AJ689" s="76"/>
      <c r="AK689" s="71">
        <v>0.15</v>
      </c>
      <c r="AL689" s="88">
        <v>3.4139420030223099E-2</v>
      </c>
      <c r="AM689" s="89">
        <f t="shared" si="10"/>
        <v>0.22759613353482067</v>
      </c>
      <c r="AN689" s="78"/>
    </row>
    <row r="690" spans="1:40" x14ac:dyDescent="0.25">
      <c r="A690" t="s">
        <v>44</v>
      </c>
      <c r="B690" t="s">
        <v>45</v>
      </c>
      <c r="C690" s="121" t="s">
        <v>174</v>
      </c>
      <c r="D690" t="s">
        <v>190</v>
      </c>
      <c r="E690" t="s">
        <v>57</v>
      </c>
      <c r="F690">
        <v>3</v>
      </c>
      <c r="G690">
        <v>5</v>
      </c>
      <c r="H690" s="86">
        <v>45958.827241851897</v>
      </c>
      <c r="I690" s="86">
        <v>45958.899425069401</v>
      </c>
      <c r="J690" s="87">
        <v>1.7323972222222199</v>
      </c>
      <c r="K690" s="69" t="s">
        <v>274</v>
      </c>
      <c r="L690" s="69"/>
      <c r="M690" s="71"/>
      <c r="N690" s="71"/>
      <c r="O690" s="71"/>
      <c r="P690" s="71" t="s">
        <v>275</v>
      </c>
      <c r="Q690" s="88">
        <v>-3.9410042387205899E-3</v>
      </c>
      <c r="R690" s="89" t="s">
        <v>276</v>
      </c>
      <c r="S690" s="89"/>
      <c r="T690">
        <v>6.7</v>
      </c>
      <c r="U690" s="76">
        <v>0.2</v>
      </c>
      <c r="V690">
        <v>9.6</v>
      </c>
      <c r="W690" s="90">
        <v>0.1</v>
      </c>
      <c r="X690" s="90"/>
      <c r="Y690" s="71"/>
      <c r="Z690" s="71"/>
      <c r="AA690" s="71"/>
      <c r="AB690" s="71"/>
      <c r="AC690" s="71"/>
      <c r="AD690" s="71"/>
      <c r="AE690" s="71"/>
      <c r="AF690" s="71"/>
      <c r="AG690" s="82">
        <v>0</v>
      </c>
      <c r="AH690" s="76"/>
      <c r="AI690" s="76"/>
      <c r="AJ690" s="76"/>
      <c r="AK690" s="71">
        <v>0.15</v>
      </c>
      <c r="AL690" s="88">
        <v>3.4139420030223099E-2</v>
      </c>
      <c r="AM690" s="89">
        <f t="shared" si="10"/>
        <v>0.22759613353482067</v>
      </c>
      <c r="AN690" s="78"/>
    </row>
    <row r="691" spans="1:40" x14ac:dyDescent="0.25">
      <c r="A691" t="s">
        <v>44</v>
      </c>
      <c r="B691" t="s">
        <v>45</v>
      </c>
      <c r="C691" s="121" t="s">
        <v>174</v>
      </c>
      <c r="D691" t="s">
        <v>190</v>
      </c>
      <c r="E691" t="s">
        <v>57</v>
      </c>
      <c r="F691">
        <v>3</v>
      </c>
      <c r="G691">
        <v>6</v>
      </c>
      <c r="H691" s="86">
        <v>45958.899425069401</v>
      </c>
      <c r="I691" s="86">
        <v>45958.971623402802</v>
      </c>
      <c r="J691" s="87">
        <v>1.7327600000000001</v>
      </c>
      <c r="K691" s="69" t="s">
        <v>274</v>
      </c>
      <c r="L691" s="69"/>
      <c r="M691" s="71"/>
      <c r="N691" s="71"/>
      <c r="O691" s="71"/>
      <c r="P691" s="71" t="s">
        <v>275</v>
      </c>
      <c r="Q691" s="88">
        <v>-3.8870578333811598E-3</v>
      </c>
      <c r="R691" s="89" t="s">
        <v>276</v>
      </c>
      <c r="S691" s="89"/>
      <c r="T691">
        <v>6.5</v>
      </c>
      <c r="U691" s="76">
        <v>0.2</v>
      </c>
      <c r="V691">
        <v>9.6</v>
      </c>
      <c r="W691" s="90">
        <v>0.1</v>
      </c>
      <c r="X691" s="90"/>
      <c r="Y691" s="71"/>
      <c r="Z691" s="71"/>
      <c r="AA691" s="71"/>
      <c r="AB691" s="71"/>
      <c r="AC691" s="71"/>
      <c r="AD691" s="71"/>
      <c r="AE691" s="71"/>
      <c r="AF691" s="71"/>
      <c r="AG691" s="82">
        <v>0</v>
      </c>
      <c r="AH691" s="76"/>
      <c r="AI691" s="76"/>
      <c r="AJ691" s="76"/>
      <c r="AK691" s="71">
        <v>0.15</v>
      </c>
      <c r="AL691" s="88">
        <v>3.4139420030223099E-2</v>
      </c>
      <c r="AM691" s="89">
        <f t="shared" si="10"/>
        <v>0.22759613353482067</v>
      </c>
      <c r="AN691" s="78"/>
    </row>
    <row r="692" spans="1:40" x14ac:dyDescent="0.25">
      <c r="A692" t="s">
        <v>44</v>
      </c>
      <c r="B692" t="s">
        <v>45</v>
      </c>
      <c r="C692" s="121" t="s">
        <v>174</v>
      </c>
      <c r="D692" t="s">
        <v>190</v>
      </c>
      <c r="E692" t="s">
        <v>57</v>
      </c>
      <c r="F692">
        <v>3</v>
      </c>
      <c r="G692">
        <v>7</v>
      </c>
      <c r="H692" s="86">
        <v>45958.971623402802</v>
      </c>
      <c r="I692" s="86">
        <v>45959.043804131899</v>
      </c>
      <c r="J692" s="87">
        <v>1.7323375000000001</v>
      </c>
      <c r="K692" s="69" t="s">
        <v>274</v>
      </c>
      <c r="L692" s="69"/>
      <c r="M692" s="71"/>
      <c r="N692" s="71"/>
      <c r="O692" s="71"/>
      <c r="P692" s="71" t="s">
        <v>275</v>
      </c>
      <c r="Q692" s="88">
        <v>-1.2535038910404001E-3</v>
      </c>
      <c r="R692" s="89" t="s">
        <v>276</v>
      </c>
      <c r="S692" s="89"/>
      <c r="T692">
        <v>6.7</v>
      </c>
      <c r="U692" s="76">
        <v>0.2</v>
      </c>
      <c r="V692">
        <v>9.6</v>
      </c>
      <c r="W692" s="90">
        <v>0.1</v>
      </c>
      <c r="X692" s="90"/>
      <c r="Y692" s="71"/>
      <c r="Z692" s="71"/>
      <c r="AA692" s="71"/>
      <c r="AB692" s="71"/>
      <c r="AC692" s="71"/>
      <c r="AD692" s="71"/>
      <c r="AE692" s="71"/>
      <c r="AF692" s="71"/>
      <c r="AG692" s="82">
        <v>0</v>
      </c>
      <c r="AH692" s="76"/>
      <c r="AI692" s="76"/>
      <c r="AJ692" s="76"/>
      <c r="AK692" s="71">
        <v>0.15</v>
      </c>
      <c r="AL692" s="88">
        <v>3.4139420030223099E-2</v>
      </c>
      <c r="AM692" s="89">
        <f t="shared" si="10"/>
        <v>0.22759613353482067</v>
      </c>
      <c r="AN692" s="78"/>
    </row>
    <row r="693" spans="1:40" x14ac:dyDescent="0.25">
      <c r="A693" t="s">
        <v>44</v>
      </c>
      <c r="B693" t="s">
        <v>45</v>
      </c>
      <c r="C693" s="121" t="s">
        <v>174</v>
      </c>
      <c r="D693" t="s">
        <v>190</v>
      </c>
      <c r="E693" t="s">
        <v>57</v>
      </c>
      <c r="F693">
        <v>3</v>
      </c>
      <c r="G693">
        <v>8</v>
      </c>
      <c r="H693" s="86">
        <v>45959.043804131899</v>
      </c>
      <c r="I693" s="86">
        <v>45959.115980474497</v>
      </c>
      <c r="J693" s="87">
        <v>1.73223222222222</v>
      </c>
      <c r="K693" s="69" t="s">
        <v>274</v>
      </c>
      <c r="L693" s="69"/>
      <c r="M693" s="71"/>
      <c r="N693" s="71"/>
      <c r="O693" s="71"/>
      <c r="P693" s="71" t="s">
        <v>275</v>
      </c>
      <c r="Q693" s="88">
        <v>-1.59632927687294E-4</v>
      </c>
      <c r="R693" s="89" t="s">
        <v>276</v>
      </c>
      <c r="S693" s="89"/>
      <c r="T693">
        <v>6.2</v>
      </c>
      <c r="U693" s="76">
        <v>0.2</v>
      </c>
      <c r="V693">
        <v>9.5</v>
      </c>
      <c r="W693" s="90">
        <v>0.1</v>
      </c>
      <c r="X693" s="90"/>
      <c r="Y693" s="71"/>
      <c r="Z693" s="71"/>
      <c r="AA693" s="71"/>
      <c r="AB693" s="71"/>
      <c r="AC693" s="71"/>
      <c r="AD693" s="71"/>
      <c r="AE693" s="71"/>
      <c r="AF693" s="71"/>
      <c r="AG693" s="82">
        <v>0</v>
      </c>
      <c r="AH693" s="76"/>
      <c r="AI693" s="76"/>
      <c r="AJ693" s="76"/>
      <c r="AK693" s="71">
        <v>0.15</v>
      </c>
      <c r="AL693" s="88">
        <v>3.4139420030223099E-2</v>
      </c>
      <c r="AM693" s="89">
        <f t="shared" si="10"/>
        <v>0.22759613353482067</v>
      </c>
      <c r="AN693" s="78"/>
    </row>
    <row r="694" spans="1:40" x14ac:dyDescent="0.25">
      <c r="A694" t="s">
        <v>44</v>
      </c>
      <c r="B694" t="s">
        <v>45</v>
      </c>
      <c r="C694" s="121" t="s">
        <v>174</v>
      </c>
      <c r="D694" t="s">
        <v>190</v>
      </c>
      <c r="E694" t="s">
        <v>57</v>
      </c>
      <c r="F694">
        <v>3</v>
      </c>
      <c r="G694">
        <v>9</v>
      </c>
      <c r="H694" s="86">
        <v>45959.115980474497</v>
      </c>
      <c r="I694" s="86">
        <v>45959.188159097197</v>
      </c>
      <c r="J694" s="87">
        <v>1.73228694444444</v>
      </c>
      <c r="K694" s="69" t="s">
        <v>274</v>
      </c>
      <c r="L694" s="69"/>
      <c r="M694" s="71"/>
      <c r="N694" s="71"/>
      <c r="O694" s="71"/>
      <c r="P694" s="71" t="s">
        <v>275</v>
      </c>
      <c r="Q694" s="88">
        <v>1.2462031369357099E-4</v>
      </c>
      <c r="R694" s="89" t="s">
        <v>276</v>
      </c>
      <c r="S694" s="89"/>
      <c r="T694">
        <v>6.3</v>
      </c>
      <c r="U694" s="76">
        <v>0.2</v>
      </c>
      <c r="V694">
        <v>9.5</v>
      </c>
      <c r="W694" s="90">
        <v>0.1</v>
      </c>
      <c r="X694" s="90"/>
      <c r="Y694" s="71"/>
      <c r="Z694" s="71"/>
      <c r="AA694" s="71"/>
      <c r="AB694" s="71"/>
      <c r="AC694" s="71"/>
      <c r="AD694" s="71"/>
      <c r="AE694" s="71"/>
      <c r="AF694" s="71"/>
      <c r="AG694" s="82">
        <v>0</v>
      </c>
      <c r="AH694" s="76"/>
      <c r="AI694" s="76"/>
      <c r="AJ694" s="76"/>
      <c r="AK694" s="71">
        <v>0.15</v>
      </c>
      <c r="AL694" s="88">
        <v>3.4139420030223099E-2</v>
      </c>
      <c r="AM694" s="89">
        <f t="shared" si="10"/>
        <v>0.22759613353482067</v>
      </c>
      <c r="AN694" s="78"/>
    </row>
    <row r="695" spans="1:40" x14ac:dyDescent="0.25">
      <c r="A695" t="s">
        <v>44</v>
      </c>
      <c r="B695" t="s">
        <v>45</v>
      </c>
      <c r="C695" s="121" t="s">
        <v>174</v>
      </c>
      <c r="D695" t="s">
        <v>190</v>
      </c>
      <c r="E695" t="s">
        <v>57</v>
      </c>
      <c r="F695">
        <v>3</v>
      </c>
      <c r="G695">
        <v>10</v>
      </c>
      <c r="H695" s="86">
        <v>45959.188159097197</v>
      </c>
      <c r="I695" s="86">
        <v>45959.260347094903</v>
      </c>
      <c r="J695" s="87">
        <v>1.7325119444444399</v>
      </c>
      <c r="K695" s="69" t="s">
        <v>274</v>
      </c>
      <c r="L695" s="69"/>
      <c r="M695" s="71"/>
      <c r="N695" s="71"/>
      <c r="O695" s="71"/>
      <c r="P695" s="71" t="s">
        <v>275</v>
      </c>
      <c r="Q695" s="88">
        <v>1.81785364997455E-3</v>
      </c>
      <c r="R695" s="89" t="s">
        <v>276</v>
      </c>
      <c r="S695" s="89"/>
      <c r="T695">
        <v>5.8</v>
      </c>
      <c r="U695" s="76">
        <v>0.2</v>
      </c>
      <c r="V695">
        <v>9.4</v>
      </c>
      <c r="W695" s="90">
        <v>0.1</v>
      </c>
      <c r="X695" s="90"/>
      <c r="Y695" s="71"/>
      <c r="Z695" s="71"/>
      <c r="AA695" s="71"/>
      <c r="AB695" s="71"/>
      <c r="AC695" s="71"/>
      <c r="AD695" s="71"/>
      <c r="AE695" s="71"/>
      <c r="AF695" s="71"/>
      <c r="AG695" s="82">
        <v>0</v>
      </c>
      <c r="AH695" s="76"/>
      <c r="AI695" s="76"/>
      <c r="AJ695" s="76"/>
      <c r="AK695" s="71">
        <v>0.15</v>
      </c>
      <c r="AL695" s="88">
        <v>3.4139420030223099E-2</v>
      </c>
      <c r="AM695" s="89">
        <f t="shared" si="10"/>
        <v>0.22759613353482067</v>
      </c>
      <c r="AN695" s="78"/>
    </row>
    <row r="696" spans="1:40" x14ac:dyDescent="0.25">
      <c r="A696" t="s">
        <v>44</v>
      </c>
      <c r="B696" t="s">
        <v>45</v>
      </c>
      <c r="C696" s="121" t="s">
        <v>174</v>
      </c>
      <c r="D696" t="s">
        <v>190</v>
      </c>
      <c r="E696" t="s">
        <v>57</v>
      </c>
      <c r="F696">
        <v>3</v>
      </c>
      <c r="G696">
        <v>11</v>
      </c>
      <c r="H696" s="86">
        <v>45959.260347094903</v>
      </c>
      <c r="I696" s="86">
        <v>45959.332537800903</v>
      </c>
      <c r="J696" s="87">
        <v>1.7325769444444501</v>
      </c>
      <c r="K696" s="69" t="s">
        <v>274</v>
      </c>
      <c r="L696" s="69"/>
      <c r="M696" s="71"/>
      <c r="N696" s="71"/>
      <c r="O696" s="71"/>
      <c r="P696" s="71" t="s">
        <v>275</v>
      </c>
      <c r="Q696" s="88">
        <v>1.71797791658346E-3</v>
      </c>
      <c r="R696" s="89" t="s">
        <v>276</v>
      </c>
      <c r="S696" s="89"/>
      <c r="T696">
        <v>7.2</v>
      </c>
      <c r="U696" s="76">
        <v>0.2</v>
      </c>
      <c r="V696">
        <v>9.4</v>
      </c>
      <c r="W696" s="90">
        <v>0.1</v>
      </c>
      <c r="X696" s="90"/>
      <c r="Y696" s="71"/>
      <c r="Z696" s="71"/>
      <c r="AA696" s="71"/>
      <c r="AB696" s="71"/>
      <c r="AC696" s="71"/>
      <c r="AD696" s="71"/>
      <c r="AE696" s="71"/>
      <c r="AF696" s="71"/>
      <c r="AG696" s="82">
        <v>0</v>
      </c>
      <c r="AH696" s="76"/>
      <c r="AI696" s="76"/>
      <c r="AJ696" s="76"/>
      <c r="AK696" s="71">
        <v>0.15</v>
      </c>
      <c r="AL696" s="88">
        <v>3.4139420030223099E-2</v>
      </c>
      <c r="AM696" s="89">
        <f t="shared" si="10"/>
        <v>0.22759613353482067</v>
      </c>
      <c r="AN696" s="78"/>
    </row>
    <row r="697" spans="1:40" x14ac:dyDescent="0.25">
      <c r="A697" t="s">
        <v>44</v>
      </c>
      <c r="B697" t="s">
        <v>45</v>
      </c>
      <c r="C697" s="121" t="s">
        <v>174</v>
      </c>
      <c r="D697" t="s">
        <v>190</v>
      </c>
      <c r="E697" t="s">
        <v>57</v>
      </c>
      <c r="F697">
        <v>3</v>
      </c>
      <c r="G697">
        <v>12</v>
      </c>
      <c r="H697" s="86">
        <v>45959.332537800903</v>
      </c>
      <c r="I697" s="86">
        <v>45959.404718530102</v>
      </c>
      <c r="J697" s="87">
        <v>1.7323375000000001</v>
      </c>
      <c r="K697" s="69" t="s">
        <v>274</v>
      </c>
      <c r="L697" s="69"/>
      <c r="M697" s="71"/>
      <c r="N697" s="71"/>
      <c r="O697" s="71"/>
      <c r="P697" s="71" t="s">
        <v>275</v>
      </c>
      <c r="Q697" s="88">
        <v>8.0773102792130805E-3</v>
      </c>
      <c r="R697" s="89" t="s">
        <v>276</v>
      </c>
      <c r="S697" s="89"/>
      <c r="T697">
        <v>8</v>
      </c>
      <c r="U697" s="76">
        <v>0.2</v>
      </c>
      <c r="V697">
        <v>9.4</v>
      </c>
      <c r="W697" s="90">
        <v>0.1</v>
      </c>
      <c r="X697" s="90"/>
      <c r="Y697" s="71"/>
      <c r="Z697" s="71"/>
      <c r="AA697" s="71"/>
      <c r="AB697" s="71"/>
      <c r="AC697" s="71"/>
      <c r="AD697" s="71"/>
      <c r="AE697" s="71"/>
      <c r="AF697" s="71"/>
      <c r="AG697" s="82">
        <v>0</v>
      </c>
      <c r="AH697" s="76"/>
      <c r="AI697" s="76"/>
      <c r="AJ697" s="76"/>
      <c r="AK697" s="71">
        <v>0.15</v>
      </c>
      <c r="AL697" s="88">
        <v>3.4139420030223099E-2</v>
      </c>
      <c r="AM697" s="89">
        <f t="shared" si="10"/>
        <v>0.22759613353482067</v>
      </c>
      <c r="AN697" s="78"/>
    </row>
    <row r="698" spans="1:40" x14ac:dyDescent="0.25">
      <c r="A698" t="s">
        <v>44</v>
      </c>
      <c r="B698" t="s">
        <v>45</v>
      </c>
      <c r="C698" s="121" t="s">
        <v>174</v>
      </c>
      <c r="D698" t="s">
        <v>190</v>
      </c>
      <c r="E698" t="s">
        <v>57</v>
      </c>
      <c r="F698">
        <v>3</v>
      </c>
      <c r="G698">
        <v>13</v>
      </c>
      <c r="H698" s="86">
        <v>45959.404718530102</v>
      </c>
      <c r="I698" s="86">
        <v>45959.476892395804</v>
      </c>
      <c r="J698" s="87">
        <v>1.73217277777778</v>
      </c>
      <c r="K698" s="69" t="s">
        <v>274</v>
      </c>
      <c r="L698" s="69"/>
      <c r="M698" s="71"/>
      <c r="N698" s="71"/>
      <c r="O698" s="71"/>
      <c r="P698" s="71" t="s">
        <v>275</v>
      </c>
      <c r="Q698" s="88">
        <v>1.82260144259828E-2</v>
      </c>
      <c r="R698" s="89" t="s">
        <v>276</v>
      </c>
      <c r="S698" s="89"/>
      <c r="T698">
        <v>9.5</v>
      </c>
      <c r="U698" s="76">
        <v>0.2</v>
      </c>
      <c r="V698">
        <v>9.4</v>
      </c>
      <c r="W698" s="90">
        <v>0.1</v>
      </c>
      <c r="X698" s="90"/>
      <c r="Y698" s="71"/>
      <c r="Z698" s="71"/>
      <c r="AA698" s="71"/>
      <c r="AB698" s="71"/>
      <c r="AC698" s="71"/>
      <c r="AD698" s="71"/>
      <c r="AE698" s="71"/>
      <c r="AF698" s="71"/>
      <c r="AG698" s="82">
        <v>0</v>
      </c>
      <c r="AH698" s="76"/>
      <c r="AI698" s="76"/>
      <c r="AJ698" s="76"/>
      <c r="AK698" s="71">
        <v>0.15</v>
      </c>
      <c r="AL698" s="88">
        <v>3.4139420030223099E-2</v>
      </c>
      <c r="AM698" s="89">
        <f t="shared" si="10"/>
        <v>0.22759613353482067</v>
      </c>
      <c r="AN698" s="78"/>
    </row>
    <row r="699" spans="1:40" x14ac:dyDescent="0.25">
      <c r="A699" t="s">
        <v>44</v>
      </c>
      <c r="B699" t="s">
        <v>45</v>
      </c>
      <c r="C699" s="121" t="s">
        <v>174</v>
      </c>
      <c r="D699" t="s">
        <v>190</v>
      </c>
      <c r="E699" t="s">
        <v>57</v>
      </c>
      <c r="F699">
        <v>3</v>
      </c>
      <c r="G699">
        <v>14</v>
      </c>
      <c r="H699" s="86">
        <v>45959.476892395804</v>
      </c>
      <c r="I699" s="86">
        <v>45959.549083888902</v>
      </c>
      <c r="J699" s="87">
        <v>1.73259583333333</v>
      </c>
      <c r="K699" s="69" t="s">
        <v>274</v>
      </c>
      <c r="L699" s="69"/>
      <c r="M699" s="71"/>
      <c r="N699" s="71"/>
      <c r="O699" s="71"/>
      <c r="P699" s="71" t="s">
        <v>275</v>
      </c>
      <c r="Q699" s="88">
        <v>4.4112103233128301E-2</v>
      </c>
      <c r="R699" s="89" t="s">
        <v>276</v>
      </c>
      <c r="S699" s="89"/>
      <c r="T699">
        <v>10.4</v>
      </c>
      <c r="U699" s="76">
        <v>0.2</v>
      </c>
      <c r="V699">
        <v>9.4</v>
      </c>
      <c r="W699" s="90">
        <v>0.1</v>
      </c>
      <c r="X699" s="90"/>
      <c r="Y699" s="71"/>
      <c r="Z699" s="71"/>
      <c r="AA699" s="71"/>
      <c r="AB699" s="71"/>
      <c r="AC699" s="71"/>
      <c r="AD699" s="71"/>
      <c r="AE699" s="71"/>
      <c r="AF699" s="71"/>
      <c r="AG699" s="82">
        <v>0</v>
      </c>
      <c r="AH699" s="76"/>
      <c r="AI699" s="76"/>
      <c r="AJ699" s="76"/>
      <c r="AK699" s="71">
        <v>0.15</v>
      </c>
      <c r="AL699" s="88">
        <v>3.4139420030223099E-2</v>
      </c>
      <c r="AM699" s="89">
        <f t="shared" si="10"/>
        <v>0.22759613353482067</v>
      </c>
      <c r="AN699" s="78"/>
    </row>
    <row r="700" spans="1:40" x14ac:dyDescent="0.25">
      <c r="A700" t="s">
        <v>44</v>
      </c>
      <c r="B700" t="s">
        <v>45</v>
      </c>
      <c r="C700" s="121" t="s">
        <v>174</v>
      </c>
      <c r="D700" t="s">
        <v>190</v>
      </c>
      <c r="E700" t="s">
        <v>57</v>
      </c>
      <c r="F700">
        <v>3</v>
      </c>
      <c r="G700">
        <v>15</v>
      </c>
      <c r="H700" s="86">
        <v>45959.549083888902</v>
      </c>
      <c r="I700" s="86">
        <v>45959.621274131998</v>
      </c>
      <c r="J700" s="87">
        <v>1.73256583333333</v>
      </c>
      <c r="K700" s="69" t="s">
        <v>274</v>
      </c>
      <c r="L700" s="69"/>
      <c r="M700" s="71"/>
      <c r="N700" s="71"/>
      <c r="O700" s="71"/>
      <c r="P700" s="71" t="s">
        <v>275</v>
      </c>
      <c r="Q700" s="88">
        <v>1.7534539375708501E-2</v>
      </c>
      <c r="R700" s="89" t="s">
        <v>276</v>
      </c>
      <c r="S700" s="89"/>
      <c r="T700">
        <v>9.4</v>
      </c>
      <c r="U700" s="76">
        <v>0.2</v>
      </c>
      <c r="V700">
        <v>9.6</v>
      </c>
      <c r="W700" s="90">
        <v>0.1</v>
      </c>
      <c r="X700" s="90"/>
      <c r="Y700" s="71"/>
      <c r="Z700" s="71"/>
      <c r="AA700" s="71"/>
      <c r="AB700" s="71"/>
      <c r="AC700" s="71"/>
      <c r="AD700" s="71"/>
      <c r="AE700" s="71"/>
      <c r="AF700" s="71"/>
      <c r="AG700" s="82">
        <v>0.2</v>
      </c>
      <c r="AH700" s="76"/>
      <c r="AI700" s="76"/>
      <c r="AJ700" s="76"/>
      <c r="AK700" s="71">
        <v>0.15</v>
      </c>
      <c r="AL700" s="88">
        <v>3.4139420030223099E-2</v>
      </c>
      <c r="AM700" s="89">
        <f t="shared" si="10"/>
        <v>0.22759613353482067</v>
      </c>
      <c r="AN700" s="78"/>
    </row>
    <row r="701" spans="1:40" x14ac:dyDescent="0.25">
      <c r="A701" t="s">
        <v>44</v>
      </c>
      <c r="B701" t="s">
        <v>45</v>
      </c>
      <c r="C701" s="121" t="s">
        <v>174</v>
      </c>
      <c r="D701" t="s">
        <v>190</v>
      </c>
      <c r="E701" t="s">
        <v>57</v>
      </c>
      <c r="F701">
        <v>3</v>
      </c>
      <c r="G701">
        <v>16</v>
      </c>
      <c r="H701" s="86">
        <v>45959.621274131998</v>
      </c>
      <c r="I701" s="86">
        <v>45959.693460833303</v>
      </c>
      <c r="J701" s="87">
        <v>1.7324808333333299</v>
      </c>
      <c r="K701" s="69" t="s">
        <v>274</v>
      </c>
      <c r="L701" s="69"/>
      <c r="M701" s="71"/>
      <c r="N701" s="71"/>
      <c r="O701" s="71"/>
      <c r="P701" s="71" t="s">
        <v>275</v>
      </c>
      <c r="Q701" s="88">
        <v>1.2951999501182501E-2</v>
      </c>
      <c r="R701" s="89" t="s">
        <v>276</v>
      </c>
      <c r="S701" s="89"/>
      <c r="T701">
        <v>9.4</v>
      </c>
      <c r="U701" s="76">
        <v>0.2</v>
      </c>
      <c r="V701">
        <v>9.6999999999999993</v>
      </c>
      <c r="W701" s="90">
        <v>0.1</v>
      </c>
      <c r="X701" s="90"/>
      <c r="Y701" s="71"/>
      <c r="Z701" s="71"/>
      <c r="AA701" s="71"/>
      <c r="AB701" s="71"/>
      <c r="AC701" s="71"/>
      <c r="AD701" s="71"/>
      <c r="AE701" s="71"/>
      <c r="AF701" s="71"/>
      <c r="AG701" s="82">
        <v>0.1</v>
      </c>
      <c r="AH701" s="76"/>
      <c r="AI701" s="76"/>
      <c r="AJ701" s="76"/>
      <c r="AK701" s="71">
        <v>0.15</v>
      </c>
      <c r="AL701" s="88">
        <v>3.4139420030223099E-2</v>
      </c>
      <c r="AM701" s="89">
        <f t="shared" si="10"/>
        <v>0.22759613353482067</v>
      </c>
      <c r="AN701" s="78"/>
    </row>
    <row r="702" spans="1:40" x14ac:dyDescent="0.25">
      <c r="A702" t="s">
        <v>44</v>
      </c>
      <c r="B702" t="s">
        <v>45</v>
      </c>
      <c r="C702" s="121" t="s">
        <v>174</v>
      </c>
      <c r="D702" t="s">
        <v>190</v>
      </c>
      <c r="E702" t="s">
        <v>57</v>
      </c>
      <c r="F702">
        <v>3</v>
      </c>
      <c r="G702">
        <v>17</v>
      </c>
      <c r="H702" s="86">
        <v>45959.693460833303</v>
      </c>
      <c r="I702" s="86">
        <v>45959.765647384302</v>
      </c>
      <c r="J702" s="87">
        <v>1.73247722222222</v>
      </c>
      <c r="K702" s="69" t="s">
        <v>274</v>
      </c>
      <c r="L702" s="69"/>
      <c r="M702" s="71"/>
      <c r="N702" s="71"/>
      <c r="O702" s="71"/>
      <c r="P702" s="71" t="s">
        <v>275</v>
      </c>
      <c r="Q702" s="88">
        <v>6.9598089052295498E-3</v>
      </c>
      <c r="R702" s="89" t="s">
        <v>276</v>
      </c>
      <c r="S702" s="89"/>
      <c r="T702">
        <v>9.3000000000000007</v>
      </c>
      <c r="U702" s="76">
        <v>0.2</v>
      </c>
      <c r="V702">
        <v>9.8000000000000007</v>
      </c>
      <c r="W702" s="90">
        <v>0.1</v>
      </c>
      <c r="X702" s="90"/>
      <c r="Y702" s="71"/>
      <c r="Z702" s="71"/>
      <c r="AA702" s="71"/>
      <c r="AB702" s="71"/>
      <c r="AC702" s="71"/>
      <c r="AD702" s="71"/>
      <c r="AE702" s="71"/>
      <c r="AF702" s="71"/>
      <c r="AG702" s="82">
        <v>0.1</v>
      </c>
      <c r="AH702" s="76"/>
      <c r="AI702" s="76"/>
      <c r="AJ702" s="76"/>
      <c r="AK702" s="71">
        <v>0.15</v>
      </c>
      <c r="AL702" s="88">
        <v>3.4139420030223099E-2</v>
      </c>
      <c r="AM702" s="89">
        <f t="shared" si="10"/>
        <v>0.22759613353482067</v>
      </c>
      <c r="AN702" s="78"/>
    </row>
    <row r="703" spans="1:40" x14ac:dyDescent="0.25">
      <c r="A703" t="s">
        <v>44</v>
      </c>
      <c r="B703" t="s">
        <v>45</v>
      </c>
      <c r="C703" s="121" t="s">
        <v>174</v>
      </c>
      <c r="D703" t="s">
        <v>190</v>
      </c>
      <c r="E703" t="s">
        <v>57</v>
      </c>
      <c r="F703">
        <v>3</v>
      </c>
      <c r="G703">
        <v>18</v>
      </c>
      <c r="H703" s="86">
        <v>45959.765647384302</v>
      </c>
      <c r="I703" s="86">
        <v>45959.837829166703</v>
      </c>
      <c r="J703" s="87">
        <v>1.7323627777777799</v>
      </c>
      <c r="K703" s="69" t="s">
        <v>274</v>
      </c>
      <c r="L703" s="69"/>
      <c r="M703" s="71"/>
      <c r="N703" s="71"/>
      <c r="O703" s="71"/>
      <c r="P703" s="71" t="s">
        <v>275</v>
      </c>
      <c r="Q703" s="88">
        <v>1.02579935862633E-2</v>
      </c>
      <c r="R703" s="89" t="s">
        <v>276</v>
      </c>
      <c r="S703" s="89"/>
      <c r="T703">
        <v>9</v>
      </c>
      <c r="U703" s="76">
        <v>0.2</v>
      </c>
      <c r="V703">
        <v>9.9</v>
      </c>
      <c r="W703" s="90">
        <v>0.1</v>
      </c>
      <c r="X703" s="90"/>
      <c r="Y703" s="71"/>
      <c r="Z703" s="71"/>
      <c r="AA703" s="71"/>
      <c r="AB703" s="71"/>
      <c r="AC703" s="71"/>
      <c r="AD703" s="71"/>
      <c r="AE703" s="71"/>
      <c r="AF703" s="71"/>
      <c r="AG703" s="82">
        <v>0</v>
      </c>
      <c r="AH703" s="76"/>
      <c r="AI703" s="76"/>
      <c r="AJ703" s="76"/>
      <c r="AK703" s="71">
        <v>0.15</v>
      </c>
      <c r="AL703" s="88">
        <v>3.4139420030223099E-2</v>
      </c>
      <c r="AM703" s="89">
        <f t="shared" si="10"/>
        <v>0.22759613353482067</v>
      </c>
      <c r="AN703" s="78"/>
    </row>
    <row r="704" spans="1:40" x14ac:dyDescent="0.25">
      <c r="A704" t="s">
        <v>44</v>
      </c>
      <c r="B704" t="s">
        <v>45</v>
      </c>
      <c r="C704" s="121" t="s">
        <v>174</v>
      </c>
      <c r="D704" t="s">
        <v>190</v>
      </c>
      <c r="E704" t="s">
        <v>57</v>
      </c>
      <c r="F704">
        <v>3</v>
      </c>
      <c r="G704">
        <v>19</v>
      </c>
      <c r="H704" s="86">
        <v>45959.837829166703</v>
      </c>
      <c r="I704" s="86">
        <v>45959.910000705997</v>
      </c>
      <c r="J704" s="87">
        <v>1.73211694444444</v>
      </c>
      <c r="K704" s="69" t="s">
        <v>274</v>
      </c>
      <c r="L704" s="69"/>
      <c r="M704" s="71"/>
      <c r="N704" s="71"/>
      <c r="O704" s="71"/>
      <c r="P704" s="71" t="s">
        <v>275</v>
      </c>
      <c r="Q704" s="88">
        <v>7.3571151698546503E-3</v>
      </c>
      <c r="R704" s="89" t="s">
        <v>276</v>
      </c>
      <c r="S704" s="89"/>
      <c r="T704">
        <v>8.8000000000000007</v>
      </c>
      <c r="U704" s="76">
        <v>0.2</v>
      </c>
      <c r="V704">
        <v>9.9</v>
      </c>
      <c r="W704" s="90">
        <v>0.1</v>
      </c>
      <c r="X704" s="90"/>
      <c r="Y704" s="71"/>
      <c r="Z704" s="71"/>
      <c r="AA704" s="71"/>
      <c r="AB704" s="71"/>
      <c r="AC704" s="71"/>
      <c r="AD704" s="71"/>
      <c r="AE704" s="71"/>
      <c r="AF704" s="71"/>
      <c r="AG704" s="82">
        <v>0.1</v>
      </c>
      <c r="AH704" s="76"/>
      <c r="AI704" s="76"/>
      <c r="AJ704" s="76"/>
      <c r="AK704" s="71">
        <v>0.15</v>
      </c>
      <c r="AL704" s="88">
        <v>3.4139420030223099E-2</v>
      </c>
      <c r="AM704" s="89">
        <f t="shared" si="10"/>
        <v>0.22759613353482067</v>
      </c>
      <c r="AN704" s="78"/>
    </row>
    <row r="705" spans="1:40" x14ac:dyDescent="0.25">
      <c r="A705" t="s">
        <v>44</v>
      </c>
      <c r="B705" t="s">
        <v>45</v>
      </c>
      <c r="C705" s="121" t="s">
        <v>174</v>
      </c>
      <c r="D705" t="s">
        <v>190</v>
      </c>
      <c r="E705" t="s">
        <v>57</v>
      </c>
      <c r="F705">
        <v>3</v>
      </c>
      <c r="G705">
        <v>20</v>
      </c>
      <c r="H705" s="86">
        <v>45959.910000705997</v>
      </c>
      <c r="I705" s="86">
        <v>45959.982189536997</v>
      </c>
      <c r="J705" s="87">
        <v>1.73253194444444</v>
      </c>
      <c r="K705" s="69" t="s">
        <v>274</v>
      </c>
      <c r="L705" s="69"/>
      <c r="M705" s="71"/>
      <c r="N705" s="71"/>
      <c r="O705" s="71"/>
      <c r="P705" s="71" t="s">
        <v>275</v>
      </c>
      <c r="Q705" s="88">
        <v>7.6012362681803997E-3</v>
      </c>
      <c r="R705" s="89" t="s">
        <v>276</v>
      </c>
      <c r="S705" s="89"/>
      <c r="T705">
        <v>8.9</v>
      </c>
      <c r="U705" s="76">
        <v>0.2</v>
      </c>
      <c r="V705">
        <v>9.9</v>
      </c>
      <c r="W705" s="90">
        <v>0.1</v>
      </c>
      <c r="X705" s="90"/>
      <c r="Y705" s="71"/>
      <c r="Z705" s="71"/>
      <c r="AA705" s="71"/>
      <c r="AB705" s="71"/>
      <c r="AC705" s="71"/>
      <c r="AD705" s="71"/>
      <c r="AE705" s="71"/>
      <c r="AF705" s="71"/>
      <c r="AG705" s="82">
        <v>0.4</v>
      </c>
      <c r="AH705" s="76"/>
      <c r="AI705" s="76"/>
      <c r="AJ705" s="76"/>
      <c r="AK705" s="71">
        <v>0.15</v>
      </c>
      <c r="AL705" s="88">
        <v>3.4139420030223099E-2</v>
      </c>
      <c r="AM705" s="89">
        <f t="shared" si="10"/>
        <v>0.22759613353482067</v>
      </c>
      <c r="AN705" s="78"/>
    </row>
    <row r="706" spans="1:40" x14ac:dyDescent="0.25">
      <c r="A706" t="s">
        <v>44</v>
      </c>
      <c r="B706" t="s">
        <v>45</v>
      </c>
      <c r="C706" s="121" t="s">
        <v>174</v>
      </c>
      <c r="D706" t="s">
        <v>190</v>
      </c>
      <c r="E706" t="s">
        <v>57</v>
      </c>
      <c r="F706">
        <v>3</v>
      </c>
      <c r="G706">
        <v>21</v>
      </c>
      <c r="H706" s="86">
        <v>45959.982189536997</v>
      </c>
      <c r="I706" s="86">
        <v>45960.054390532401</v>
      </c>
      <c r="J706" s="87">
        <v>1.7328238888888901</v>
      </c>
      <c r="K706" s="69" t="s">
        <v>274</v>
      </c>
      <c r="L706" s="69"/>
      <c r="M706" s="71"/>
      <c r="N706" s="71"/>
      <c r="O706" s="71"/>
      <c r="P706" s="71" t="s">
        <v>275</v>
      </c>
      <c r="Q706" s="88">
        <v>7.5252656701988102E-3</v>
      </c>
      <c r="R706" s="89" t="s">
        <v>276</v>
      </c>
      <c r="S706" s="89"/>
      <c r="T706">
        <v>8.6999999999999993</v>
      </c>
      <c r="U706" s="76">
        <v>0.2</v>
      </c>
      <c r="V706">
        <v>9.9</v>
      </c>
      <c r="W706" s="90">
        <v>0.1</v>
      </c>
      <c r="X706" s="90"/>
      <c r="Y706" s="71"/>
      <c r="Z706" s="71"/>
      <c r="AA706" s="71"/>
      <c r="AB706" s="71"/>
      <c r="AC706" s="71"/>
      <c r="AD706" s="71"/>
      <c r="AE706" s="71"/>
      <c r="AF706" s="71"/>
      <c r="AG706" s="82">
        <v>2.6</v>
      </c>
      <c r="AH706" s="76"/>
      <c r="AI706" s="76"/>
      <c r="AJ706" s="76"/>
      <c r="AK706" s="71">
        <v>0.15</v>
      </c>
      <c r="AL706" s="88">
        <v>3.4139420030223099E-2</v>
      </c>
      <c r="AM706" s="89">
        <f t="shared" si="10"/>
        <v>0.22759613353482067</v>
      </c>
      <c r="AN706" s="78"/>
    </row>
    <row r="707" spans="1:40" x14ac:dyDescent="0.25">
      <c r="A707" t="s">
        <v>44</v>
      </c>
      <c r="B707" t="s">
        <v>45</v>
      </c>
      <c r="C707" s="121" t="s">
        <v>174</v>
      </c>
      <c r="D707" t="s">
        <v>190</v>
      </c>
      <c r="E707" t="s">
        <v>57</v>
      </c>
      <c r="F707">
        <v>3</v>
      </c>
      <c r="G707">
        <v>22</v>
      </c>
      <c r="H707" s="86">
        <v>45960.054390532401</v>
      </c>
      <c r="I707" s="86">
        <v>45960.126569386601</v>
      </c>
      <c r="J707" s="87">
        <v>1.7322925</v>
      </c>
      <c r="K707" s="69" t="s">
        <v>274</v>
      </c>
      <c r="L707" s="69"/>
      <c r="M707" s="71"/>
      <c r="N707" s="71"/>
      <c r="O707" s="71"/>
      <c r="P707" s="71" t="s">
        <v>275</v>
      </c>
      <c r="Q707" s="88">
        <v>7.49759158573742E-3</v>
      </c>
      <c r="R707" s="89" t="s">
        <v>276</v>
      </c>
      <c r="S707" s="89"/>
      <c r="T707">
        <v>8.6999999999999993</v>
      </c>
      <c r="U707" s="76">
        <v>0.2</v>
      </c>
      <c r="V707">
        <v>9.9</v>
      </c>
      <c r="W707" s="90">
        <v>0.1</v>
      </c>
      <c r="X707" s="90"/>
      <c r="Y707" s="71"/>
      <c r="Z707" s="71"/>
      <c r="AA707" s="71"/>
      <c r="AB707" s="71"/>
      <c r="AC707" s="71"/>
      <c r="AD707" s="71"/>
      <c r="AE707" s="71"/>
      <c r="AF707" s="71"/>
      <c r="AG707" s="82">
        <v>1.7</v>
      </c>
      <c r="AH707" s="76"/>
      <c r="AI707" s="76"/>
      <c r="AJ707" s="76"/>
      <c r="AK707" s="71">
        <v>0.15</v>
      </c>
      <c r="AL707" s="88">
        <v>3.4139420030223099E-2</v>
      </c>
      <c r="AM707" s="89">
        <f t="shared" si="10"/>
        <v>0.22759613353482067</v>
      </c>
      <c r="AN707" s="78"/>
    </row>
    <row r="708" spans="1:40" x14ac:dyDescent="0.25">
      <c r="A708" t="s">
        <v>44</v>
      </c>
      <c r="B708" t="s">
        <v>45</v>
      </c>
      <c r="C708" s="121" t="s">
        <v>174</v>
      </c>
      <c r="D708" t="s">
        <v>190</v>
      </c>
      <c r="E708" t="s">
        <v>57</v>
      </c>
      <c r="F708">
        <v>3</v>
      </c>
      <c r="G708">
        <v>23</v>
      </c>
      <c r="H708" s="86">
        <v>45960.126569386601</v>
      </c>
      <c r="I708" s="86">
        <v>45960.198758784703</v>
      </c>
      <c r="J708" s="87">
        <v>1.73254555555556</v>
      </c>
      <c r="K708" s="69" t="s">
        <v>274</v>
      </c>
      <c r="L708" s="69"/>
      <c r="M708" s="71"/>
      <c r="N708" s="71"/>
      <c r="O708" s="71"/>
      <c r="P708" s="71" t="s">
        <v>275</v>
      </c>
      <c r="Q708" s="88">
        <v>8.1158511287945795E-3</v>
      </c>
      <c r="R708" s="89" t="s">
        <v>276</v>
      </c>
      <c r="S708" s="89"/>
      <c r="T708">
        <v>8.6999999999999993</v>
      </c>
      <c r="U708" s="76">
        <v>0.2</v>
      </c>
      <c r="V708">
        <v>9.8000000000000007</v>
      </c>
      <c r="W708" s="90">
        <v>0.1</v>
      </c>
      <c r="X708" s="90"/>
      <c r="Y708" s="71"/>
      <c r="Z708" s="71"/>
      <c r="AA708" s="71"/>
      <c r="AB708" s="71"/>
      <c r="AC708" s="71"/>
      <c r="AD708" s="71"/>
      <c r="AE708" s="71"/>
      <c r="AF708" s="71"/>
      <c r="AG708" s="82">
        <v>2.1</v>
      </c>
      <c r="AH708" s="76"/>
      <c r="AI708" s="76"/>
      <c r="AJ708" s="76"/>
      <c r="AK708" s="71">
        <v>0.15</v>
      </c>
      <c r="AL708" s="88">
        <v>3.4139420030223099E-2</v>
      </c>
      <c r="AM708" s="89">
        <f t="shared" si="10"/>
        <v>0.22759613353482067</v>
      </c>
      <c r="AN708" s="78"/>
    </row>
    <row r="709" spans="1:40" x14ac:dyDescent="0.25">
      <c r="A709" t="s">
        <v>44</v>
      </c>
      <c r="B709" t="s">
        <v>45</v>
      </c>
      <c r="C709" s="121" t="s">
        <v>174</v>
      </c>
      <c r="D709" t="s">
        <v>190</v>
      </c>
      <c r="E709" t="s">
        <v>57</v>
      </c>
      <c r="F709">
        <v>3</v>
      </c>
      <c r="G709">
        <v>24</v>
      </c>
      <c r="H709" s="86">
        <v>45960.198758784703</v>
      </c>
      <c r="I709" s="86">
        <v>45960.270935868102</v>
      </c>
      <c r="J709" s="87">
        <v>1.7322500000000001</v>
      </c>
      <c r="K709" s="69" t="s">
        <v>274</v>
      </c>
      <c r="L709" s="69"/>
      <c r="M709" s="71"/>
      <c r="N709" s="71"/>
      <c r="O709" s="71"/>
      <c r="P709" s="71" t="s">
        <v>275</v>
      </c>
      <c r="Q709" s="88">
        <v>9.6386822544372499E-3</v>
      </c>
      <c r="R709" s="89" t="s">
        <v>276</v>
      </c>
      <c r="S709" s="89"/>
      <c r="T709">
        <v>8.5</v>
      </c>
      <c r="U709" s="76">
        <v>0.2</v>
      </c>
      <c r="V709">
        <v>9.8000000000000007</v>
      </c>
      <c r="W709" s="90">
        <v>0.1</v>
      </c>
      <c r="X709" s="90"/>
      <c r="Y709" s="71"/>
      <c r="Z709" s="71"/>
      <c r="AA709" s="71"/>
      <c r="AB709" s="71"/>
      <c r="AC709" s="71"/>
      <c r="AD709" s="71"/>
      <c r="AE709" s="71"/>
      <c r="AF709" s="71"/>
      <c r="AG709" s="82">
        <v>1.5</v>
      </c>
      <c r="AH709" s="76"/>
      <c r="AI709" s="76"/>
      <c r="AJ709" s="76"/>
      <c r="AK709" s="71">
        <v>0.15</v>
      </c>
      <c r="AL709" s="88">
        <v>3.4139420030223099E-2</v>
      </c>
      <c r="AM709" s="89">
        <f t="shared" ref="AM709:AM772" si="11">AL709/AK709</f>
        <v>0.22759613353482067</v>
      </c>
      <c r="AN709" s="78"/>
    </row>
    <row r="710" spans="1:40" x14ac:dyDescent="0.25">
      <c r="A710" t="s">
        <v>44</v>
      </c>
      <c r="B710" t="s">
        <v>45</v>
      </c>
      <c r="C710" s="121" t="s">
        <v>174</v>
      </c>
      <c r="D710" t="s">
        <v>190</v>
      </c>
      <c r="E710" t="s">
        <v>57</v>
      </c>
      <c r="F710">
        <v>3</v>
      </c>
      <c r="G710">
        <v>25</v>
      </c>
      <c r="H710" s="86">
        <v>45960.270935868102</v>
      </c>
      <c r="I710" s="86">
        <v>45960.343119432902</v>
      </c>
      <c r="J710" s="87">
        <v>1.73240555555556</v>
      </c>
      <c r="K710" s="69" t="s">
        <v>274</v>
      </c>
      <c r="L710" s="69"/>
      <c r="M710" s="71"/>
      <c r="N710" s="71"/>
      <c r="O710" s="71"/>
      <c r="P710" s="71" t="s">
        <v>275</v>
      </c>
      <c r="Q710" s="88">
        <v>1.0763441857611199E-2</v>
      </c>
      <c r="R710" s="89" t="s">
        <v>276</v>
      </c>
      <c r="S710" s="89"/>
      <c r="T710">
        <v>8</v>
      </c>
      <c r="U710" s="76">
        <v>0.2</v>
      </c>
      <c r="V710">
        <v>9.8000000000000007</v>
      </c>
      <c r="W710" s="90">
        <v>0.1</v>
      </c>
      <c r="X710" s="90"/>
      <c r="Y710" s="71"/>
      <c r="Z710" s="71"/>
      <c r="AA710" s="71"/>
      <c r="AB710" s="71"/>
      <c r="AC710" s="71"/>
      <c r="AD710" s="71"/>
      <c r="AE710" s="71"/>
      <c r="AF710" s="71"/>
      <c r="AG710" s="82">
        <v>0.1</v>
      </c>
      <c r="AH710" s="76"/>
      <c r="AI710" s="76"/>
      <c r="AJ710" s="76"/>
      <c r="AK710" s="71">
        <v>0.15</v>
      </c>
      <c r="AL710" s="88">
        <v>3.4139420030223099E-2</v>
      </c>
      <c r="AM710" s="89">
        <f t="shared" si="11"/>
        <v>0.22759613353482067</v>
      </c>
      <c r="AN710" s="78"/>
    </row>
    <row r="711" spans="1:40" x14ac:dyDescent="0.25">
      <c r="A711" t="s">
        <v>44</v>
      </c>
      <c r="B711" t="s">
        <v>45</v>
      </c>
      <c r="C711" s="121" t="s">
        <v>174</v>
      </c>
      <c r="D711" t="s">
        <v>190</v>
      </c>
      <c r="E711" t="s">
        <v>57</v>
      </c>
      <c r="F711">
        <v>3</v>
      </c>
      <c r="G711">
        <v>26</v>
      </c>
      <c r="H711" s="86">
        <v>45960.343119432902</v>
      </c>
      <c r="I711" s="86">
        <v>45960.415313101897</v>
      </c>
      <c r="J711" s="87">
        <v>1.7326480555555599</v>
      </c>
      <c r="K711" s="69" t="s">
        <v>274</v>
      </c>
      <c r="L711" s="69"/>
      <c r="M711" s="71"/>
      <c r="N711" s="71"/>
      <c r="O711" s="71"/>
      <c r="P711" s="71" t="s">
        <v>275</v>
      </c>
      <c r="Q711" s="88">
        <v>1.3524376829965301E-2</v>
      </c>
      <c r="R711" s="89" t="s">
        <v>276</v>
      </c>
      <c r="S711" s="89"/>
      <c r="T711">
        <v>8.1</v>
      </c>
      <c r="U711" s="76">
        <v>0.2</v>
      </c>
      <c r="V711">
        <v>9.8000000000000007</v>
      </c>
      <c r="W711" s="90">
        <v>0.1</v>
      </c>
      <c r="X711" s="90"/>
      <c r="Y711" s="71"/>
      <c r="Z711" s="71"/>
      <c r="AA711" s="71"/>
      <c r="AB711" s="71"/>
      <c r="AC711" s="71"/>
      <c r="AD711" s="71"/>
      <c r="AE711" s="71"/>
      <c r="AF711" s="71"/>
      <c r="AG711" s="82">
        <v>0.3</v>
      </c>
      <c r="AH711" s="76"/>
      <c r="AI711" s="76"/>
      <c r="AJ711" s="76"/>
      <c r="AK711" s="71">
        <v>0.15</v>
      </c>
      <c r="AL711" s="88">
        <v>3.4139420030223099E-2</v>
      </c>
      <c r="AM711" s="89">
        <f t="shared" si="11"/>
        <v>0.22759613353482067</v>
      </c>
      <c r="AN711" s="78"/>
    </row>
    <row r="712" spans="1:40" x14ac:dyDescent="0.25">
      <c r="A712" t="s">
        <v>44</v>
      </c>
      <c r="B712" t="s">
        <v>45</v>
      </c>
      <c r="C712" s="121" t="s">
        <v>174</v>
      </c>
      <c r="D712" t="s">
        <v>190</v>
      </c>
      <c r="E712" t="s">
        <v>57</v>
      </c>
      <c r="F712">
        <v>3</v>
      </c>
      <c r="G712">
        <v>27</v>
      </c>
      <c r="H712" s="86">
        <v>45960.415313101897</v>
      </c>
      <c r="I712" s="86">
        <v>45960.487495810201</v>
      </c>
      <c r="J712" s="87">
        <v>1.7323850000000001</v>
      </c>
      <c r="K712" s="69" t="s">
        <v>274</v>
      </c>
      <c r="L712" s="69"/>
      <c r="M712" s="71"/>
      <c r="N712" s="71"/>
      <c r="O712" s="71"/>
      <c r="P712" s="71" t="s">
        <v>275</v>
      </c>
      <c r="Q712" s="88">
        <v>2.5320334873450801E-2</v>
      </c>
      <c r="R712" s="89" t="s">
        <v>276</v>
      </c>
      <c r="S712" s="89"/>
      <c r="T712">
        <v>7.4</v>
      </c>
      <c r="U712" s="76">
        <v>0.2</v>
      </c>
      <c r="V712">
        <v>9.8000000000000007</v>
      </c>
      <c r="W712" s="90">
        <v>0.1</v>
      </c>
      <c r="X712" s="90"/>
      <c r="Y712" s="71"/>
      <c r="Z712" s="71"/>
      <c r="AA712" s="71"/>
      <c r="AB712" s="71"/>
      <c r="AC712" s="71"/>
      <c r="AD712" s="71"/>
      <c r="AE712" s="71"/>
      <c r="AF712" s="71"/>
      <c r="AG712" s="82">
        <v>0.1</v>
      </c>
      <c r="AH712" s="76"/>
      <c r="AI712" s="76"/>
      <c r="AJ712" s="76"/>
      <c r="AK712" s="71">
        <v>0.15</v>
      </c>
      <c r="AL712" s="88">
        <v>3.4139420030223099E-2</v>
      </c>
      <c r="AM712" s="89">
        <f t="shared" si="11"/>
        <v>0.22759613353482067</v>
      </c>
      <c r="AN712" s="78"/>
    </row>
    <row r="713" spans="1:40" x14ac:dyDescent="0.25">
      <c r="A713" t="s">
        <v>44</v>
      </c>
      <c r="B713" t="s">
        <v>45</v>
      </c>
      <c r="C713" s="121" t="s">
        <v>174</v>
      </c>
      <c r="D713" t="s">
        <v>190</v>
      </c>
      <c r="E713" t="s">
        <v>57</v>
      </c>
      <c r="F713">
        <v>3</v>
      </c>
      <c r="G713">
        <v>28</v>
      </c>
      <c r="H713" s="86">
        <v>45960.487495810201</v>
      </c>
      <c r="I713" s="86">
        <v>45960.559685821798</v>
      </c>
      <c r="J713" s="87">
        <v>1.73256027777778</v>
      </c>
      <c r="K713" s="69" t="s">
        <v>274</v>
      </c>
      <c r="L713" s="69"/>
      <c r="M713" s="71"/>
      <c r="N713" s="71"/>
      <c r="O713" s="71"/>
      <c r="P713" s="71" t="s">
        <v>275</v>
      </c>
      <c r="Q713" s="88">
        <v>0.117932108670269</v>
      </c>
      <c r="R713" s="89" t="s">
        <v>276</v>
      </c>
      <c r="S713" s="89"/>
      <c r="T713">
        <v>10.1</v>
      </c>
      <c r="U713" s="76">
        <v>0.2</v>
      </c>
      <c r="V713">
        <v>9.8000000000000007</v>
      </c>
      <c r="W713" s="90">
        <v>0.1</v>
      </c>
      <c r="X713" s="90"/>
      <c r="Y713" s="71"/>
      <c r="Z713" s="71"/>
      <c r="AA713" s="71"/>
      <c r="AB713" s="71"/>
      <c r="AC713" s="71"/>
      <c r="AD713" s="71"/>
      <c r="AE713" s="71"/>
      <c r="AF713" s="71"/>
      <c r="AG713" s="82">
        <v>0</v>
      </c>
      <c r="AH713" s="76"/>
      <c r="AI713" s="76"/>
      <c r="AJ713" s="76"/>
      <c r="AK713" s="71">
        <v>0.15</v>
      </c>
      <c r="AL713" s="88">
        <v>3.4139420030223099E-2</v>
      </c>
      <c r="AM713" s="89">
        <f t="shared" si="11"/>
        <v>0.22759613353482067</v>
      </c>
      <c r="AN713" s="78"/>
    </row>
    <row r="714" spans="1:40" x14ac:dyDescent="0.25">
      <c r="A714" t="s">
        <v>44</v>
      </c>
      <c r="B714" t="s">
        <v>45</v>
      </c>
      <c r="C714" s="121" t="s">
        <v>174</v>
      </c>
      <c r="D714" t="s">
        <v>190</v>
      </c>
      <c r="E714" t="s">
        <v>57</v>
      </c>
      <c r="F714">
        <v>3</v>
      </c>
      <c r="G714">
        <v>29</v>
      </c>
      <c r="H714" s="86">
        <v>45960.559685821798</v>
      </c>
      <c r="I714" s="86">
        <v>45960.631871030098</v>
      </c>
      <c r="J714" s="87">
        <v>1.732445</v>
      </c>
      <c r="K714" s="69" t="s">
        <v>274</v>
      </c>
      <c r="L714" s="69"/>
      <c r="M714" s="71"/>
      <c r="N714" s="71"/>
      <c r="O714" s="71"/>
      <c r="P714" s="71" t="s">
        <v>275</v>
      </c>
      <c r="Q714" s="88">
        <v>8.7729904347540896E-2</v>
      </c>
      <c r="R714" s="89" t="s">
        <v>276</v>
      </c>
      <c r="S714" s="89"/>
      <c r="T714">
        <v>11</v>
      </c>
      <c r="U714" s="76">
        <v>0.2</v>
      </c>
      <c r="V714">
        <v>9.8000000000000007</v>
      </c>
      <c r="W714" s="90">
        <v>0.1</v>
      </c>
      <c r="X714" s="90"/>
      <c r="Y714" s="71"/>
      <c r="Z714" s="71"/>
      <c r="AA714" s="71"/>
      <c r="AB714" s="71"/>
      <c r="AC714" s="71"/>
      <c r="AD714" s="71"/>
      <c r="AE714" s="71"/>
      <c r="AF714" s="71"/>
      <c r="AG714" s="82">
        <v>0</v>
      </c>
      <c r="AH714" s="76"/>
      <c r="AI714" s="76"/>
      <c r="AJ714" s="76"/>
      <c r="AK714" s="71">
        <v>0.15</v>
      </c>
      <c r="AL714" s="88">
        <v>3.4139420030223099E-2</v>
      </c>
      <c r="AM714" s="89">
        <f t="shared" si="11"/>
        <v>0.22759613353482067</v>
      </c>
      <c r="AN714" s="78"/>
    </row>
    <row r="715" spans="1:40" x14ac:dyDescent="0.25">
      <c r="A715" t="s">
        <v>44</v>
      </c>
      <c r="B715" t="s">
        <v>45</v>
      </c>
      <c r="C715" s="121" t="s">
        <v>174</v>
      </c>
      <c r="D715" t="s">
        <v>190</v>
      </c>
      <c r="E715" t="s">
        <v>57</v>
      </c>
      <c r="F715">
        <v>3</v>
      </c>
      <c r="G715">
        <v>30</v>
      </c>
      <c r="H715" s="86">
        <v>45960.631871030098</v>
      </c>
      <c r="I715" s="86">
        <v>45960.704059062497</v>
      </c>
      <c r="J715" s="87">
        <v>1.73251277777778</v>
      </c>
      <c r="K715" s="69" t="s">
        <v>274</v>
      </c>
      <c r="L715" s="69"/>
      <c r="M715" s="71"/>
      <c r="N715" s="71"/>
      <c r="O715" s="71"/>
      <c r="P715" s="71" t="s">
        <v>275</v>
      </c>
      <c r="Q715" s="88">
        <v>2.1071480196193999E-2</v>
      </c>
      <c r="R715" s="89" t="s">
        <v>276</v>
      </c>
      <c r="S715" s="89"/>
      <c r="T715">
        <v>9.1</v>
      </c>
      <c r="U715" s="76">
        <v>0.2</v>
      </c>
      <c r="V715">
        <v>9.9</v>
      </c>
      <c r="W715" s="90">
        <v>0.1</v>
      </c>
      <c r="X715" s="90"/>
      <c r="Y715" s="71"/>
      <c r="Z715" s="71"/>
      <c r="AA715" s="71"/>
      <c r="AB715" s="71"/>
      <c r="AC715" s="71"/>
      <c r="AD715" s="71"/>
      <c r="AE715" s="71"/>
      <c r="AF715" s="71"/>
      <c r="AG715" s="82">
        <v>1.2</v>
      </c>
      <c r="AH715" s="76"/>
      <c r="AI715" s="76"/>
      <c r="AJ715" s="76"/>
      <c r="AK715" s="71">
        <v>0.15</v>
      </c>
      <c r="AL715" s="88">
        <v>3.4139420030223099E-2</v>
      </c>
      <c r="AM715" s="89">
        <f t="shared" si="11"/>
        <v>0.22759613353482067</v>
      </c>
      <c r="AN715" s="78"/>
    </row>
    <row r="716" spans="1:40" x14ac:dyDescent="0.25">
      <c r="A716" t="s">
        <v>44</v>
      </c>
      <c r="B716" t="s">
        <v>45</v>
      </c>
      <c r="C716" s="121" t="s">
        <v>174</v>
      </c>
      <c r="D716" t="s">
        <v>190</v>
      </c>
      <c r="E716" t="s">
        <v>57</v>
      </c>
      <c r="F716">
        <v>3</v>
      </c>
      <c r="G716">
        <v>31</v>
      </c>
      <c r="H716" s="86">
        <v>45960.704059062497</v>
      </c>
      <c r="I716" s="86">
        <v>45960.776238495397</v>
      </c>
      <c r="J716" s="87">
        <v>1.7323063888888901</v>
      </c>
      <c r="K716" s="69" t="s">
        <v>274</v>
      </c>
      <c r="L716" s="69"/>
      <c r="M716" s="71"/>
      <c r="N716" s="71"/>
      <c r="O716" s="71"/>
      <c r="P716" s="71" t="s">
        <v>275</v>
      </c>
      <c r="Q716" s="88">
        <v>4.6998439790608502E-3</v>
      </c>
      <c r="R716" s="89" t="s">
        <v>276</v>
      </c>
      <c r="S716" s="89"/>
      <c r="T716">
        <v>4.4000000000000004</v>
      </c>
      <c r="U716" s="76">
        <v>0.2</v>
      </c>
      <c r="V716">
        <v>10</v>
      </c>
      <c r="W716" s="90">
        <v>0.1</v>
      </c>
      <c r="X716" s="90"/>
      <c r="Y716" s="71"/>
      <c r="Z716" s="71"/>
      <c r="AA716" s="71"/>
      <c r="AB716" s="71"/>
      <c r="AC716" s="71"/>
      <c r="AD716" s="71"/>
      <c r="AE716" s="71"/>
      <c r="AF716" s="71"/>
      <c r="AG716" s="82">
        <v>0</v>
      </c>
      <c r="AH716" s="76"/>
      <c r="AI716" s="76"/>
      <c r="AJ716" s="76"/>
      <c r="AK716" s="71">
        <v>0.15</v>
      </c>
      <c r="AL716" s="88">
        <v>3.4139420030223099E-2</v>
      </c>
      <c r="AM716" s="89">
        <f t="shared" si="11"/>
        <v>0.22759613353482067</v>
      </c>
      <c r="AN716" s="78"/>
    </row>
    <row r="717" spans="1:40" x14ac:dyDescent="0.25">
      <c r="A717" t="s">
        <v>44</v>
      </c>
      <c r="B717" t="s">
        <v>45</v>
      </c>
      <c r="C717" s="121" t="s">
        <v>174</v>
      </c>
      <c r="D717" t="s">
        <v>190</v>
      </c>
      <c r="E717" t="s">
        <v>57</v>
      </c>
      <c r="F717">
        <v>3</v>
      </c>
      <c r="G717">
        <v>32</v>
      </c>
      <c r="H717" s="86">
        <v>45960.776238495397</v>
      </c>
      <c r="I717" s="86">
        <v>45960.848424583302</v>
      </c>
      <c r="J717" s="87">
        <v>1.7324661111111099</v>
      </c>
      <c r="K717" s="69" t="s">
        <v>274</v>
      </c>
      <c r="L717" s="69"/>
      <c r="M717" s="71"/>
      <c r="N717" s="71"/>
      <c r="O717" s="71"/>
      <c r="P717" s="71" t="s">
        <v>275</v>
      </c>
      <c r="Q717" s="88">
        <v>5.1809344787121202E-3</v>
      </c>
      <c r="R717" s="89" t="s">
        <v>276</v>
      </c>
      <c r="S717" s="89"/>
      <c r="T717">
        <v>4.2</v>
      </c>
      <c r="U717" s="76">
        <v>0.2</v>
      </c>
      <c r="V717">
        <v>9.8000000000000007</v>
      </c>
      <c r="W717" s="90">
        <v>0.1</v>
      </c>
      <c r="X717" s="90"/>
      <c r="Y717" s="71"/>
      <c r="Z717" s="71"/>
      <c r="AA717" s="71"/>
      <c r="AB717" s="71"/>
      <c r="AC717" s="71"/>
      <c r="AD717" s="71"/>
      <c r="AE717" s="71"/>
      <c r="AF717" s="71"/>
      <c r="AG717" s="82">
        <v>0</v>
      </c>
      <c r="AH717" s="76"/>
      <c r="AI717" s="76"/>
      <c r="AJ717" s="76"/>
      <c r="AK717" s="71">
        <v>0.15</v>
      </c>
      <c r="AL717" s="88">
        <v>3.4139420030223099E-2</v>
      </c>
      <c r="AM717" s="89">
        <f t="shared" si="11"/>
        <v>0.22759613353482067</v>
      </c>
      <c r="AN717" s="78"/>
    </row>
    <row r="718" spans="1:40" x14ac:dyDescent="0.25">
      <c r="A718" t="s">
        <v>44</v>
      </c>
      <c r="B718" t="s">
        <v>45</v>
      </c>
      <c r="C718" s="121" t="s">
        <v>174</v>
      </c>
      <c r="D718" t="s">
        <v>190</v>
      </c>
      <c r="E718" t="s">
        <v>57</v>
      </c>
      <c r="F718">
        <v>3</v>
      </c>
      <c r="G718">
        <v>33</v>
      </c>
      <c r="H718" s="86">
        <v>45960.848424583302</v>
      </c>
      <c r="I718" s="86">
        <v>45960.920597094897</v>
      </c>
      <c r="J718" s="87">
        <v>1.7321402777777799</v>
      </c>
      <c r="K718" s="69" t="s">
        <v>274</v>
      </c>
      <c r="L718" s="69"/>
      <c r="M718" s="71"/>
      <c r="N718" s="71"/>
      <c r="O718" s="71"/>
      <c r="P718" s="71" t="s">
        <v>275</v>
      </c>
      <c r="Q718" s="88">
        <v>9.56902937374517E-3</v>
      </c>
      <c r="R718" s="89" t="s">
        <v>276</v>
      </c>
      <c r="S718" s="89"/>
      <c r="T718">
        <v>3.1</v>
      </c>
      <c r="U718" s="76">
        <v>0.2</v>
      </c>
      <c r="V718">
        <v>9.6999999999999993</v>
      </c>
      <c r="W718" s="90">
        <v>0.1</v>
      </c>
      <c r="X718" s="90"/>
      <c r="Y718" s="71"/>
      <c r="Z718" s="71"/>
      <c r="AA718" s="71"/>
      <c r="AB718" s="71"/>
      <c r="AC718" s="71"/>
      <c r="AD718" s="71"/>
      <c r="AE718" s="71"/>
      <c r="AF718" s="71"/>
      <c r="AG718" s="82">
        <v>0</v>
      </c>
      <c r="AH718" s="76"/>
      <c r="AI718" s="76"/>
      <c r="AJ718" s="76"/>
      <c r="AK718" s="71">
        <v>0.15</v>
      </c>
      <c r="AL718" s="88">
        <v>3.4139420030223099E-2</v>
      </c>
      <c r="AM718" s="89">
        <f t="shared" si="11"/>
        <v>0.22759613353482067</v>
      </c>
      <c r="AN718" s="78"/>
    </row>
    <row r="719" spans="1:40" x14ac:dyDescent="0.25">
      <c r="A719" t="s">
        <v>44</v>
      </c>
      <c r="B719" t="s">
        <v>45</v>
      </c>
      <c r="C719" s="121" t="s">
        <v>174</v>
      </c>
      <c r="D719" t="s">
        <v>190</v>
      </c>
      <c r="E719" t="s">
        <v>57</v>
      </c>
      <c r="F719">
        <v>3</v>
      </c>
      <c r="G719">
        <v>34</v>
      </c>
      <c r="H719" s="86">
        <v>45960.920597094897</v>
      </c>
      <c r="I719" s="86">
        <v>45960.992788472198</v>
      </c>
      <c r="J719" s="87">
        <v>1.73259305555556</v>
      </c>
      <c r="K719" s="69" t="s">
        <v>274</v>
      </c>
      <c r="L719" s="69"/>
      <c r="M719" s="71"/>
      <c r="N719" s="71"/>
      <c r="O719" s="71"/>
      <c r="P719" s="71" t="s">
        <v>275</v>
      </c>
      <c r="Q719" s="88">
        <v>1.5626689715880999E-2</v>
      </c>
      <c r="R719" s="89" t="s">
        <v>276</v>
      </c>
      <c r="S719" s="89"/>
      <c r="T719">
        <v>3.6</v>
      </c>
      <c r="U719" s="76">
        <v>0.2</v>
      </c>
      <c r="V719">
        <v>9.5</v>
      </c>
      <c r="W719" s="90">
        <v>0.1</v>
      </c>
      <c r="X719" s="90"/>
      <c r="Y719" s="71"/>
      <c r="Z719" s="71"/>
      <c r="AA719" s="71"/>
      <c r="AB719" s="71"/>
      <c r="AC719" s="71"/>
      <c r="AD719" s="71"/>
      <c r="AE719" s="71"/>
      <c r="AF719" s="71"/>
      <c r="AG719" s="82">
        <v>0</v>
      </c>
      <c r="AH719" s="76"/>
      <c r="AI719" s="76"/>
      <c r="AJ719" s="76"/>
      <c r="AK719" s="71">
        <v>0.15</v>
      </c>
      <c r="AL719" s="88">
        <v>3.4139420030223099E-2</v>
      </c>
      <c r="AM719" s="89">
        <f t="shared" si="11"/>
        <v>0.22759613353482067</v>
      </c>
      <c r="AN719" s="78"/>
    </row>
    <row r="720" spans="1:40" x14ac:dyDescent="0.25">
      <c r="A720" t="s">
        <v>44</v>
      </c>
      <c r="B720" t="s">
        <v>45</v>
      </c>
      <c r="C720" s="121" t="s">
        <v>174</v>
      </c>
      <c r="D720" t="s">
        <v>190</v>
      </c>
      <c r="E720" t="s">
        <v>57</v>
      </c>
      <c r="F720">
        <v>3</v>
      </c>
      <c r="G720">
        <v>35</v>
      </c>
      <c r="H720" s="86">
        <v>45960.992788472198</v>
      </c>
      <c r="I720" s="86">
        <v>45961.064973344903</v>
      </c>
      <c r="J720" s="87">
        <v>1.7324369444444501</v>
      </c>
      <c r="K720" s="69" t="s">
        <v>274</v>
      </c>
      <c r="L720" s="69"/>
      <c r="M720" s="71"/>
      <c r="N720" s="71"/>
      <c r="O720" s="71"/>
      <c r="P720" s="71" t="s">
        <v>275</v>
      </c>
      <c r="Q720" s="88">
        <v>1.3874914936282E-2</v>
      </c>
      <c r="R720" s="89" t="s">
        <v>276</v>
      </c>
      <c r="S720" s="89"/>
      <c r="T720">
        <v>2.2999999999999998</v>
      </c>
      <c r="U720" s="76">
        <v>0.2</v>
      </c>
      <c r="V720">
        <v>9.1999999999999993</v>
      </c>
      <c r="W720" s="90">
        <v>0.1</v>
      </c>
      <c r="X720" s="90"/>
      <c r="Y720" s="71"/>
      <c r="Z720" s="71"/>
      <c r="AA720" s="71"/>
      <c r="AB720" s="71"/>
      <c r="AC720" s="71"/>
      <c r="AD720" s="71"/>
      <c r="AE720" s="71"/>
      <c r="AF720" s="71"/>
      <c r="AG720" s="82">
        <v>0</v>
      </c>
      <c r="AH720" s="76"/>
      <c r="AI720" s="76"/>
      <c r="AJ720" s="76"/>
      <c r="AK720" s="71">
        <v>0.15</v>
      </c>
      <c r="AL720" s="88">
        <v>3.4139420030223099E-2</v>
      </c>
      <c r="AM720" s="89">
        <f t="shared" si="11"/>
        <v>0.22759613353482067</v>
      </c>
      <c r="AN720" s="78"/>
    </row>
    <row r="721" spans="1:40" x14ac:dyDescent="0.25">
      <c r="A721" t="s">
        <v>44</v>
      </c>
      <c r="B721" t="s">
        <v>45</v>
      </c>
      <c r="C721" s="121" t="s">
        <v>174</v>
      </c>
      <c r="D721" t="s">
        <v>190</v>
      </c>
      <c r="E721" t="s">
        <v>57</v>
      </c>
      <c r="F721">
        <v>3</v>
      </c>
      <c r="G721">
        <v>36</v>
      </c>
      <c r="H721" s="86">
        <v>45961.064973344903</v>
      </c>
      <c r="I721" s="86">
        <v>45961.137159548598</v>
      </c>
      <c r="J721" s="87">
        <v>1.7324688888888899</v>
      </c>
      <c r="K721" s="69" t="s">
        <v>274</v>
      </c>
      <c r="L721" s="69"/>
      <c r="M721" s="71"/>
      <c r="N721" s="71"/>
      <c r="O721" s="71"/>
      <c r="P721" s="71" t="s">
        <v>275</v>
      </c>
      <c r="Q721" s="88">
        <v>1.91933171003279E-2</v>
      </c>
      <c r="R721" s="89" t="s">
        <v>276</v>
      </c>
      <c r="S721" s="89"/>
      <c r="T721">
        <v>4.8</v>
      </c>
      <c r="U721" s="76">
        <v>0.2</v>
      </c>
      <c r="V721">
        <v>9</v>
      </c>
      <c r="W721" s="90">
        <v>0.1</v>
      </c>
      <c r="X721" s="90"/>
      <c r="Y721" s="71"/>
      <c r="Z721" s="71"/>
      <c r="AA721" s="71"/>
      <c r="AB721" s="71"/>
      <c r="AC721" s="71"/>
      <c r="AD721" s="71"/>
      <c r="AE721" s="71"/>
      <c r="AF721" s="71"/>
      <c r="AG721" s="82">
        <v>0</v>
      </c>
      <c r="AH721" s="76"/>
      <c r="AI721" s="76"/>
      <c r="AJ721" s="76"/>
      <c r="AK721" s="71">
        <v>0.15</v>
      </c>
      <c r="AL721" s="88">
        <v>3.4139420030223099E-2</v>
      </c>
      <c r="AM721" s="89">
        <f t="shared" si="11"/>
        <v>0.22759613353482067</v>
      </c>
      <c r="AN721" s="78"/>
    </row>
    <row r="722" spans="1:40" x14ac:dyDescent="0.25">
      <c r="A722" t="s">
        <v>44</v>
      </c>
      <c r="B722" t="s">
        <v>45</v>
      </c>
      <c r="C722" s="121" t="s">
        <v>174</v>
      </c>
      <c r="D722" t="s">
        <v>190</v>
      </c>
      <c r="E722" t="s">
        <v>57</v>
      </c>
      <c r="F722">
        <v>3</v>
      </c>
      <c r="G722">
        <v>37</v>
      </c>
      <c r="H722" s="86">
        <v>45961.137159548598</v>
      </c>
      <c r="I722" s="86">
        <v>45961.209339513902</v>
      </c>
      <c r="J722" s="87">
        <v>1.73231916666667</v>
      </c>
      <c r="K722" s="69" t="s">
        <v>274</v>
      </c>
      <c r="L722" s="69"/>
      <c r="M722" s="71"/>
      <c r="N722" s="71"/>
      <c r="O722" s="71"/>
      <c r="P722" s="71" t="s">
        <v>275</v>
      </c>
      <c r="Q722" s="88">
        <v>3.8824140070334801E-2</v>
      </c>
      <c r="R722" s="89" t="s">
        <v>276</v>
      </c>
      <c r="S722" s="89"/>
      <c r="T722">
        <v>4.5999999999999996</v>
      </c>
      <c r="U722" s="76">
        <v>0.2</v>
      </c>
      <c r="V722">
        <v>9</v>
      </c>
      <c r="W722" s="90">
        <v>0.1</v>
      </c>
      <c r="X722" s="90"/>
      <c r="Y722" s="71"/>
      <c r="Z722" s="71"/>
      <c r="AA722" s="71"/>
      <c r="AB722" s="71"/>
      <c r="AC722" s="71"/>
      <c r="AD722" s="71"/>
      <c r="AE722" s="71"/>
      <c r="AF722" s="71"/>
      <c r="AG722" s="82">
        <v>0</v>
      </c>
      <c r="AH722" s="76"/>
      <c r="AI722" s="76"/>
      <c r="AJ722" s="76"/>
      <c r="AK722" s="71">
        <v>0.15</v>
      </c>
      <c r="AL722" s="88">
        <v>3.4139420030223099E-2</v>
      </c>
      <c r="AM722" s="89">
        <f t="shared" si="11"/>
        <v>0.22759613353482067</v>
      </c>
      <c r="AN722" s="78"/>
    </row>
    <row r="723" spans="1:40" x14ac:dyDescent="0.25">
      <c r="A723" t="s">
        <v>44</v>
      </c>
      <c r="B723" t="s">
        <v>45</v>
      </c>
      <c r="C723" s="121" t="s">
        <v>174</v>
      </c>
      <c r="D723" t="s">
        <v>190</v>
      </c>
      <c r="E723" t="s">
        <v>57</v>
      </c>
      <c r="F723">
        <v>3</v>
      </c>
      <c r="G723">
        <v>38</v>
      </c>
      <c r="H723" s="86">
        <v>45961.209339513902</v>
      </c>
      <c r="I723" s="86">
        <v>45961.281520810197</v>
      </c>
      <c r="J723" s="87">
        <v>1.7323511111111101</v>
      </c>
      <c r="K723" s="69" t="s">
        <v>274</v>
      </c>
      <c r="L723" s="69"/>
      <c r="M723" s="71"/>
      <c r="N723" s="71"/>
      <c r="O723" s="71"/>
      <c r="P723" s="71" t="s">
        <v>275</v>
      </c>
      <c r="Q723" s="88">
        <v>2.86126231875161E-2</v>
      </c>
      <c r="R723" s="89" t="s">
        <v>276</v>
      </c>
      <c r="S723" s="89"/>
      <c r="T723">
        <v>3.2</v>
      </c>
      <c r="U723" s="76">
        <v>0.2</v>
      </c>
      <c r="V723">
        <v>8.9</v>
      </c>
      <c r="W723" s="90">
        <v>0.1</v>
      </c>
      <c r="X723" s="90"/>
      <c r="Y723" s="71"/>
      <c r="Z723" s="71"/>
      <c r="AA723" s="71"/>
      <c r="AB723" s="71"/>
      <c r="AC723" s="71"/>
      <c r="AD723" s="71"/>
      <c r="AE723" s="71"/>
      <c r="AF723" s="71"/>
      <c r="AG723" s="82">
        <v>0</v>
      </c>
      <c r="AH723" s="76"/>
      <c r="AI723" s="76"/>
      <c r="AJ723" s="76"/>
      <c r="AK723" s="71">
        <v>0.15</v>
      </c>
      <c r="AL723" s="88">
        <v>3.4139420030223099E-2</v>
      </c>
      <c r="AM723" s="89">
        <f t="shared" si="11"/>
        <v>0.22759613353482067</v>
      </c>
      <c r="AN723" s="78"/>
    </row>
    <row r="724" spans="1:40" x14ac:dyDescent="0.25">
      <c r="A724" t="s">
        <v>44</v>
      </c>
      <c r="B724" t="s">
        <v>45</v>
      </c>
      <c r="C724" s="121" t="s">
        <v>174</v>
      </c>
      <c r="D724" t="s">
        <v>190</v>
      </c>
      <c r="E724" t="s">
        <v>57</v>
      </c>
      <c r="F724">
        <v>3</v>
      </c>
      <c r="G724">
        <v>39</v>
      </c>
      <c r="H724" s="86">
        <v>45961.281520810197</v>
      </c>
      <c r="I724" s="86">
        <v>45961.353705497699</v>
      </c>
      <c r="J724" s="87">
        <v>1.7324325</v>
      </c>
      <c r="K724" s="69" t="s">
        <v>274</v>
      </c>
      <c r="L724" s="69"/>
      <c r="M724" s="71"/>
      <c r="N724" s="71"/>
      <c r="O724" s="71"/>
      <c r="P724" s="71" t="s">
        <v>275</v>
      </c>
      <c r="Q724" s="88">
        <v>3.6165073866485403E-2</v>
      </c>
      <c r="R724" s="89" t="s">
        <v>276</v>
      </c>
      <c r="S724" s="89"/>
      <c r="T724">
        <v>3.6</v>
      </c>
      <c r="U724" s="76">
        <v>0.2</v>
      </c>
      <c r="V724">
        <v>8.8000000000000007</v>
      </c>
      <c r="W724" s="90">
        <v>0.1</v>
      </c>
      <c r="X724" s="90"/>
      <c r="Y724" s="71"/>
      <c r="Z724" s="71"/>
      <c r="AA724" s="71"/>
      <c r="AB724" s="71"/>
      <c r="AC724" s="71"/>
      <c r="AD724" s="71"/>
      <c r="AE724" s="71"/>
      <c r="AF724" s="71"/>
      <c r="AG724" s="82">
        <v>0</v>
      </c>
      <c r="AH724" s="76"/>
      <c r="AI724" s="76"/>
      <c r="AJ724" s="76"/>
      <c r="AK724" s="71">
        <v>0.15</v>
      </c>
      <c r="AL724" s="88">
        <v>3.4139420030223099E-2</v>
      </c>
      <c r="AM724" s="89">
        <f t="shared" si="11"/>
        <v>0.22759613353482067</v>
      </c>
      <c r="AN724" s="78"/>
    </row>
    <row r="725" spans="1:40" x14ac:dyDescent="0.25">
      <c r="A725" t="s">
        <v>44</v>
      </c>
      <c r="B725" t="s">
        <v>45</v>
      </c>
      <c r="C725" s="121" t="s">
        <v>174</v>
      </c>
      <c r="D725" t="s">
        <v>190</v>
      </c>
      <c r="E725" t="s">
        <v>57</v>
      </c>
      <c r="F725">
        <v>3</v>
      </c>
      <c r="G725">
        <v>40</v>
      </c>
      <c r="H725" s="86">
        <v>45961.353705497699</v>
      </c>
      <c r="I725" s="86">
        <v>45961.4258837616</v>
      </c>
      <c r="J725" s="87">
        <v>1.73227833333333</v>
      </c>
      <c r="K725" s="69" t="s">
        <v>274</v>
      </c>
      <c r="L725" s="69"/>
      <c r="M725" s="71"/>
      <c r="N725" s="71"/>
      <c r="O725" s="71"/>
      <c r="P725" s="71" t="s">
        <v>275</v>
      </c>
      <c r="Q725" s="88">
        <v>5.6324027147596198E-2</v>
      </c>
      <c r="R725" s="89" t="s">
        <v>276</v>
      </c>
      <c r="S725" s="89"/>
      <c r="T725">
        <v>4.7</v>
      </c>
      <c r="U725" s="76">
        <v>0.2</v>
      </c>
      <c r="V725">
        <v>8.8000000000000007</v>
      </c>
      <c r="W725" s="90">
        <v>0.1</v>
      </c>
      <c r="X725" s="90"/>
      <c r="Y725" s="71"/>
      <c r="Z725" s="71"/>
      <c r="AA725" s="71"/>
      <c r="AB725" s="71"/>
      <c r="AC725" s="71"/>
      <c r="AD725" s="71"/>
      <c r="AE725" s="71"/>
      <c r="AF725" s="71"/>
      <c r="AG725" s="82">
        <v>0</v>
      </c>
      <c r="AH725" s="76"/>
      <c r="AI725" s="76"/>
      <c r="AJ725" s="76"/>
      <c r="AK725" s="71">
        <v>0.15</v>
      </c>
      <c r="AL725" s="88">
        <v>3.4139420030223099E-2</v>
      </c>
      <c r="AM725" s="89">
        <f t="shared" si="11"/>
        <v>0.22759613353482067</v>
      </c>
      <c r="AN725" s="78"/>
    </row>
    <row r="726" spans="1:40" x14ac:dyDescent="0.25">
      <c r="A726" t="s">
        <v>44</v>
      </c>
      <c r="B726" t="s">
        <v>45</v>
      </c>
      <c r="C726" s="121" t="s">
        <v>174</v>
      </c>
      <c r="D726" t="s">
        <v>190</v>
      </c>
      <c r="E726" t="s">
        <v>57</v>
      </c>
      <c r="F726">
        <v>3</v>
      </c>
      <c r="G726">
        <v>41</v>
      </c>
      <c r="H726" s="86">
        <v>45961.4258837616</v>
      </c>
      <c r="I726" s="86">
        <v>45961.498066238397</v>
      </c>
      <c r="J726" s="87">
        <v>1.73237944444444</v>
      </c>
      <c r="K726" s="69" t="s">
        <v>274</v>
      </c>
      <c r="L726" s="69"/>
      <c r="M726" s="71"/>
      <c r="N726" s="71"/>
      <c r="O726" s="71"/>
      <c r="P726" s="71" t="s">
        <v>275</v>
      </c>
      <c r="Q726" s="88">
        <v>0.15740787852375701</v>
      </c>
      <c r="R726" s="89" t="s">
        <v>276</v>
      </c>
      <c r="S726" s="89"/>
      <c r="T726">
        <v>7.3</v>
      </c>
      <c r="U726" s="76">
        <v>0.2</v>
      </c>
      <c r="V726">
        <v>8.6999999999999993</v>
      </c>
      <c r="W726" s="90">
        <v>0.1</v>
      </c>
      <c r="X726" s="90"/>
      <c r="Y726" s="71"/>
      <c r="Z726" s="71"/>
      <c r="AA726" s="71"/>
      <c r="AB726" s="71"/>
      <c r="AC726" s="71"/>
      <c r="AD726" s="71"/>
      <c r="AE726" s="71"/>
      <c r="AF726" s="71"/>
      <c r="AG726" s="82">
        <v>0</v>
      </c>
      <c r="AH726" s="76"/>
      <c r="AI726" s="76"/>
      <c r="AJ726" s="76"/>
      <c r="AK726" s="71">
        <v>0.15</v>
      </c>
      <c r="AL726" s="88">
        <v>3.4139420030223099E-2</v>
      </c>
      <c r="AM726" s="89">
        <f t="shared" si="11"/>
        <v>0.22759613353482067</v>
      </c>
      <c r="AN726" s="78"/>
    </row>
    <row r="727" spans="1:40" x14ac:dyDescent="0.25">
      <c r="A727" t="s">
        <v>44</v>
      </c>
      <c r="B727" t="s">
        <v>45</v>
      </c>
      <c r="C727" s="121" t="s">
        <v>174</v>
      </c>
      <c r="D727" t="s">
        <v>190</v>
      </c>
      <c r="E727" t="s">
        <v>57</v>
      </c>
      <c r="F727">
        <v>3</v>
      </c>
      <c r="G727">
        <v>42</v>
      </c>
      <c r="H727" s="86">
        <v>45961.498066238397</v>
      </c>
      <c r="I727" s="86">
        <v>45961.570250659701</v>
      </c>
      <c r="J727" s="87">
        <v>1.7324261111111099</v>
      </c>
      <c r="K727" s="69" t="s">
        <v>274</v>
      </c>
      <c r="L727" s="69"/>
      <c r="M727" s="71"/>
      <c r="N727" s="71"/>
      <c r="O727" s="71"/>
      <c r="P727" s="71" t="s">
        <v>275</v>
      </c>
      <c r="Q727" s="88">
        <v>0.153195642582199</v>
      </c>
      <c r="R727" s="89" t="s">
        <v>276</v>
      </c>
      <c r="S727" s="89"/>
      <c r="T727">
        <v>10.7</v>
      </c>
      <c r="U727" s="76">
        <v>0.2</v>
      </c>
      <c r="V727">
        <v>8.8000000000000007</v>
      </c>
      <c r="W727" s="90">
        <v>0.1</v>
      </c>
      <c r="X727" s="90"/>
      <c r="Y727" s="71"/>
      <c r="Z727" s="71"/>
      <c r="AA727" s="71"/>
      <c r="AB727" s="71"/>
      <c r="AC727" s="71"/>
      <c r="AD727" s="71"/>
      <c r="AE727" s="71"/>
      <c r="AF727" s="71"/>
      <c r="AG727" s="82">
        <v>0</v>
      </c>
      <c r="AH727" s="76"/>
      <c r="AI727" s="76"/>
      <c r="AJ727" s="76"/>
      <c r="AK727" s="71">
        <v>0.15</v>
      </c>
      <c r="AL727" s="88">
        <v>3.4139420030223099E-2</v>
      </c>
      <c r="AM727" s="89">
        <f t="shared" si="11"/>
        <v>0.22759613353482067</v>
      </c>
      <c r="AN727" s="78"/>
    </row>
    <row r="728" spans="1:40" x14ac:dyDescent="0.25">
      <c r="A728" t="s">
        <v>44</v>
      </c>
      <c r="B728" t="s">
        <v>45</v>
      </c>
      <c r="C728" s="121" t="s">
        <v>174</v>
      </c>
      <c r="D728" t="s">
        <v>190</v>
      </c>
      <c r="E728" t="s">
        <v>57</v>
      </c>
      <c r="F728">
        <v>3</v>
      </c>
      <c r="G728">
        <v>43</v>
      </c>
      <c r="H728" s="86">
        <v>45961.570250659701</v>
      </c>
      <c r="I728" s="86">
        <v>45961.642438240699</v>
      </c>
      <c r="J728" s="87">
        <v>1.7325019444444401</v>
      </c>
      <c r="K728" s="69" t="s">
        <v>274</v>
      </c>
      <c r="L728" s="69"/>
      <c r="M728" s="71"/>
      <c r="N728" s="71"/>
      <c r="O728" s="71"/>
      <c r="P728" s="71" t="s">
        <v>275</v>
      </c>
      <c r="Q728" s="88">
        <v>0.120436893902065</v>
      </c>
      <c r="R728" s="89" t="s">
        <v>276</v>
      </c>
      <c r="S728" s="89"/>
      <c r="T728">
        <v>10.3</v>
      </c>
      <c r="U728" s="76">
        <v>0.2</v>
      </c>
      <c r="V728">
        <v>9</v>
      </c>
      <c r="W728" s="90">
        <v>0.1</v>
      </c>
      <c r="X728" s="90"/>
      <c r="Y728" s="71"/>
      <c r="Z728" s="71"/>
      <c r="AA728" s="71"/>
      <c r="AB728" s="71"/>
      <c r="AC728" s="71"/>
      <c r="AD728" s="71"/>
      <c r="AE728" s="71"/>
      <c r="AF728" s="71"/>
      <c r="AG728" s="82">
        <v>0</v>
      </c>
      <c r="AH728" s="76"/>
      <c r="AI728" s="76"/>
      <c r="AJ728" s="76"/>
      <c r="AK728" s="71">
        <v>0.15</v>
      </c>
      <c r="AL728" s="88">
        <v>3.4139420030223099E-2</v>
      </c>
      <c r="AM728" s="89">
        <f t="shared" si="11"/>
        <v>0.22759613353482067</v>
      </c>
      <c r="AN728" s="78"/>
    </row>
    <row r="729" spans="1:40" x14ac:dyDescent="0.25">
      <c r="A729" t="s">
        <v>44</v>
      </c>
      <c r="B729" t="s">
        <v>45</v>
      </c>
      <c r="C729" s="121" t="s">
        <v>174</v>
      </c>
      <c r="D729" t="s">
        <v>190</v>
      </c>
      <c r="E729" t="s">
        <v>57</v>
      </c>
      <c r="F729">
        <v>3</v>
      </c>
      <c r="G729">
        <v>44</v>
      </c>
      <c r="H729" s="86">
        <v>45961.642438240699</v>
      </c>
      <c r="I729" s="86">
        <v>45961.714625590299</v>
      </c>
      <c r="J729" s="87">
        <v>1.73249638888889</v>
      </c>
      <c r="K729" s="69" t="s">
        <v>274</v>
      </c>
      <c r="L729" s="69"/>
      <c r="M729" s="71"/>
      <c r="N729" s="71"/>
      <c r="O729" s="71"/>
      <c r="P729" s="71" t="s">
        <v>275</v>
      </c>
      <c r="Q729" s="88">
        <v>9.9105673273651301E-2</v>
      </c>
      <c r="R729" s="89" t="s">
        <v>276</v>
      </c>
      <c r="S729" s="89"/>
      <c r="T729">
        <v>9.9</v>
      </c>
      <c r="U729" s="76">
        <v>0.2</v>
      </c>
      <c r="V729">
        <v>9.1</v>
      </c>
      <c r="W729" s="90">
        <v>0.1</v>
      </c>
      <c r="X729" s="90"/>
      <c r="Y729" s="71"/>
      <c r="Z729" s="71"/>
      <c r="AA729" s="71"/>
      <c r="AB729" s="71"/>
      <c r="AC729" s="71"/>
      <c r="AD729" s="71"/>
      <c r="AE729" s="71"/>
      <c r="AF729" s="71"/>
      <c r="AG729" s="82">
        <v>0</v>
      </c>
      <c r="AH729" s="76"/>
      <c r="AI729" s="76"/>
      <c r="AJ729" s="76"/>
      <c r="AK729" s="71">
        <v>0.15</v>
      </c>
      <c r="AL729" s="88">
        <v>3.4139420030223099E-2</v>
      </c>
      <c r="AM729" s="89">
        <f t="shared" si="11"/>
        <v>0.22759613353482067</v>
      </c>
      <c r="AN729" s="78"/>
    </row>
    <row r="730" spans="1:40" x14ac:dyDescent="0.25">
      <c r="A730" t="s">
        <v>44</v>
      </c>
      <c r="B730" t="s">
        <v>45</v>
      </c>
      <c r="C730" s="121" t="s">
        <v>174</v>
      </c>
      <c r="D730" t="s">
        <v>190</v>
      </c>
      <c r="E730" t="s">
        <v>57</v>
      </c>
      <c r="F730">
        <v>3</v>
      </c>
      <c r="G730">
        <v>45</v>
      </c>
      <c r="H730" s="86">
        <v>45961.714625590299</v>
      </c>
      <c r="I730" s="86">
        <v>45961.786805613403</v>
      </c>
      <c r="J730" s="87">
        <v>1.7323205555555601</v>
      </c>
      <c r="K730" s="69" t="s">
        <v>274</v>
      </c>
      <c r="L730" s="69"/>
      <c r="M730" s="71"/>
      <c r="N730" s="71"/>
      <c r="O730" s="71"/>
      <c r="P730" s="71" t="s">
        <v>275</v>
      </c>
      <c r="Q730" s="88">
        <v>5.4174008658486497E-2</v>
      </c>
      <c r="R730" s="89" t="s">
        <v>276</v>
      </c>
      <c r="S730" s="89"/>
      <c r="T730">
        <v>7.7</v>
      </c>
      <c r="U730" s="76">
        <v>0.2</v>
      </c>
      <c r="V730">
        <v>9.3000000000000007</v>
      </c>
      <c r="W730" s="90">
        <v>0.1</v>
      </c>
      <c r="X730" s="90"/>
      <c r="Y730" s="71"/>
      <c r="Z730" s="71"/>
      <c r="AA730" s="71"/>
      <c r="AB730" s="71"/>
      <c r="AC730" s="71"/>
      <c r="AD730" s="71"/>
      <c r="AE730" s="71"/>
      <c r="AF730" s="71"/>
      <c r="AG730" s="82">
        <v>0</v>
      </c>
      <c r="AH730" s="76"/>
      <c r="AI730" s="76"/>
      <c r="AJ730" s="76"/>
      <c r="AK730" s="71">
        <v>0.15</v>
      </c>
      <c r="AL730" s="88">
        <v>3.4139420030223099E-2</v>
      </c>
      <c r="AM730" s="89">
        <f t="shared" si="11"/>
        <v>0.22759613353482067</v>
      </c>
      <c r="AN730" s="78"/>
    </row>
    <row r="731" spans="1:40" x14ac:dyDescent="0.25">
      <c r="A731" t="s">
        <v>44</v>
      </c>
      <c r="B731" t="s">
        <v>45</v>
      </c>
      <c r="C731" s="121" t="s">
        <v>174</v>
      </c>
      <c r="D731" t="s">
        <v>190</v>
      </c>
      <c r="E731" t="s">
        <v>57</v>
      </c>
      <c r="F731">
        <v>3</v>
      </c>
      <c r="G731">
        <v>46</v>
      </c>
      <c r="H731" s="86">
        <v>45961.786805613403</v>
      </c>
      <c r="I731" s="86">
        <v>45961.858993043999</v>
      </c>
      <c r="J731" s="87">
        <v>1.7324983333333299</v>
      </c>
      <c r="K731" s="69" t="s">
        <v>274</v>
      </c>
      <c r="L731" s="69"/>
      <c r="M731" s="71"/>
      <c r="N731" s="71"/>
      <c r="O731" s="71"/>
      <c r="P731" s="71" t="s">
        <v>275</v>
      </c>
      <c r="Q731" s="88">
        <v>5.1364177623342701E-2</v>
      </c>
      <c r="R731" s="89" t="s">
        <v>276</v>
      </c>
      <c r="S731" s="89"/>
      <c r="T731">
        <v>7.7</v>
      </c>
      <c r="U731" s="76">
        <v>0.2</v>
      </c>
      <c r="V731">
        <v>9.3000000000000007</v>
      </c>
      <c r="W731" s="90">
        <v>0.1</v>
      </c>
      <c r="X731" s="90"/>
      <c r="Y731" s="71"/>
      <c r="Z731" s="71"/>
      <c r="AA731" s="71"/>
      <c r="AB731" s="71"/>
      <c r="AC731" s="71"/>
      <c r="AD731" s="71"/>
      <c r="AE731" s="71"/>
      <c r="AF731" s="71"/>
      <c r="AG731" s="82">
        <v>0</v>
      </c>
      <c r="AH731" s="76"/>
      <c r="AI731" s="76"/>
      <c r="AJ731" s="76"/>
      <c r="AK731" s="71">
        <v>0.15</v>
      </c>
      <c r="AL731" s="88">
        <v>3.4139420030223099E-2</v>
      </c>
      <c r="AM731" s="89">
        <f t="shared" si="11"/>
        <v>0.22759613353482067</v>
      </c>
      <c r="AN731" s="78"/>
    </row>
    <row r="732" spans="1:40" x14ac:dyDescent="0.25">
      <c r="A732" t="s">
        <v>44</v>
      </c>
      <c r="B732" t="s">
        <v>45</v>
      </c>
      <c r="C732" s="121" t="s">
        <v>174</v>
      </c>
      <c r="D732" t="s">
        <v>190</v>
      </c>
      <c r="E732" t="s">
        <v>57</v>
      </c>
      <c r="F732">
        <v>3</v>
      </c>
      <c r="G732">
        <v>47</v>
      </c>
      <c r="H732" s="86">
        <v>45961.858993043999</v>
      </c>
      <c r="I732" s="86">
        <v>45961.931178263898</v>
      </c>
      <c r="J732" s="87">
        <v>1.7324452777777799</v>
      </c>
      <c r="K732" s="69" t="s">
        <v>274</v>
      </c>
      <c r="L732" s="69"/>
      <c r="M732" s="71"/>
      <c r="N732" s="71"/>
      <c r="O732" s="71"/>
      <c r="P732" s="71" t="s">
        <v>275</v>
      </c>
      <c r="Q732" s="88">
        <v>6.67569427144796E-2</v>
      </c>
      <c r="R732" s="89" t="s">
        <v>276</v>
      </c>
      <c r="S732" s="89"/>
      <c r="T732">
        <v>8</v>
      </c>
      <c r="U732" s="76">
        <v>0.2</v>
      </c>
      <c r="V732">
        <v>9.1999999999999993</v>
      </c>
      <c r="W732" s="90">
        <v>0.1</v>
      </c>
      <c r="X732" s="90"/>
      <c r="Y732" s="71"/>
      <c r="Z732" s="71"/>
      <c r="AA732" s="71"/>
      <c r="AB732" s="71"/>
      <c r="AC732" s="71"/>
      <c r="AD732" s="71"/>
      <c r="AE732" s="71"/>
      <c r="AF732" s="71"/>
      <c r="AG732" s="82">
        <v>0</v>
      </c>
      <c r="AH732" s="76"/>
      <c r="AI732" s="76"/>
      <c r="AJ732" s="76"/>
      <c r="AK732" s="71">
        <v>0.15</v>
      </c>
      <c r="AL732" s="88">
        <v>3.4139420030223099E-2</v>
      </c>
      <c r="AM732" s="89">
        <f t="shared" si="11"/>
        <v>0.22759613353482067</v>
      </c>
      <c r="AN732" s="78"/>
    </row>
    <row r="733" spans="1:40" x14ac:dyDescent="0.25">
      <c r="A733" t="s">
        <v>44</v>
      </c>
      <c r="B733" t="s">
        <v>45</v>
      </c>
      <c r="C733" s="121" t="s">
        <v>174</v>
      </c>
      <c r="D733" t="s">
        <v>190</v>
      </c>
      <c r="E733" t="s">
        <v>57</v>
      </c>
      <c r="F733">
        <v>3</v>
      </c>
      <c r="G733">
        <v>48</v>
      </c>
      <c r="H733" s="86">
        <v>45961.931178263898</v>
      </c>
      <c r="I733" s="86">
        <v>45962.003363912001</v>
      </c>
      <c r="J733" s="87">
        <v>1.7324555555555601</v>
      </c>
      <c r="K733" s="69" t="s">
        <v>274</v>
      </c>
      <c r="L733" s="69"/>
      <c r="M733" s="71"/>
      <c r="N733" s="71"/>
      <c r="O733" s="71"/>
      <c r="P733" s="71" t="s">
        <v>275</v>
      </c>
      <c r="Q733" s="88">
        <v>6.3598365683285807E-2</v>
      </c>
      <c r="R733" s="89" t="s">
        <v>276</v>
      </c>
      <c r="S733" s="89"/>
      <c r="T733">
        <v>7.9</v>
      </c>
      <c r="U733" s="76">
        <v>0.2</v>
      </c>
      <c r="V733">
        <v>9.1999999999999993</v>
      </c>
      <c r="W733" s="90">
        <v>0.1</v>
      </c>
      <c r="X733" s="90"/>
      <c r="Y733" s="71"/>
      <c r="Z733" s="71"/>
      <c r="AA733" s="71"/>
      <c r="AB733" s="71"/>
      <c r="AC733" s="71"/>
      <c r="AD733" s="71"/>
      <c r="AE733" s="71"/>
      <c r="AF733" s="71"/>
      <c r="AG733" s="82">
        <v>0</v>
      </c>
      <c r="AH733" s="76"/>
      <c r="AI733" s="76"/>
      <c r="AJ733" s="76"/>
      <c r="AK733" s="71">
        <v>0.15</v>
      </c>
      <c r="AL733" s="88">
        <v>3.4139420030223099E-2</v>
      </c>
      <c r="AM733" s="89">
        <f t="shared" si="11"/>
        <v>0.22759613353482067</v>
      </c>
      <c r="AN733" s="78"/>
    </row>
    <row r="734" spans="1:40" x14ac:dyDescent="0.25">
      <c r="A734" t="s">
        <v>44</v>
      </c>
      <c r="B734" t="s">
        <v>45</v>
      </c>
      <c r="C734" s="121" t="s">
        <v>174</v>
      </c>
      <c r="D734" t="s">
        <v>190</v>
      </c>
      <c r="E734" t="s">
        <v>57</v>
      </c>
      <c r="F734">
        <v>3</v>
      </c>
      <c r="G734">
        <v>49</v>
      </c>
      <c r="H734" s="86">
        <v>45962.003363912001</v>
      </c>
      <c r="I734" s="86">
        <v>45962.075550254602</v>
      </c>
      <c r="J734" s="87">
        <v>1.73247222222222</v>
      </c>
      <c r="K734" s="69" t="s">
        <v>274</v>
      </c>
      <c r="L734" s="69"/>
      <c r="M734" s="71"/>
      <c r="N734" s="71"/>
      <c r="O734" s="71"/>
      <c r="P734" s="71" t="s">
        <v>275</v>
      </c>
      <c r="Q734" s="88">
        <v>5.7985177306712099E-2</v>
      </c>
      <c r="R734" s="89" t="s">
        <v>276</v>
      </c>
      <c r="S734" s="89"/>
      <c r="T734">
        <v>8.1</v>
      </c>
      <c r="U734" s="76">
        <v>0.2</v>
      </c>
      <c r="V734">
        <v>9.1999999999999993</v>
      </c>
      <c r="W734" s="90">
        <v>0.1</v>
      </c>
      <c r="X734" s="90"/>
      <c r="Y734" s="71"/>
      <c r="Z734" s="71"/>
      <c r="AA734" s="71"/>
      <c r="AB734" s="71"/>
      <c r="AC734" s="71"/>
      <c r="AD734" s="71"/>
      <c r="AE734" s="71"/>
      <c r="AF734" s="71"/>
      <c r="AG734" s="82">
        <v>0</v>
      </c>
      <c r="AH734" s="76"/>
      <c r="AI734" s="76"/>
      <c r="AJ734" s="76"/>
      <c r="AK734" s="71">
        <v>0.15</v>
      </c>
      <c r="AL734" s="88">
        <v>3.4139420030223099E-2</v>
      </c>
      <c r="AM734" s="89">
        <f t="shared" si="11"/>
        <v>0.22759613353482067</v>
      </c>
      <c r="AN734" s="78"/>
    </row>
    <row r="735" spans="1:40" x14ac:dyDescent="0.25">
      <c r="A735" t="s">
        <v>44</v>
      </c>
      <c r="B735" t="s">
        <v>45</v>
      </c>
      <c r="C735" s="121" t="s">
        <v>174</v>
      </c>
      <c r="D735" t="s">
        <v>190</v>
      </c>
      <c r="E735" t="s">
        <v>57</v>
      </c>
      <c r="F735">
        <v>3</v>
      </c>
      <c r="G735">
        <v>50</v>
      </c>
      <c r="H735" s="86">
        <v>45962.075550254602</v>
      </c>
      <c r="I735" s="86">
        <v>45962.147736504601</v>
      </c>
      <c r="J735" s="87">
        <v>1.73247</v>
      </c>
      <c r="K735" s="69" t="s">
        <v>274</v>
      </c>
      <c r="L735" s="69"/>
      <c r="M735" s="71"/>
      <c r="N735" s="71"/>
      <c r="O735" s="71"/>
      <c r="P735" s="71" t="s">
        <v>275</v>
      </c>
      <c r="Q735" s="88">
        <v>6.4399723377431106E-2</v>
      </c>
      <c r="R735" s="89" t="s">
        <v>276</v>
      </c>
      <c r="S735" s="89"/>
      <c r="T735">
        <v>8.1999999999999993</v>
      </c>
      <c r="U735" s="76">
        <v>0.2</v>
      </c>
      <c r="V735">
        <v>9.1999999999999993</v>
      </c>
      <c r="W735" s="90">
        <v>0.1</v>
      </c>
      <c r="X735" s="90"/>
      <c r="Y735" s="71"/>
      <c r="Z735" s="71"/>
      <c r="AA735" s="71"/>
      <c r="AB735" s="71"/>
      <c r="AC735" s="71"/>
      <c r="AD735" s="71"/>
      <c r="AE735" s="71"/>
      <c r="AF735" s="71"/>
      <c r="AG735" s="82">
        <v>0</v>
      </c>
      <c r="AH735" s="76"/>
      <c r="AI735" s="76"/>
      <c r="AJ735" s="76"/>
      <c r="AK735" s="71">
        <v>0.15</v>
      </c>
      <c r="AL735" s="88">
        <v>3.4139420030223099E-2</v>
      </c>
      <c r="AM735" s="89">
        <f t="shared" si="11"/>
        <v>0.22759613353482067</v>
      </c>
      <c r="AN735" s="78"/>
    </row>
    <row r="736" spans="1:40" x14ac:dyDescent="0.25">
      <c r="A736" t="s">
        <v>44</v>
      </c>
      <c r="B736" t="s">
        <v>45</v>
      </c>
      <c r="C736" s="121" t="s">
        <v>174</v>
      </c>
      <c r="D736" t="s">
        <v>190</v>
      </c>
      <c r="E736" t="s">
        <v>57</v>
      </c>
      <c r="F736">
        <v>3</v>
      </c>
      <c r="G736">
        <v>51</v>
      </c>
      <c r="H736" s="86">
        <v>45962.147736504601</v>
      </c>
      <c r="I736" s="86">
        <v>45962.219917604198</v>
      </c>
      <c r="J736" s="87">
        <v>1.7323463888888899</v>
      </c>
      <c r="K736" s="69" t="s">
        <v>274</v>
      </c>
      <c r="L736" s="69"/>
      <c r="M736" s="71"/>
      <c r="N736" s="71"/>
      <c r="O736" s="71"/>
      <c r="P736" s="71" t="s">
        <v>275</v>
      </c>
      <c r="Q736" s="88">
        <v>5.91720060023685E-2</v>
      </c>
      <c r="R736" s="89" t="s">
        <v>276</v>
      </c>
      <c r="S736" s="89"/>
      <c r="T736">
        <v>8.1</v>
      </c>
      <c r="U736" s="76">
        <v>0.2</v>
      </c>
      <c r="V736">
        <v>9.1999999999999993</v>
      </c>
      <c r="W736" s="90">
        <v>0.1</v>
      </c>
      <c r="X736" s="90"/>
      <c r="Y736" s="71"/>
      <c r="Z736" s="71"/>
      <c r="AA736" s="71"/>
      <c r="AB736" s="71"/>
      <c r="AC736" s="71"/>
      <c r="AD736" s="71"/>
      <c r="AE736" s="71"/>
      <c r="AF736" s="71"/>
      <c r="AG736" s="82">
        <v>0</v>
      </c>
      <c r="AH736" s="76"/>
      <c r="AI736" s="76"/>
      <c r="AJ736" s="76"/>
      <c r="AK736" s="71">
        <v>0.15</v>
      </c>
      <c r="AL736" s="88">
        <v>3.4139420030223099E-2</v>
      </c>
      <c r="AM736" s="89">
        <f t="shared" si="11"/>
        <v>0.22759613353482067</v>
      </c>
      <c r="AN736" s="78"/>
    </row>
    <row r="737" spans="1:40" x14ac:dyDescent="0.25">
      <c r="A737" t="s">
        <v>44</v>
      </c>
      <c r="B737" t="s">
        <v>45</v>
      </c>
      <c r="C737" s="121" t="s">
        <v>174</v>
      </c>
      <c r="D737" t="s">
        <v>190</v>
      </c>
      <c r="E737" t="s">
        <v>57</v>
      </c>
      <c r="F737">
        <v>3</v>
      </c>
      <c r="G737">
        <v>52</v>
      </c>
      <c r="H737" s="86">
        <v>45962.219917604198</v>
      </c>
      <c r="I737" s="86">
        <v>45962.292100914397</v>
      </c>
      <c r="J737" s="87">
        <v>1.7323994444444399</v>
      </c>
      <c r="K737" s="69" t="s">
        <v>274</v>
      </c>
      <c r="L737" s="69"/>
      <c r="M737" s="71"/>
      <c r="N737" s="71"/>
      <c r="O737" s="71"/>
      <c r="P737" s="71" t="s">
        <v>275</v>
      </c>
      <c r="Q737" s="88">
        <v>5.5445512378292601E-2</v>
      </c>
      <c r="R737" s="89" t="s">
        <v>276</v>
      </c>
      <c r="S737" s="89"/>
      <c r="T737">
        <v>8</v>
      </c>
      <c r="U737" s="76">
        <v>0.2</v>
      </c>
      <c r="V737">
        <v>9.1999999999999993</v>
      </c>
      <c r="W737" s="90">
        <v>0.1</v>
      </c>
      <c r="X737" s="90"/>
      <c r="Y737" s="71"/>
      <c r="Z737" s="71"/>
      <c r="AA737" s="71"/>
      <c r="AB737" s="71"/>
      <c r="AC737" s="71"/>
      <c r="AD737" s="71"/>
      <c r="AE737" s="71"/>
      <c r="AF737" s="71"/>
      <c r="AG737" s="82">
        <v>0</v>
      </c>
      <c r="AH737" s="76"/>
      <c r="AI737" s="76"/>
      <c r="AJ737" s="76"/>
      <c r="AK737" s="71">
        <v>0.15</v>
      </c>
      <c r="AL737" s="88">
        <v>3.4139420030223099E-2</v>
      </c>
      <c r="AM737" s="89">
        <f t="shared" si="11"/>
        <v>0.22759613353482067</v>
      </c>
      <c r="AN737" s="78"/>
    </row>
    <row r="738" spans="1:40" x14ac:dyDescent="0.25">
      <c r="A738" t="s">
        <v>44</v>
      </c>
      <c r="B738" t="s">
        <v>45</v>
      </c>
      <c r="C738" s="121" t="s">
        <v>174</v>
      </c>
      <c r="D738" t="s">
        <v>190</v>
      </c>
      <c r="E738" t="s">
        <v>57</v>
      </c>
      <c r="F738">
        <v>3</v>
      </c>
      <c r="G738">
        <v>53</v>
      </c>
      <c r="H738" s="86">
        <v>45962.292100914397</v>
      </c>
      <c r="I738" s="86">
        <v>45962.364287361102</v>
      </c>
      <c r="J738" s="87">
        <v>1.7324747222222201</v>
      </c>
      <c r="K738" s="69" t="s">
        <v>274</v>
      </c>
      <c r="L738" s="69"/>
      <c r="M738" s="71"/>
      <c r="N738" s="71"/>
      <c r="O738" s="71"/>
      <c r="P738" s="71" t="s">
        <v>275</v>
      </c>
      <c r="Q738" s="88">
        <v>4.1537552044942298E-2</v>
      </c>
      <c r="R738" s="89" t="s">
        <v>276</v>
      </c>
      <c r="S738" s="89"/>
      <c r="T738">
        <v>7.5</v>
      </c>
      <c r="U738" s="76">
        <v>0.2</v>
      </c>
      <c r="V738">
        <v>9.1999999999999993</v>
      </c>
      <c r="W738" s="90">
        <v>0.1</v>
      </c>
      <c r="X738" s="90"/>
      <c r="Y738" s="71"/>
      <c r="Z738" s="71"/>
      <c r="AA738" s="71"/>
      <c r="AB738" s="71"/>
      <c r="AC738" s="71"/>
      <c r="AD738" s="71"/>
      <c r="AE738" s="71"/>
      <c r="AF738" s="71"/>
      <c r="AG738" s="82">
        <v>0</v>
      </c>
      <c r="AH738" s="76"/>
      <c r="AI738" s="76"/>
      <c r="AJ738" s="76"/>
      <c r="AK738" s="71">
        <v>0.15</v>
      </c>
      <c r="AL738" s="88">
        <v>3.4139420030223099E-2</v>
      </c>
      <c r="AM738" s="89">
        <f t="shared" si="11"/>
        <v>0.22759613353482067</v>
      </c>
      <c r="AN738" s="78"/>
    </row>
    <row r="739" spans="1:40" x14ac:dyDescent="0.25">
      <c r="A739" t="s">
        <v>44</v>
      </c>
      <c r="B739" t="s">
        <v>45</v>
      </c>
      <c r="C739" s="121" t="s">
        <v>174</v>
      </c>
      <c r="D739" t="s">
        <v>190</v>
      </c>
      <c r="E739" t="s">
        <v>57</v>
      </c>
      <c r="F739">
        <v>3</v>
      </c>
      <c r="G739">
        <v>54</v>
      </c>
      <c r="H739" s="86">
        <v>45962.364287361102</v>
      </c>
      <c r="I739" s="86">
        <v>45962.436484259299</v>
      </c>
      <c r="J739" s="87">
        <v>1.7327255555555601</v>
      </c>
      <c r="K739" s="69" t="s">
        <v>274</v>
      </c>
      <c r="L739" s="69"/>
      <c r="M739" s="71"/>
      <c r="N739" s="71"/>
      <c r="O739" s="71"/>
      <c r="P739" s="71" t="s">
        <v>275</v>
      </c>
      <c r="Q739" s="88">
        <v>4.9711888022408203E-2</v>
      </c>
      <c r="R739" s="89" t="s">
        <v>276</v>
      </c>
      <c r="S739" s="89"/>
      <c r="T739">
        <v>8.5</v>
      </c>
      <c r="U739" s="76">
        <v>0.2</v>
      </c>
      <c r="V739">
        <v>9.1999999999999993</v>
      </c>
      <c r="W739" s="90">
        <v>0.1</v>
      </c>
      <c r="X739" s="90"/>
      <c r="Y739" s="71"/>
      <c r="Z739" s="71"/>
      <c r="AA739" s="71"/>
      <c r="AB739" s="71"/>
      <c r="AC739" s="71"/>
      <c r="AD739" s="71"/>
      <c r="AE739" s="71"/>
      <c r="AF739" s="71"/>
      <c r="AG739" s="82">
        <v>0</v>
      </c>
      <c r="AH739" s="76"/>
      <c r="AI739" s="76"/>
      <c r="AJ739" s="76"/>
      <c r="AK739" s="71">
        <v>0.15</v>
      </c>
      <c r="AL739" s="88">
        <v>3.4139420030223099E-2</v>
      </c>
      <c r="AM739" s="89">
        <f t="shared" si="11"/>
        <v>0.22759613353482067</v>
      </c>
      <c r="AN739" s="78"/>
    </row>
    <row r="740" spans="1:40" x14ac:dyDescent="0.25">
      <c r="A740" t="s">
        <v>44</v>
      </c>
      <c r="B740" t="s">
        <v>45</v>
      </c>
      <c r="C740" s="121" t="s">
        <v>174</v>
      </c>
      <c r="D740" t="s">
        <v>190</v>
      </c>
      <c r="E740" t="s">
        <v>57</v>
      </c>
      <c r="F740">
        <v>3</v>
      </c>
      <c r="G740">
        <v>55</v>
      </c>
      <c r="H740" s="86">
        <v>45962.436484259299</v>
      </c>
      <c r="I740" s="86">
        <v>45962.508659467603</v>
      </c>
      <c r="J740" s="87">
        <v>1.732205</v>
      </c>
      <c r="K740" s="69" t="s">
        <v>274</v>
      </c>
      <c r="L740" s="69"/>
      <c r="M740" s="71"/>
      <c r="N740" s="71"/>
      <c r="O740" s="71"/>
      <c r="P740" s="71" t="s">
        <v>275</v>
      </c>
      <c r="Q740" s="88">
        <v>7.8742721600513405E-2</v>
      </c>
      <c r="R740" s="89" t="s">
        <v>276</v>
      </c>
      <c r="S740" s="89"/>
      <c r="T740">
        <v>9.6999999999999993</v>
      </c>
      <c r="U740" s="76">
        <v>0.2</v>
      </c>
      <c r="V740">
        <v>9.1999999999999993</v>
      </c>
      <c r="W740" s="90">
        <v>0.1</v>
      </c>
      <c r="X740" s="90"/>
      <c r="Y740" s="71"/>
      <c r="Z740" s="71"/>
      <c r="AA740" s="71"/>
      <c r="AB740" s="71"/>
      <c r="AC740" s="71"/>
      <c r="AD740" s="71"/>
      <c r="AE740" s="71"/>
      <c r="AF740" s="71"/>
      <c r="AG740" s="82">
        <v>0</v>
      </c>
      <c r="AH740" s="76"/>
      <c r="AI740" s="76"/>
      <c r="AJ740" s="76"/>
      <c r="AK740" s="71">
        <v>0.15</v>
      </c>
      <c r="AL740" s="88">
        <v>3.4139420030223099E-2</v>
      </c>
      <c r="AM740" s="89">
        <f t="shared" si="11"/>
        <v>0.22759613353482067</v>
      </c>
      <c r="AN740" s="78"/>
    </row>
    <row r="741" spans="1:40" x14ac:dyDescent="0.25">
      <c r="A741" t="s">
        <v>44</v>
      </c>
      <c r="B741" t="s">
        <v>45</v>
      </c>
      <c r="C741" s="121" t="s">
        <v>174</v>
      </c>
      <c r="D741" t="s">
        <v>190</v>
      </c>
      <c r="E741" t="s">
        <v>57</v>
      </c>
      <c r="F741">
        <v>3</v>
      </c>
      <c r="G741">
        <v>56</v>
      </c>
      <c r="H741" s="86">
        <v>45962.508659467603</v>
      </c>
      <c r="I741" s="86">
        <v>45962.580844374999</v>
      </c>
      <c r="J741" s="87">
        <v>1.73243777777778</v>
      </c>
      <c r="K741" s="69" t="s">
        <v>274</v>
      </c>
      <c r="L741" s="69"/>
      <c r="M741" s="71"/>
      <c r="N741" s="71"/>
      <c r="O741" s="71"/>
      <c r="P741" s="71" t="s">
        <v>275</v>
      </c>
      <c r="Q741" s="88">
        <v>7.9720119586902699E-2</v>
      </c>
      <c r="R741" s="89" t="s">
        <v>276</v>
      </c>
      <c r="S741" s="89"/>
      <c r="T741">
        <v>10.9</v>
      </c>
      <c r="U741" s="76">
        <v>0.2</v>
      </c>
      <c r="V741">
        <v>9.1999999999999993</v>
      </c>
      <c r="W741" s="90">
        <v>0.1</v>
      </c>
      <c r="X741" s="90"/>
      <c r="Y741" s="71"/>
      <c r="Z741" s="71"/>
      <c r="AA741" s="71"/>
      <c r="AB741" s="71"/>
      <c r="AC741" s="71"/>
      <c r="AD741" s="71"/>
      <c r="AE741" s="71"/>
      <c r="AF741" s="71"/>
      <c r="AG741" s="82">
        <v>0</v>
      </c>
      <c r="AH741" s="76"/>
      <c r="AI741" s="76"/>
      <c r="AJ741" s="76"/>
      <c r="AK741" s="71">
        <v>0.15</v>
      </c>
      <c r="AL741" s="88">
        <v>3.4139420030223099E-2</v>
      </c>
      <c r="AM741" s="89">
        <f t="shared" si="11"/>
        <v>0.22759613353482067</v>
      </c>
      <c r="AN741" s="78"/>
    </row>
    <row r="742" spans="1:40" x14ac:dyDescent="0.25">
      <c r="A742" t="s">
        <v>44</v>
      </c>
      <c r="B742" t="s">
        <v>45</v>
      </c>
      <c r="C742" s="121" t="s">
        <v>174</v>
      </c>
      <c r="D742" t="s">
        <v>190</v>
      </c>
      <c r="E742" t="s">
        <v>57</v>
      </c>
      <c r="F742">
        <v>3</v>
      </c>
      <c r="G742">
        <v>57</v>
      </c>
      <c r="H742" s="86">
        <v>45962.580844374999</v>
      </c>
      <c r="I742" s="86">
        <v>45962.6530361806</v>
      </c>
      <c r="J742" s="87">
        <v>1.7326033333333299</v>
      </c>
      <c r="K742" s="69" t="s">
        <v>274</v>
      </c>
      <c r="L742" s="69"/>
      <c r="M742" s="71"/>
      <c r="N742" s="71"/>
      <c r="O742" s="71"/>
      <c r="P742" s="71" t="s">
        <v>275</v>
      </c>
      <c r="Q742" s="88">
        <v>5.8646477803623497E-2</v>
      </c>
      <c r="R742" s="89" t="s">
        <v>276</v>
      </c>
      <c r="S742" s="89"/>
      <c r="T742">
        <v>10.9</v>
      </c>
      <c r="U742" s="76">
        <v>0.2</v>
      </c>
      <c r="V742">
        <v>9.4</v>
      </c>
      <c r="W742" s="90">
        <v>0.1</v>
      </c>
      <c r="X742" s="90"/>
      <c r="Y742" s="71"/>
      <c r="Z742" s="71"/>
      <c r="AA742" s="71"/>
      <c r="AB742" s="71"/>
      <c r="AC742" s="71"/>
      <c r="AD742" s="71"/>
      <c r="AE742" s="71"/>
      <c r="AF742" s="71"/>
      <c r="AG742" s="82">
        <v>0.1</v>
      </c>
      <c r="AH742" s="76"/>
      <c r="AI742" s="76"/>
      <c r="AJ742" s="76"/>
      <c r="AK742" s="71">
        <v>0.15</v>
      </c>
      <c r="AL742" s="88">
        <v>3.4139420030223099E-2</v>
      </c>
      <c r="AM742" s="89">
        <f t="shared" si="11"/>
        <v>0.22759613353482067</v>
      </c>
      <c r="AN742" s="78"/>
    </row>
    <row r="743" spans="1:40" x14ac:dyDescent="0.25">
      <c r="A743" t="s">
        <v>44</v>
      </c>
      <c r="B743" t="s">
        <v>45</v>
      </c>
      <c r="C743" s="121" t="s">
        <v>174</v>
      </c>
      <c r="D743" t="s">
        <v>190</v>
      </c>
      <c r="E743" t="s">
        <v>57</v>
      </c>
      <c r="F743">
        <v>3</v>
      </c>
      <c r="G743">
        <v>58</v>
      </c>
      <c r="H743" s="86">
        <v>45962.6530361806</v>
      </c>
      <c r="I743" s="86">
        <v>45962.725223252302</v>
      </c>
      <c r="J743" s="87">
        <v>1.73248972222222</v>
      </c>
      <c r="K743" s="69" t="s">
        <v>274</v>
      </c>
      <c r="L743" s="69"/>
      <c r="M743" s="71"/>
      <c r="N743" s="71"/>
      <c r="O743" s="71"/>
      <c r="P743" s="71" t="s">
        <v>275</v>
      </c>
      <c r="Q743" s="88">
        <v>3.9497380140253099E-2</v>
      </c>
      <c r="R743" s="89" t="s">
        <v>276</v>
      </c>
      <c r="S743" s="89"/>
      <c r="T743">
        <v>10.5</v>
      </c>
      <c r="U743" s="76">
        <v>0.2</v>
      </c>
      <c r="V743">
        <v>9.6</v>
      </c>
      <c r="W743" s="90">
        <v>0.1</v>
      </c>
      <c r="X743" s="90"/>
      <c r="Y743" s="71"/>
      <c r="Z743" s="71"/>
      <c r="AA743" s="71"/>
      <c r="AB743" s="71"/>
      <c r="AC743" s="71"/>
      <c r="AD743" s="71"/>
      <c r="AE743" s="71"/>
      <c r="AF743" s="71"/>
      <c r="AG743" s="82">
        <v>0.6</v>
      </c>
      <c r="AH743" s="76"/>
      <c r="AI743" s="76"/>
      <c r="AJ743" s="76"/>
      <c r="AK743" s="71">
        <v>0.15</v>
      </c>
      <c r="AL743" s="88">
        <v>3.4139420030223099E-2</v>
      </c>
      <c r="AM743" s="89">
        <f t="shared" si="11"/>
        <v>0.22759613353482067</v>
      </c>
      <c r="AN743" s="78"/>
    </row>
    <row r="744" spans="1:40" x14ac:dyDescent="0.25">
      <c r="A744" t="s">
        <v>44</v>
      </c>
      <c r="B744" t="s">
        <v>45</v>
      </c>
      <c r="C744" s="121" t="s">
        <v>174</v>
      </c>
      <c r="D744" t="s">
        <v>190</v>
      </c>
      <c r="E744" t="s">
        <v>57</v>
      </c>
      <c r="F744">
        <v>3</v>
      </c>
      <c r="G744">
        <v>59</v>
      </c>
      <c r="H744" s="86">
        <v>45962.725223252302</v>
      </c>
      <c r="I744" s="86">
        <v>45962.797396469898</v>
      </c>
      <c r="J744" s="87">
        <v>1.7321572222222199</v>
      </c>
      <c r="K744" s="69" t="s">
        <v>274</v>
      </c>
      <c r="L744" s="69"/>
      <c r="M744" s="71"/>
      <c r="N744" s="71"/>
      <c r="O744" s="71"/>
      <c r="P744" s="71" t="s">
        <v>275</v>
      </c>
      <c r="Q744" s="88">
        <v>2.8322303599258102E-2</v>
      </c>
      <c r="R744" s="89" t="s">
        <v>276</v>
      </c>
      <c r="S744" s="89"/>
      <c r="T744">
        <v>10.6</v>
      </c>
      <c r="U744" s="76">
        <v>0.2</v>
      </c>
      <c r="V744">
        <v>9.6</v>
      </c>
      <c r="W744" s="90">
        <v>0.1</v>
      </c>
      <c r="X744" s="90"/>
      <c r="Y744" s="71"/>
      <c r="Z744" s="71"/>
      <c r="AA744" s="71"/>
      <c r="AB744" s="71"/>
      <c r="AC744" s="71"/>
      <c r="AD744" s="71"/>
      <c r="AE744" s="71"/>
      <c r="AF744" s="71"/>
      <c r="AG744" s="82">
        <v>1.7</v>
      </c>
      <c r="AH744" s="76"/>
      <c r="AI744" s="76"/>
      <c r="AJ744" s="76"/>
      <c r="AK744" s="71">
        <v>0.15</v>
      </c>
      <c r="AL744" s="88">
        <v>3.4139420030223099E-2</v>
      </c>
      <c r="AM744" s="89">
        <f t="shared" si="11"/>
        <v>0.22759613353482067</v>
      </c>
      <c r="AN744" s="78"/>
    </row>
    <row r="745" spans="1:40" x14ac:dyDescent="0.25">
      <c r="A745" t="s">
        <v>44</v>
      </c>
      <c r="B745" t="s">
        <v>45</v>
      </c>
      <c r="C745" s="121" t="s">
        <v>174</v>
      </c>
      <c r="D745" t="s">
        <v>190</v>
      </c>
      <c r="E745" t="s">
        <v>57</v>
      </c>
      <c r="F745">
        <v>3</v>
      </c>
      <c r="G745">
        <v>60</v>
      </c>
      <c r="H745" s="86">
        <v>45962.797396469898</v>
      </c>
      <c r="I745" s="86">
        <v>45962.869581990701</v>
      </c>
      <c r="J745" s="87">
        <v>1.7324525</v>
      </c>
      <c r="K745" s="69" t="s">
        <v>274</v>
      </c>
      <c r="L745" s="69"/>
      <c r="M745" s="71"/>
      <c r="N745" s="71"/>
      <c r="O745" s="71"/>
      <c r="P745" s="71" t="s">
        <v>275</v>
      </c>
      <c r="Q745" s="88">
        <v>3.0724243991542999E-2</v>
      </c>
      <c r="R745" s="89" t="s">
        <v>276</v>
      </c>
      <c r="S745" s="89"/>
      <c r="T745">
        <v>10.4</v>
      </c>
      <c r="U745" s="76">
        <v>0.2</v>
      </c>
      <c r="V745">
        <v>9.6999999999999993</v>
      </c>
      <c r="W745" s="90">
        <v>0.1</v>
      </c>
      <c r="X745" s="90"/>
      <c r="Y745" s="71"/>
      <c r="Z745" s="71"/>
      <c r="AA745" s="71"/>
      <c r="AB745" s="71"/>
      <c r="AC745" s="71"/>
      <c r="AD745" s="71"/>
      <c r="AE745" s="71"/>
      <c r="AF745" s="71"/>
      <c r="AG745" s="82">
        <v>0</v>
      </c>
      <c r="AH745" s="76"/>
      <c r="AI745" s="76"/>
      <c r="AJ745" s="76"/>
      <c r="AK745" s="71">
        <v>0.15</v>
      </c>
      <c r="AL745" s="88">
        <v>3.4139420030223099E-2</v>
      </c>
      <c r="AM745" s="89">
        <f t="shared" si="11"/>
        <v>0.22759613353482067</v>
      </c>
      <c r="AN745" s="78"/>
    </row>
    <row r="746" spans="1:40" x14ac:dyDescent="0.25">
      <c r="A746" t="s">
        <v>44</v>
      </c>
      <c r="B746" t="s">
        <v>45</v>
      </c>
      <c r="C746" s="121" t="s">
        <v>174</v>
      </c>
      <c r="D746" t="s">
        <v>190</v>
      </c>
      <c r="E746" t="s">
        <v>57</v>
      </c>
      <c r="F746">
        <v>3</v>
      </c>
      <c r="G746">
        <v>61</v>
      </c>
      <c r="H746" s="86">
        <v>45962.869581990701</v>
      </c>
      <c r="I746" s="86">
        <v>45962.941767928198</v>
      </c>
      <c r="J746" s="87">
        <v>1.7324625</v>
      </c>
      <c r="K746" s="69" t="s">
        <v>274</v>
      </c>
      <c r="L746" s="69"/>
      <c r="M746" s="71"/>
      <c r="N746" s="71"/>
      <c r="O746" s="71"/>
      <c r="P746" s="71" t="s">
        <v>275</v>
      </c>
      <c r="Q746" s="88">
        <v>4.0518657568039802E-2</v>
      </c>
      <c r="R746" s="89" t="s">
        <v>276</v>
      </c>
      <c r="S746" s="89"/>
      <c r="T746">
        <v>10.5</v>
      </c>
      <c r="U746" s="76">
        <v>0.2</v>
      </c>
      <c r="V746">
        <v>9.8000000000000007</v>
      </c>
      <c r="W746" s="90">
        <v>0.1</v>
      </c>
      <c r="X746" s="90"/>
      <c r="Y746" s="71"/>
      <c r="Z746" s="71"/>
      <c r="AA746" s="71"/>
      <c r="AB746" s="71"/>
      <c r="AC746" s="71"/>
      <c r="AD746" s="71"/>
      <c r="AE746" s="71"/>
      <c r="AF746" s="71"/>
      <c r="AG746" s="82">
        <v>0</v>
      </c>
      <c r="AH746" s="76"/>
      <c r="AI746" s="76"/>
      <c r="AJ746" s="76"/>
      <c r="AK746" s="71">
        <v>0.15</v>
      </c>
      <c r="AL746" s="88">
        <v>3.4139420030223099E-2</v>
      </c>
      <c r="AM746" s="89">
        <f t="shared" si="11"/>
        <v>0.22759613353482067</v>
      </c>
      <c r="AN746" s="78"/>
    </row>
    <row r="747" spans="1:40" x14ac:dyDescent="0.25">
      <c r="A747" t="s">
        <v>44</v>
      </c>
      <c r="B747" t="s">
        <v>45</v>
      </c>
      <c r="C747" s="121" t="s">
        <v>174</v>
      </c>
      <c r="D747" t="s">
        <v>190</v>
      </c>
      <c r="E747" t="s">
        <v>57</v>
      </c>
      <c r="F747">
        <v>3</v>
      </c>
      <c r="G747">
        <v>62</v>
      </c>
      <c r="H747" s="86">
        <v>45962.941767928198</v>
      </c>
      <c r="I747" s="86">
        <v>45963.013946979197</v>
      </c>
      <c r="J747" s="87">
        <v>1.7322972222222199</v>
      </c>
      <c r="K747" s="69" t="s">
        <v>274</v>
      </c>
      <c r="L747" s="69"/>
      <c r="M747" s="71"/>
      <c r="N747" s="71"/>
      <c r="O747" s="71"/>
      <c r="P747" s="71" t="s">
        <v>275</v>
      </c>
      <c r="Q747" s="88">
        <v>3.10869248199784E-2</v>
      </c>
      <c r="R747" s="89" t="s">
        <v>276</v>
      </c>
      <c r="S747" s="89"/>
      <c r="T747">
        <v>9.1999999999999993</v>
      </c>
      <c r="U747" s="76">
        <v>0.2</v>
      </c>
      <c r="V747">
        <v>9.8000000000000007</v>
      </c>
      <c r="W747" s="90">
        <v>0.1</v>
      </c>
      <c r="X747" s="90"/>
      <c r="Y747" s="71"/>
      <c r="Z747" s="71"/>
      <c r="AA747" s="71"/>
      <c r="AB747" s="71"/>
      <c r="AC747" s="71"/>
      <c r="AD747" s="71"/>
      <c r="AE747" s="71"/>
      <c r="AF747" s="71"/>
      <c r="AG747" s="82">
        <v>0</v>
      </c>
      <c r="AH747" s="76"/>
      <c r="AI747" s="76"/>
      <c r="AJ747" s="76"/>
      <c r="AK747" s="71">
        <v>0.15</v>
      </c>
      <c r="AL747" s="88">
        <v>3.4139420030223099E-2</v>
      </c>
      <c r="AM747" s="89">
        <f t="shared" si="11"/>
        <v>0.22759613353482067</v>
      </c>
      <c r="AN747" s="78"/>
    </row>
    <row r="748" spans="1:40" x14ac:dyDescent="0.25">
      <c r="A748" t="s">
        <v>44</v>
      </c>
      <c r="B748" t="s">
        <v>45</v>
      </c>
      <c r="C748" s="121" t="s">
        <v>174</v>
      </c>
      <c r="D748" t="s">
        <v>190</v>
      </c>
      <c r="E748" t="s">
        <v>57</v>
      </c>
      <c r="F748">
        <v>3</v>
      </c>
      <c r="G748">
        <v>63</v>
      </c>
      <c r="H748" s="86">
        <v>45963.013946979197</v>
      </c>
      <c r="I748" s="86">
        <v>45963.086142129599</v>
      </c>
      <c r="J748" s="87">
        <v>1.7326836111111099</v>
      </c>
      <c r="K748" s="69" t="s">
        <v>274</v>
      </c>
      <c r="L748" s="69"/>
      <c r="M748" s="71"/>
      <c r="N748" s="71"/>
      <c r="O748" s="71"/>
      <c r="P748" s="71" t="s">
        <v>275</v>
      </c>
      <c r="Q748" s="88">
        <v>2.52729178940704E-2</v>
      </c>
      <c r="R748" s="89" t="s">
        <v>276</v>
      </c>
      <c r="S748" s="89"/>
      <c r="T748">
        <v>9.1</v>
      </c>
      <c r="U748" s="76">
        <v>0.2</v>
      </c>
      <c r="V748">
        <v>9.8000000000000007</v>
      </c>
      <c r="W748" s="90">
        <v>0.1</v>
      </c>
      <c r="X748" s="90"/>
      <c r="Y748" s="71"/>
      <c r="Z748" s="71"/>
      <c r="AA748" s="71"/>
      <c r="AB748" s="71"/>
      <c r="AC748" s="71"/>
      <c r="AD748" s="71"/>
      <c r="AE748" s="71"/>
      <c r="AF748" s="71"/>
      <c r="AG748" s="82">
        <v>0</v>
      </c>
      <c r="AH748" s="76"/>
      <c r="AI748" s="76"/>
      <c r="AJ748" s="76"/>
      <c r="AK748" s="71">
        <v>0.15</v>
      </c>
      <c r="AL748" s="88">
        <v>3.4139420030223099E-2</v>
      </c>
      <c r="AM748" s="89">
        <f t="shared" si="11"/>
        <v>0.22759613353482067</v>
      </c>
      <c r="AN748" s="78"/>
    </row>
    <row r="749" spans="1:40" x14ac:dyDescent="0.25">
      <c r="A749" t="s">
        <v>44</v>
      </c>
      <c r="B749" t="s">
        <v>45</v>
      </c>
      <c r="C749" s="121" t="s">
        <v>174</v>
      </c>
      <c r="D749" t="s">
        <v>190</v>
      </c>
      <c r="E749" t="s">
        <v>57</v>
      </c>
      <c r="F749">
        <v>3</v>
      </c>
      <c r="G749">
        <v>64</v>
      </c>
      <c r="H749" s="86">
        <v>45963.086142129599</v>
      </c>
      <c r="I749" s="86">
        <v>45963.158324722201</v>
      </c>
      <c r="J749" s="87">
        <v>1.73238222222222</v>
      </c>
      <c r="K749" s="69" t="s">
        <v>274</v>
      </c>
      <c r="L749" s="69"/>
      <c r="M749" s="71"/>
      <c r="N749" s="71"/>
      <c r="O749" s="71"/>
      <c r="P749" s="71" t="s">
        <v>275</v>
      </c>
      <c r="Q749" s="88">
        <v>2.0676182204298999E-2</v>
      </c>
      <c r="R749" s="89" t="s">
        <v>276</v>
      </c>
      <c r="S749" s="89"/>
      <c r="T749">
        <v>8.1999999999999993</v>
      </c>
      <c r="U749" s="76">
        <v>0.2</v>
      </c>
      <c r="V749">
        <v>9.8000000000000007</v>
      </c>
      <c r="W749" s="90">
        <v>0.1</v>
      </c>
      <c r="X749" s="90"/>
      <c r="Y749" s="71"/>
      <c r="Z749" s="71"/>
      <c r="AA749" s="71"/>
      <c r="AB749" s="71"/>
      <c r="AC749" s="71"/>
      <c r="AD749" s="71"/>
      <c r="AE749" s="71"/>
      <c r="AF749" s="71"/>
      <c r="AG749" s="82">
        <v>0</v>
      </c>
      <c r="AH749" s="76"/>
      <c r="AI749" s="76"/>
      <c r="AJ749" s="76"/>
      <c r="AK749" s="71">
        <v>0.15</v>
      </c>
      <c r="AL749" s="88">
        <v>3.4139420030223099E-2</v>
      </c>
      <c r="AM749" s="89">
        <f t="shared" si="11"/>
        <v>0.22759613353482067</v>
      </c>
      <c r="AN749" s="78"/>
    </row>
    <row r="750" spans="1:40" x14ac:dyDescent="0.25">
      <c r="A750" t="s">
        <v>44</v>
      </c>
      <c r="B750" t="s">
        <v>45</v>
      </c>
      <c r="C750" s="121" t="s">
        <v>174</v>
      </c>
      <c r="D750" t="s">
        <v>190</v>
      </c>
      <c r="E750" t="s">
        <v>57</v>
      </c>
      <c r="F750">
        <v>3</v>
      </c>
      <c r="G750">
        <v>65</v>
      </c>
      <c r="H750" s="86">
        <v>45963.158324722201</v>
      </c>
      <c r="I750" s="86">
        <v>45963.230507036998</v>
      </c>
      <c r="J750" s="87">
        <v>1.73237555555556</v>
      </c>
      <c r="K750" s="69" t="s">
        <v>274</v>
      </c>
      <c r="L750" s="69"/>
      <c r="M750" s="71"/>
      <c r="N750" s="71"/>
      <c r="O750" s="71"/>
      <c r="P750" s="71" t="s">
        <v>275</v>
      </c>
      <c r="Q750" s="88">
        <v>1.7700523808382902E-2</v>
      </c>
      <c r="R750" s="89" t="s">
        <v>276</v>
      </c>
      <c r="S750" s="89"/>
      <c r="T750">
        <v>8.5</v>
      </c>
      <c r="U750" s="76">
        <v>0.2</v>
      </c>
      <c r="V750">
        <v>9.6999999999999993</v>
      </c>
      <c r="W750" s="90">
        <v>0.1</v>
      </c>
      <c r="X750" s="90"/>
      <c r="Y750" s="71"/>
      <c r="Z750" s="71"/>
      <c r="AA750" s="71"/>
      <c r="AB750" s="71"/>
      <c r="AC750" s="71"/>
      <c r="AD750" s="71"/>
      <c r="AE750" s="71"/>
      <c r="AF750" s="71"/>
      <c r="AG750" s="82">
        <v>0</v>
      </c>
      <c r="AH750" s="76"/>
      <c r="AI750" s="76"/>
      <c r="AJ750" s="76"/>
      <c r="AK750" s="71">
        <v>0.15</v>
      </c>
      <c r="AL750" s="88">
        <v>3.4139420030223099E-2</v>
      </c>
      <c r="AM750" s="89">
        <f t="shared" si="11"/>
        <v>0.22759613353482067</v>
      </c>
      <c r="AN750" s="78"/>
    </row>
    <row r="751" spans="1:40" x14ac:dyDescent="0.25">
      <c r="A751" t="s">
        <v>44</v>
      </c>
      <c r="B751" t="s">
        <v>45</v>
      </c>
      <c r="C751" s="121" t="s">
        <v>174</v>
      </c>
      <c r="D751" t="s">
        <v>190</v>
      </c>
      <c r="E751" t="s">
        <v>57</v>
      </c>
      <c r="F751">
        <v>3</v>
      </c>
      <c r="G751">
        <v>66</v>
      </c>
      <c r="H751" s="86">
        <v>45963.230507036998</v>
      </c>
      <c r="I751" s="86">
        <v>45963.302681226902</v>
      </c>
      <c r="J751" s="87">
        <v>1.7321805555555601</v>
      </c>
      <c r="K751" s="69" t="s">
        <v>274</v>
      </c>
      <c r="L751" s="69"/>
      <c r="M751" s="71"/>
      <c r="N751" s="71"/>
      <c r="O751" s="71"/>
      <c r="P751" s="71" t="s">
        <v>275</v>
      </c>
      <c r="Q751" s="88">
        <v>1.8910761769758502E-2</v>
      </c>
      <c r="R751" s="89" t="s">
        <v>276</v>
      </c>
      <c r="S751" s="89"/>
      <c r="T751">
        <v>8.6</v>
      </c>
      <c r="U751" s="76">
        <v>0.2</v>
      </c>
      <c r="V751">
        <v>9.6</v>
      </c>
      <c r="W751" s="90">
        <v>0.1</v>
      </c>
      <c r="X751" s="90"/>
      <c r="Y751" s="71"/>
      <c r="Z751" s="71"/>
      <c r="AA751" s="71"/>
      <c r="AB751" s="71"/>
      <c r="AC751" s="71"/>
      <c r="AD751" s="71"/>
      <c r="AE751" s="71"/>
      <c r="AF751" s="71"/>
      <c r="AG751" s="82">
        <v>0</v>
      </c>
      <c r="AH751" s="76"/>
      <c r="AI751" s="76"/>
      <c r="AJ751" s="76"/>
      <c r="AK751" s="71">
        <v>0.15</v>
      </c>
      <c r="AL751" s="88">
        <v>3.4139420030223099E-2</v>
      </c>
      <c r="AM751" s="89">
        <f t="shared" si="11"/>
        <v>0.22759613353482067</v>
      </c>
      <c r="AN751" s="78"/>
    </row>
    <row r="752" spans="1:40" x14ac:dyDescent="0.25">
      <c r="A752" t="s">
        <v>44</v>
      </c>
      <c r="B752" t="s">
        <v>45</v>
      </c>
      <c r="C752" s="121" t="s">
        <v>174</v>
      </c>
      <c r="D752" t="s">
        <v>190</v>
      </c>
      <c r="E752" t="s">
        <v>57</v>
      </c>
      <c r="F752">
        <v>3</v>
      </c>
      <c r="G752">
        <v>67</v>
      </c>
      <c r="H752" s="86">
        <v>45963.302681226902</v>
      </c>
      <c r="I752" s="86">
        <v>45963.374866400503</v>
      </c>
      <c r="J752" s="87">
        <v>1.7324441666666699</v>
      </c>
      <c r="K752" s="69" t="s">
        <v>274</v>
      </c>
      <c r="L752" s="69"/>
      <c r="M752" s="71"/>
      <c r="N752" s="71"/>
      <c r="O752" s="71"/>
      <c r="P752" s="71" t="s">
        <v>275</v>
      </c>
      <c r="Q752" s="88">
        <v>1.9626756615499199E-2</v>
      </c>
      <c r="R752" s="89" t="s">
        <v>276</v>
      </c>
      <c r="S752" s="89"/>
      <c r="T752">
        <v>8.9</v>
      </c>
      <c r="U752" s="76">
        <v>0.2</v>
      </c>
      <c r="V752">
        <v>9.6</v>
      </c>
      <c r="W752" s="90">
        <v>0.1</v>
      </c>
      <c r="X752" s="90"/>
      <c r="Y752" s="71"/>
      <c r="Z752" s="71"/>
      <c r="AA752" s="71"/>
      <c r="AB752" s="71"/>
      <c r="AC752" s="71"/>
      <c r="AD752" s="71"/>
      <c r="AE752" s="71"/>
      <c r="AF752" s="71"/>
      <c r="AG752" s="82">
        <v>2.6</v>
      </c>
      <c r="AH752" s="76"/>
      <c r="AI752" s="76"/>
      <c r="AJ752" s="76"/>
      <c r="AK752" s="71">
        <v>0.15</v>
      </c>
      <c r="AL752" s="88">
        <v>3.4139420030223099E-2</v>
      </c>
      <c r="AM752" s="89">
        <f t="shared" si="11"/>
        <v>0.22759613353482067</v>
      </c>
      <c r="AN752" s="78"/>
    </row>
    <row r="753" spans="1:40" x14ac:dyDescent="0.25">
      <c r="A753" t="s">
        <v>44</v>
      </c>
      <c r="B753" t="s">
        <v>45</v>
      </c>
      <c r="C753" s="121" t="s">
        <v>174</v>
      </c>
      <c r="D753" t="s">
        <v>190</v>
      </c>
      <c r="E753" t="s">
        <v>57</v>
      </c>
      <c r="F753">
        <v>3</v>
      </c>
      <c r="G753">
        <v>68</v>
      </c>
      <c r="H753" s="86">
        <v>45963.374866400503</v>
      </c>
      <c r="I753" s="86">
        <v>45963.447057905098</v>
      </c>
      <c r="J753" s="87">
        <v>1.7325961111111099</v>
      </c>
      <c r="K753" s="69" t="s">
        <v>274</v>
      </c>
      <c r="L753" s="69"/>
      <c r="M753" s="71"/>
      <c r="N753" s="71"/>
      <c r="O753" s="71"/>
      <c r="P753" s="71" t="s">
        <v>275</v>
      </c>
      <c r="Q753" s="88">
        <v>2.6391396794756401E-2</v>
      </c>
      <c r="R753" s="89" t="s">
        <v>276</v>
      </c>
      <c r="S753" s="89"/>
      <c r="T753">
        <v>8.9</v>
      </c>
      <c r="U753" s="76">
        <v>0.2</v>
      </c>
      <c r="V753">
        <v>9.6</v>
      </c>
      <c r="W753" s="90">
        <v>0.1</v>
      </c>
      <c r="X753" s="90"/>
      <c r="Y753" s="71"/>
      <c r="Z753" s="71"/>
      <c r="AA753" s="71"/>
      <c r="AB753" s="71"/>
      <c r="AC753" s="71"/>
      <c r="AD753" s="71"/>
      <c r="AE753" s="71"/>
      <c r="AF753" s="71"/>
      <c r="AG753" s="82">
        <v>0</v>
      </c>
      <c r="AH753" s="76"/>
      <c r="AI753" s="76"/>
      <c r="AJ753" s="76"/>
      <c r="AK753" s="71">
        <v>0.15</v>
      </c>
      <c r="AL753" s="88">
        <v>3.4139420030223099E-2</v>
      </c>
      <c r="AM753" s="89">
        <f t="shared" si="11"/>
        <v>0.22759613353482067</v>
      </c>
      <c r="AN753" s="78"/>
    </row>
    <row r="754" spans="1:40" x14ac:dyDescent="0.25">
      <c r="A754" t="s">
        <v>44</v>
      </c>
      <c r="B754" t="s">
        <v>45</v>
      </c>
      <c r="C754" s="121" t="s">
        <v>174</v>
      </c>
      <c r="D754" t="s">
        <v>190</v>
      </c>
      <c r="E754" t="s">
        <v>57</v>
      </c>
      <c r="F754">
        <v>3</v>
      </c>
      <c r="G754">
        <v>69</v>
      </c>
      <c r="H754" s="86">
        <v>45963.447057905098</v>
      </c>
      <c r="I754" s="86">
        <v>45963.519232488397</v>
      </c>
      <c r="J754" s="87">
        <v>1.7321899999999999</v>
      </c>
      <c r="K754" s="69" t="s">
        <v>274</v>
      </c>
      <c r="L754" s="69"/>
      <c r="M754" s="71"/>
      <c r="N754" s="71"/>
      <c r="O754" s="71"/>
      <c r="P754" s="71" t="s">
        <v>275</v>
      </c>
      <c r="Q754" s="88">
        <v>8.3481995155097896E-2</v>
      </c>
      <c r="R754" s="89" t="s">
        <v>276</v>
      </c>
      <c r="S754" s="89"/>
      <c r="T754">
        <v>10.8</v>
      </c>
      <c r="U754" s="76">
        <v>0.2</v>
      </c>
      <c r="V754">
        <v>9.6</v>
      </c>
      <c r="W754" s="90">
        <v>0.1</v>
      </c>
      <c r="X754" s="90"/>
      <c r="Y754" s="71"/>
      <c r="Z754" s="71"/>
      <c r="AA754" s="71"/>
      <c r="AB754" s="71"/>
      <c r="AC754" s="71"/>
      <c r="AD754" s="71"/>
      <c r="AE754" s="71"/>
      <c r="AF754" s="71"/>
      <c r="AG754" s="82">
        <v>0</v>
      </c>
      <c r="AH754" s="76"/>
      <c r="AI754" s="76"/>
      <c r="AJ754" s="76"/>
      <c r="AK754" s="71">
        <v>0.15</v>
      </c>
      <c r="AL754" s="88">
        <v>3.4139420030223099E-2</v>
      </c>
      <c r="AM754" s="89">
        <f t="shared" si="11"/>
        <v>0.22759613353482067</v>
      </c>
      <c r="AN754" s="78"/>
    </row>
    <row r="755" spans="1:40" x14ac:dyDescent="0.25">
      <c r="A755" t="s">
        <v>44</v>
      </c>
      <c r="B755" t="s">
        <v>45</v>
      </c>
      <c r="C755" s="121" t="s">
        <v>174</v>
      </c>
      <c r="D755" t="s">
        <v>190</v>
      </c>
      <c r="E755" t="s">
        <v>57</v>
      </c>
      <c r="F755">
        <v>3</v>
      </c>
      <c r="G755">
        <v>70</v>
      </c>
      <c r="H755" s="86">
        <v>45963.519232488397</v>
      </c>
      <c r="I755" s="86">
        <v>45963.591429953703</v>
      </c>
      <c r="J755" s="87">
        <v>1.73273916666667</v>
      </c>
      <c r="K755" s="69" t="s">
        <v>274</v>
      </c>
      <c r="L755" s="69"/>
      <c r="M755" s="71"/>
      <c r="N755" s="71"/>
      <c r="O755" s="71"/>
      <c r="P755" s="71" t="s">
        <v>275</v>
      </c>
      <c r="Q755" s="88">
        <v>5.9980378162133197E-2</v>
      </c>
      <c r="R755" s="89" t="s">
        <v>276</v>
      </c>
      <c r="S755" s="89"/>
      <c r="T755">
        <v>12.6</v>
      </c>
      <c r="U755" s="76">
        <v>0.2</v>
      </c>
      <c r="V755">
        <v>9.6999999999999993</v>
      </c>
      <c r="W755" s="90">
        <v>0.1</v>
      </c>
      <c r="X755" s="90"/>
      <c r="Y755" s="71"/>
      <c r="Z755" s="71"/>
      <c r="AA755" s="71"/>
      <c r="AB755" s="71"/>
      <c r="AC755" s="71"/>
      <c r="AD755" s="71"/>
      <c r="AE755" s="71"/>
      <c r="AF755" s="71"/>
      <c r="AG755" s="82">
        <v>0</v>
      </c>
      <c r="AH755" s="76"/>
      <c r="AI755" s="76"/>
      <c r="AJ755" s="76"/>
      <c r="AK755" s="71">
        <v>0.15</v>
      </c>
      <c r="AL755" s="88">
        <v>3.4139420030223099E-2</v>
      </c>
      <c r="AM755" s="89">
        <f t="shared" si="11"/>
        <v>0.22759613353482067</v>
      </c>
      <c r="AN755" s="78"/>
    </row>
    <row r="756" spans="1:40" x14ac:dyDescent="0.25">
      <c r="A756" t="s">
        <v>44</v>
      </c>
      <c r="B756" t="s">
        <v>45</v>
      </c>
      <c r="C756" s="121" t="s">
        <v>174</v>
      </c>
      <c r="D756" t="s">
        <v>190</v>
      </c>
      <c r="E756" t="s">
        <v>57</v>
      </c>
      <c r="F756">
        <v>3</v>
      </c>
      <c r="G756">
        <v>71</v>
      </c>
      <c r="H756" s="86">
        <v>45963.591429953703</v>
      </c>
      <c r="I756" s="86">
        <v>45963.663609004601</v>
      </c>
      <c r="J756" s="87">
        <v>1.7322972222222199</v>
      </c>
      <c r="K756" s="69" t="s">
        <v>274</v>
      </c>
      <c r="L756" s="69"/>
      <c r="M756" s="71"/>
      <c r="N756" s="71"/>
      <c r="O756" s="71"/>
      <c r="P756" s="71" t="s">
        <v>275</v>
      </c>
      <c r="Q756" s="88">
        <v>5.6303041761307099E-2</v>
      </c>
      <c r="R756" s="89" t="s">
        <v>276</v>
      </c>
      <c r="S756" s="89"/>
      <c r="T756">
        <v>12.2</v>
      </c>
      <c r="U756" s="76">
        <v>0.2</v>
      </c>
      <c r="V756">
        <v>9.9</v>
      </c>
      <c r="W756" s="90">
        <v>0.1</v>
      </c>
      <c r="X756" s="90"/>
      <c r="Y756" s="71"/>
      <c r="Z756" s="71"/>
      <c r="AA756" s="71"/>
      <c r="AB756" s="71"/>
      <c r="AC756" s="71"/>
      <c r="AD756" s="71"/>
      <c r="AE756" s="71"/>
      <c r="AF756" s="71"/>
      <c r="AG756" s="82">
        <v>0</v>
      </c>
      <c r="AH756" s="76"/>
      <c r="AI756" s="76"/>
      <c r="AJ756" s="76"/>
      <c r="AK756" s="71">
        <v>0.15</v>
      </c>
      <c r="AL756" s="88">
        <v>3.4139420030223099E-2</v>
      </c>
      <c r="AM756" s="89">
        <f t="shared" si="11"/>
        <v>0.22759613353482067</v>
      </c>
      <c r="AN756" s="78"/>
    </row>
    <row r="757" spans="1:40" x14ac:dyDescent="0.25">
      <c r="A757" t="s">
        <v>44</v>
      </c>
      <c r="B757" t="s">
        <v>45</v>
      </c>
      <c r="C757" s="121" t="s">
        <v>174</v>
      </c>
      <c r="D757" t="s">
        <v>190</v>
      </c>
      <c r="E757" t="s">
        <v>57</v>
      </c>
      <c r="F757">
        <v>3</v>
      </c>
      <c r="G757">
        <v>72</v>
      </c>
      <c r="H757" s="86">
        <v>45963.663609004601</v>
      </c>
      <c r="I757" s="86">
        <v>45963.735800277798</v>
      </c>
      <c r="J757" s="87">
        <v>1.7325905555555601</v>
      </c>
      <c r="K757" s="69" t="s">
        <v>274</v>
      </c>
      <c r="L757" s="69"/>
      <c r="M757" s="71"/>
      <c r="N757" s="71"/>
      <c r="O757" s="71"/>
      <c r="P757" s="71" t="s">
        <v>275</v>
      </c>
      <c r="Q757" s="88">
        <v>3.4637923890667499E-2</v>
      </c>
      <c r="R757" s="89" t="s">
        <v>276</v>
      </c>
      <c r="S757" s="89"/>
      <c r="T757">
        <v>9.1999999999999993</v>
      </c>
      <c r="U757" s="76">
        <v>0.2</v>
      </c>
      <c r="V757">
        <v>10.1</v>
      </c>
      <c r="W757" s="90">
        <v>0.1</v>
      </c>
      <c r="X757" s="90"/>
      <c r="Y757" s="71"/>
      <c r="Z757" s="71"/>
      <c r="AA757" s="71"/>
      <c r="AB757" s="71"/>
      <c r="AC757" s="71"/>
      <c r="AD757" s="71"/>
      <c r="AE757" s="71"/>
      <c r="AF757" s="71"/>
      <c r="AG757" s="82">
        <v>0</v>
      </c>
      <c r="AH757" s="76"/>
      <c r="AI757" s="76"/>
      <c r="AJ757" s="76"/>
      <c r="AK757" s="71">
        <v>0.15</v>
      </c>
      <c r="AL757" s="88">
        <v>3.4139420030223099E-2</v>
      </c>
      <c r="AM757" s="89">
        <f t="shared" si="11"/>
        <v>0.22759613353482067</v>
      </c>
      <c r="AN757" s="78"/>
    </row>
    <row r="758" spans="1:40" x14ac:dyDescent="0.25">
      <c r="A758" t="s">
        <v>44</v>
      </c>
      <c r="B758" t="s">
        <v>45</v>
      </c>
      <c r="C758" s="121" t="s">
        <v>174</v>
      </c>
      <c r="D758" t="s">
        <v>190</v>
      </c>
      <c r="E758" t="s">
        <v>57</v>
      </c>
      <c r="F758">
        <v>3</v>
      </c>
      <c r="G758">
        <v>73</v>
      </c>
      <c r="H758" s="86">
        <v>45963.735800277798</v>
      </c>
      <c r="I758" s="86">
        <v>45963.807966412001</v>
      </c>
      <c r="J758" s="87">
        <v>1.7319872222222199</v>
      </c>
      <c r="K758" s="69" t="s">
        <v>274</v>
      </c>
      <c r="L758" s="69"/>
      <c r="M758" s="71"/>
      <c r="N758" s="71"/>
      <c r="O758" s="71"/>
      <c r="P758" s="71" t="s">
        <v>275</v>
      </c>
      <c r="Q758" s="88">
        <v>7.9387961703214008E-3</v>
      </c>
      <c r="R758" s="89" t="s">
        <v>276</v>
      </c>
      <c r="S758" s="89"/>
      <c r="T758">
        <v>5</v>
      </c>
      <c r="U758" s="76">
        <v>0.2</v>
      </c>
      <c r="V758">
        <v>10.1</v>
      </c>
      <c r="W758" s="90">
        <v>0.1</v>
      </c>
      <c r="X758" s="90"/>
      <c r="Y758" s="71"/>
      <c r="Z758" s="71"/>
      <c r="AA758" s="71"/>
      <c r="AB758" s="71"/>
      <c r="AC758" s="71"/>
      <c r="AD758" s="71"/>
      <c r="AE758" s="71"/>
      <c r="AF758" s="71"/>
      <c r="AG758" s="82">
        <v>0</v>
      </c>
      <c r="AH758" s="76"/>
      <c r="AI758" s="76"/>
      <c r="AJ758" s="76"/>
      <c r="AK758" s="71">
        <v>0.15</v>
      </c>
      <c r="AL758" s="88">
        <v>3.4139420030223099E-2</v>
      </c>
      <c r="AM758" s="89">
        <f t="shared" si="11"/>
        <v>0.22759613353482067</v>
      </c>
      <c r="AN758" s="78"/>
    </row>
    <row r="759" spans="1:40" x14ac:dyDescent="0.25">
      <c r="A759" t="s">
        <v>44</v>
      </c>
      <c r="B759" t="s">
        <v>45</v>
      </c>
      <c r="C759" s="121" t="s">
        <v>174</v>
      </c>
      <c r="D759" t="s">
        <v>190</v>
      </c>
      <c r="E759" t="s">
        <v>57</v>
      </c>
      <c r="F759">
        <v>3</v>
      </c>
      <c r="G759">
        <v>74</v>
      </c>
      <c r="H759" s="86">
        <v>45963.807966412001</v>
      </c>
      <c r="I759" s="86">
        <v>45963.880171782403</v>
      </c>
      <c r="J759" s="87">
        <v>1.7329288888888901</v>
      </c>
      <c r="K759" s="69" t="s">
        <v>274</v>
      </c>
      <c r="L759" s="69"/>
      <c r="M759" s="71"/>
      <c r="N759" s="71"/>
      <c r="O759" s="71"/>
      <c r="P759" s="71" t="s">
        <v>275</v>
      </c>
      <c r="Q759" s="88">
        <v>6.0743071715895196E-3</v>
      </c>
      <c r="R759" s="89" t="s">
        <v>276</v>
      </c>
      <c r="S759" s="89"/>
      <c r="T759">
        <v>5.8</v>
      </c>
      <c r="U759" s="76">
        <v>0.2</v>
      </c>
      <c r="V759">
        <v>10</v>
      </c>
      <c r="W759" s="90">
        <v>0.1</v>
      </c>
      <c r="X759" s="90"/>
      <c r="Y759" s="71"/>
      <c r="Z759" s="71"/>
      <c r="AA759" s="71"/>
      <c r="AB759" s="71"/>
      <c r="AC759" s="71"/>
      <c r="AD759" s="71"/>
      <c r="AE759" s="71"/>
      <c r="AF759" s="71"/>
      <c r="AG759" s="82">
        <v>0</v>
      </c>
      <c r="AH759" s="76"/>
      <c r="AI759" s="76"/>
      <c r="AJ759" s="76"/>
      <c r="AK759" s="71">
        <v>0.15</v>
      </c>
      <c r="AL759" s="88">
        <v>3.4139420030223099E-2</v>
      </c>
      <c r="AM759" s="89">
        <f t="shared" si="11"/>
        <v>0.22759613353482067</v>
      </c>
      <c r="AN759" s="78"/>
    </row>
    <row r="760" spans="1:40" x14ac:dyDescent="0.25">
      <c r="A760" t="s">
        <v>44</v>
      </c>
      <c r="B760" t="s">
        <v>45</v>
      </c>
      <c r="C760" s="121" t="s">
        <v>174</v>
      </c>
      <c r="D760" t="s">
        <v>190</v>
      </c>
      <c r="E760" t="s">
        <v>57</v>
      </c>
      <c r="F760">
        <v>3</v>
      </c>
      <c r="G760">
        <v>75</v>
      </c>
      <c r="H760" s="86">
        <v>45963.880171782403</v>
      </c>
      <c r="I760" s="86">
        <v>45963.952337754599</v>
      </c>
      <c r="J760" s="87">
        <v>1.7319833333333301</v>
      </c>
      <c r="K760" s="69" t="s">
        <v>274</v>
      </c>
      <c r="L760" s="69"/>
      <c r="M760" s="71"/>
      <c r="N760" s="71"/>
      <c r="O760" s="71"/>
      <c r="P760" s="71" t="s">
        <v>275</v>
      </c>
      <c r="Q760" s="88">
        <v>4.6455497516993604E-3</v>
      </c>
      <c r="R760" s="89" t="s">
        <v>276</v>
      </c>
      <c r="S760" s="89"/>
      <c r="T760">
        <v>7.2</v>
      </c>
      <c r="U760" s="76">
        <v>0.2</v>
      </c>
      <c r="V760">
        <v>9.8000000000000007</v>
      </c>
      <c r="W760" s="90">
        <v>0.1</v>
      </c>
      <c r="X760" s="90"/>
      <c r="Y760" s="71"/>
      <c r="Z760" s="71"/>
      <c r="AA760" s="71"/>
      <c r="AB760" s="71"/>
      <c r="AC760" s="71"/>
      <c r="AD760" s="71"/>
      <c r="AE760" s="71"/>
      <c r="AF760" s="71"/>
      <c r="AG760" s="82">
        <v>0</v>
      </c>
      <c r="AH760" s="76"/>
      <c r="AI760" s="76"/>
      <c r="AJ760" s="76"/>
      <c r="AK760" s="71">
        <v>0.15</v>
      </c>
      <c r="AL760" s="88">
        <v>3.4139420030223099E-2</v>
      </c>
      <c r="AM760" s="89">
        <f t="shared" si="11"/>
        <v>0.22759613353482067</v>
      </c>
      <c r="AN760" s="78"/>
    </row>
    <row r="761" spans="1:40" x14ac:dyDescent="0.25">
      <c r="A761" t="s">
        <v>44</v>
      </c>
      <c r="B761" t="s">
        <v>45</v>
      </c>
      <c r="C761" s="121" t="s">
        <v>174</v>
      </c>
      <c r="D761" t="s">
        <v>190</v>
      </c>
      <c r="E761" t="s">
        <v>57</v>
      </c>
      <c r="F761">
        <v>3</v>
      </c>
      <c r="G761">
        <v>76</v>
      </c>
      <c r="H761" s="86">
        <v>45963.952337754599</v>
      </c>
      <c r="I761" s="86">
        <v>45964.0245290741</v>
      </c>
      <c r="J761" s="87">
        <v>1.7325916666666701</v>
      </c>
      <c r="K761" s="69" t="s">
        <v>274</v>
      </c>
      <c r="L761" s="69"/>
      <c r="M761" s="71"/>
      <c r="N761" s="71"/>
      <c r="O761" s="71"/>
      <c r="P761" s="71" t="s">
        <v>275</v>
      </c>
      <c r="Q761" s="88">
        <v>4.2696051602471603E-3</v>
      </c>
      <c r="R761" s="89" t="s">
        <v>276</v>
      </c>
      <c r="S761" s="89"/>
      <c r="T761">
        <v>6.6</v>
      </c>
      <c r="U761" s="76">
        <v>0.2</v>
      </c>
      <c r="V761">
        <v>9.6999999999999993</v>
      </c>
      <c r="W761" s="90">
        <v>0.1</v>
      </c>
      <c r="X761" s="90"/>
      <c r="Y761" s="71"/>
      <c r="Z761" s="71"/>
      <c r="AA761" s="71"/>
      <c r="AB761" s="71"/>
      <c r="AC761" s="71"/>
      <c r="AD761" s="71"/>
      <c r="AE761" s="71"/>
      <c r="AF761" s="71"/>
      <c r="AG761" s="82">
        <v>0</v>
      </c>
      <c r="AH761" s="76"/>
      <c r="AI761" s="76"/>
      <c r="AJ761" s="76"/>
      <c r="AK761" s="71">
        <v>0.15</v>
      </c>
      <c r="AL761" s="88">
        <v>3.4139420030223099E-2</v>
      </c>
      <c r="AM761" s="89">
        <f t="shared" si="11"/>
        <v>0.22759613353482067</v>
      </c>
      <c r="AN761" s="78"/>
    </row>
    <row r="762" spans="1:40" x14ac:dyDescent="0.25">
      <c r="A762" t="s">
        <v>44</v>
      </c>
      <c r="B762" t="s">
        <v>45</v>
      </c>
      <c r="C762" s="121" t="s">
        <v>174</v>
      </c>
      <c r="D762" t="s">
        <v>190</v>
      </c>
      <c r="E762" t="s">
        <v>57</v>
      </c>
      <c r="F762">
        <v>3</v>
      </c>
      <c r="G762">
        <v>77</v>
      </c>
      <c r="H762" s="86">
        <v>45964.0245290741</v>
      </c>
      <c r="I762" s="86">
        <v>45964.096714328698</v>
      </c>
      <c r="J762" s="87">
        <v>1.73244611111111</v>
      </c>
      <c r="K762" s="69" t="s">
        <v>274</v>
      </c>
      <c r="L762" s="69"/>
      <c r="M762" s="71"/>
      <c r="N762" s="71"/>
      <c r="O762" s="71"/>
      <c r="P762" s="71" t="s">
        <v>275</v>
      </c>
      <c r="Q762" s="88">
        <v>6.3125680135825701E-3</v>
      </c>
      <c r="R762" s="89" t="s">
        <v>276</v>
      </c>
      <c r="S762" s="89"/>
      <c r="T762">
        <v>6.9</v>
      </c>
      <c r="U762" s="76">
        <v>0.2</v>
      </c>
      <c r="V762">
        <v>9.5</v>
      </c>
      <c r="W762" s="90">
        <v>0.1</v>
      </c>
      <c r="X762" s="90"/>
      <c r="Y762" s="71"/>
      <c r="Z762" s="71"/>
      <c r="AA762" s="71"/>
      <c r="AB762" s="71"/>
      <c r="AC762" s="71"/>
      <c r="AD762" s="71"/>
      <c r="AE762" s="71"/>
      <c r="AF762" s="71"/>
      <c r="AG762" s="82">
        <v>0</v>
      </c>
      <c r="AH762" s="76"/>
      <c r="AI762" s="76"/>
      <c r="AJ762" s="76"/>
      <c r="AK762" s="71">
        <v>0.15</v>
      </c>
      <c r="AL762" s="88">
        <v>3.4139420030223099E-2</v>
      </c>
      <c r="AM762" s="89">
        <f t="shared" si="11"/>
        <v>0.22759613353482067</v>
      </c>
      <c r="AN762" s="78"/>
    </row>
    <row r="763" spans="1:40" x14ac:dyDescent="0.25">
      <c r="A763" t="s">
        <v>44</v>
      </c>
      <c r="B763" t="s">
        <v>45</v>
      </c>
      <c r="C763" s="121" t="s">
        <v>174</v>
      </c>
      <c r="D763" t="s">
        <v>190</v>
      </c>
      <c r="E763" t="s">
        <v>57</v>
      </c>
      <c r="F763">
        <v>3</v>
      </c>
      <c r="G763">
        <v>78</v>
      </c>
      <c r="H763" s="86">
        <v>45964.096714328698</v>
      </c>
      <c r="I763" s="86">
        <v>45964.168894745402</v>
      </c>
      <c r="J763" s="87">
        <v>1.7323299999999999</v>
      </c>
      <c r="K763" s="69" t="s">
        <v>274</v>
      </c>
      <c r="L763" s="69"/>
      <c r="M763" s="71"/>
      <c r="N763" s="71"/>
      <c r="O763" s="71"/>
      <c r="P763" s="71" t="s">
        <v>275</v>
      </c>
      <c r="Q763" s="88">
        <v>6.5681351717675899E-3</v>
      </c>
      <c r="R763" s="89" t="s">
        <v>276</v>
      </c>
      <c r="S763" s="89"/>
      <c r="T763">
        <v>6.7</v>
      </c>
      <c r="U763" s="76">
        <v>0.2</v>
      </c>
      <c r="V763">
        <v>9.5</v>
      </c>
      <c r="W763" s="90">
        <v>0.1</v>
      </c>
      <c r="X763" s="90"/>
      <c r="Y763" s="71"/>
      <c r="Z763" s="71"/>
      <c r="AA763" s="71"/>
      <c r="AB763" s="71"/>
      <c r="AC763" s="71"/>
      <c r="AD763" s="71"/>
      <c r="AE763" s="71"/>
      <c r="AF763" s="71"/>
      <c r="AG763" s="82">
        <v>0</v>
      </c>
      <c r="AH763" s="76"/>
      <c r="AI763" s="76"/>
      <c r="AJ763" s="76"/>
      <c r="AK763" s="71">
        <v>0.15</v>
      </c>
      <c r="AL763" s="88">
        <v>3.4139420030223099E-2</v>
      </c>
      <c r="AM763" s="89">
        <f t="shared" si="11"/>
        <v>0.22759613353482067</v>
      </c>
      <c r="AN763" s="78"/>
    </row>
    <row r="764" spans="1:40" x14ac:dyDescent="0.25">
      <c r="A764" t="s">
        <v>44</v>
      </c>
      <c r="B764" t="s">
        <v>45</v>
      </c>
      <c r="C764" s="121" t="s">
        <v>174</v>
      </c>
      <c r="D764" t="s">
        <v>190</v>
      </c>
      <c r="E764" t="s">
        <v>57</v>
      </c>
      <c r="F764">
        <v>3</v>
      </c>
      <c r="G764">
        <v>79</v>
      </c>
      <c r="H764" s="86">
        <v>45964.168894745402</v>
      </c>
      <c r="I764" s="86">
        <v>45964.241075173602</v>
      </c>
      <c r="J764" s="87">
        <v>1.73233027777778</v>
      </c>
      <c r="K764" s="69" t="s">
        <v>274</v>
      </c>
      <c r="L764" s="69"/>
      <c r="M764" s="71"/>
      <c r="N764" s="71"/>
      <c r="O764" s="71"/>
      <c r="P764" s="71" t="s">
        <v>275</v>
      </c>
      <c r="Q764" s="88">
        <v>5.4608627360467699E-3</v>
      </c>
      <c r="R764" s="89" t="s">
        <v>276</v>
      </c>
      <c r="S764" s="89"/>
      <c r="T764">
        <v>6.1</v>
      </c>
      <c r="U764" s="76">
        <v>0.2</v>
      </c>
      <c r="V764">
        <v>9.4</v>
      </c>
      <c r="W764" s="90">
        <v>0.1</v>
      </c>
      <c r="X764" s="90"/>
      <c r="Y764" s="71"/>
      <c r="Z764" s="71"/>
      <c r="AA764" s="71"/>
      <c r="AB764" s="71"/>
      <c r="AC764" s="71"/>
      <c r="AD764" s="71"/>
      <c r="AE764" s="71"/>
      <c r="AF764" s="71"/>
      <c r="AG764" s="82">
        <v>0</v>
      </c>
      <c r="AH764" s="76"/>
      <c r="AI764" s="76"/>
      <c r="AJ764" s="76"/>
      <c r="AK764" s="71">
        <v>0.15</v>
      </c>
      <c r="AL764" s="88">
        <v>3.4139420030223099E-2</v>
      </c>
      <c r="AM764" s="89">
        <f t="shared" si="11"/>
        <v>0.22759613353482067</v>
      </c>
      <c r="AN764" s="78"/>
    </row>
    <row r="765" spans="1:40" x14ac:dyDescent="0.25">
      <c r="A765" t="s">
        <v>44</v>
      </c>
      <c r="B765" t="s">
        <v>45</v>
      </c>
      <c r="C765" s="121" t="s">
        <v>174</v>
      </c>
      <c r="D765" t="s">
        <v>190</v>
      </c>
      <c r="E765" t="s">
        <v>57</v>
      </c>
      <c r="F765">
        <v>3</v>
      </c>
      <c r="G765">
        <v>80</v>
      </c>
      <c r="H765" s="86">
        <v>45964.241075173602</v>
      </c>
      <c r="I765" s="86">
        <v>45964.313273182903</v>
      </c>
      <c r="J765" s="87">
        <v>1.73275222222222</v>
      </c>
      <c r="K765" s="69" t="s">
        <v>274</v>
      </c>
      <c r="L765" s="69"/>
      <c r="M765" s="71"/>
      <c r="N765" s="71"/>
      <c r="O765" s="71"/>
      <c r="P765" s="71" t="s">
        <v>275</v>
      </c>
      <c r="Q765" s="88">
        <v>6.7912658285896902E-3</v>
      </c>
      <c r="R765" s="89" t="s">
        <v>276</v>
      </c>
      <c r="S765" s="89"/>
      <c r="T765">
        <v>6.6</v>
      </c>
      <c r="U765" s="76">
        <v>0.2</v>
      </c>
      <c r="V765">
        <v>9.3000000000000007</v>
      </c>
      <c r="W765" s="90">
        <v>0.1</v>
      </c>
      <c r="X765" s="90"/>
      <c r="Y765" s="71"/>
      <c r="Z765" s="71"/>
      <c r="AA765" s="71"/>
      <c r="AB765" s="71"/>
      <c r="AC765" s="71"/>
      <c r="AD765" s="71"/>
      <c r="AE765" s="71"/>
      <c r="AF765" s="71"/>
      <c r="AG765" s="82">
        <v>0</v>
      </c>
      <c r="AH765" s="76"/>
      <c r="AI765" s="76"/>
      <c r="AJ765" s="76"/>
      <c r="AK765" s="71">
        <v>0.15</v>
      </c>
      <c r="AL765" s="88">
        <v>3.4139420030223099E-2</v>
      </c>
      <c r="AM765" s="89">
        <f t="shared" si="11"/>
        <v>0.22759613353482067</v>
      </c>
      <c r="AN765" s="78"/>
    </row>
    <row r="766" spans="1:40" x14ac:dyDescent="0.25">
      <c r="A766" t="s">
        <v>44</v>
      </c>
      <c r="B766" t="s">
        <v>45</v>
      </c>
      <c r="C766" s="121" t="s">
        <v>174</v>
      </c>
      <c r="D766" t="s">
        <v>190</v>
      </c>
      <c r="E766" t="s">
        <v>57</v>
      </c>
      <c r="F766">
        <v>3</v>
      </c>
      <c r="G766">
        <v>81</v>
      </c>
      <c r="H766" s="86">
        <v>45964.313273182903</v>
      </c>
      <c r="I766" s="86">
        <v>45964.385455914402</v>
      </c>
      <c r="J766" s="87">
        <v>1.7323855555555601</v>
      </c>
      <c r="K766" s="69" t="s">
        <v>274</v>
      </c>
      <c r="L766" s="69"/>
      <c r="M766" s="71"/>
      <c r="N766" s="71"/>
      <c r="O766" s="71"/>
      <c r="P766" s="71" t="s">
        <v>275</v>
      </c>
      <c r="Q766" s="88">
        <v>4.2645157906968396E-3</v>
      </c>
      <c r="R766" s="89" t="s">
        <v>276</v>
      </c>
      <c r="S766" s="89"/>
      <c r="T766">
        <v>6</v>
      </c>
      <c r="U766" s="76">
        <v>0.2</v>
      </c>
      <c r="V766">
        <v>9.1999999999999993</v>
      </c>
      <c r="W766" s="90">
        <v>0.1</v>
      </c>
      <c r="X766" s="90"/>
      <c r="Y766" s="71"/>
      <c r="Z766" s="71"/>
      <c r="AA766" s="71"/>
      <c r="AB766" s="71"/>
      <c r="AC766" s="71"/>
      <c r="AD766" s="71"/>
      <c r="AE766" s="71"/>
      <c r="AF766" s="71"/>
      <c r="AG766" s="82">
        <v>0</v>
      </c>
      <c r="AH766" s="76"/>
      <c r="AI766" s="76"/>
      <c r="AJ766" s="76"/>
      <c r="AK766" s="71">
        <v>0.15</v>
      </c>
      <c r="AL766" s="88">
        <v>3.4139420030223099E-2</v>
      </c>
      <c r="AM766" s="89">
        <f t="shared" si="11"/>
        <v>0.22759613353482067</v>
      </c>
      <c r="AN766" s="78"/>
    </row>
    <row r="767" spans="1:40" x14ac:dyDescent="0.25">
      <c r="A767" t="s">
        <v>44</v>
      </c>
      <c r="B767" t="s">
        <v>45</v>
      </c>
      <c r="C767" s="121" t="s">
        <v>174</v>
      </c>
      <c r="D767" t="s">
        <v>190</v>
      </c>
      <c r="E767" t="s">
        <v>57</v>
      </c>
      <c r="F767">
        <v>3</v>
      </c>
      <c r="G767">
        <v>82</v>
      </c>
      <c r="H767" s="86">
        <v>45964.385455914402</v>
      </c>
      <c r="I767" s="86">
        <v>45964.457632303202</v>
      </c>
      <c r="J767" s="87">
        <v>1.73223333333333</v>
      </c>
      <c r="K767" s="69" t="s">
        <v>274</v>
      </c>
      <c r="L767" s="69"/>
      <c r="M767" s="71"/>
      <c r="N767" s="71"/>
      <c r="O767" s="71"/>
      <c r="P767" s="71" t="s">
        <v>275</v>
      </c>
      <c r="Q767" s="88">
        <v>2.95598968508663E-2</v>
      </c>
      <c r="R767" s="89" t="s">
        <v>276</v>
      </c>
      <c r="S767" s="89"/>
      <c r="T767">
        <v>7.9</v>
      </c>
      <c r="U767" s="76">
        <v>0.2</v>
      </c>
      <c r="V767">
        <v>9.1999999999999993</v>
      </c>
      <c r="W767" s="90">
        <v>0.1</v>
      </c>
      <c r="X767" s="90"/>
      <c r="Y767" s="71"/>
      <c r="Z767" s="71"/>
      <c r="AA767" s="71"/>
      <c r="AB767" s="71"/>
      <c r="AC767" s="71"/>
      <c r="AD767" s="71"/>
      <c r="AE767" s="71"/>
      <c r="AF767" s="71"/>
      <c r="AG767" s="82">
        <v>0</v>
      </c>
      <c r="AH767" s="76"/>
      <c r="AI767" s="76"/>
      <c r="AJ767" s="76"/>
      <c r="AK767" s="71">
        <v>0.15</v>
      </c>
      <c r="AL767" s="88">
        <v>3.4139420030223099E-2</v>
      </c>
      <c r="AM767" s="89">
        <f t="shared" si="11"/>
        <v>0.22759613353482067</v>
      </c>
      <c r="AN767" s="78"/>
    </row>
    <row r="768" spans="1:40" x14ac:dyDescent="0.25">
      <c r="A768" t="s">
        <v>44</v>
      </c>
      <c r="B768" t="s">
        <v>45</v>
      </c>
      <c r="C768" s="121" t="s">
        <v>174</v>
      </c>
      <c r="D768" t="s">
        <v>190</v>
      </c>
      <c r="E768" t="s">
        <v>57</v>
      </c>
      <c r="F768">
        <v>3</v>
      </c>
      <c r="G768">
        <v>83</v>
      </c>
      <c r="H768" s="86">
        <v>45964.457632303202</v>
      </c>
      <c r="I768" s="86">
        <v>45964.529813182897</v>
      </c>
      <c r="J768" s="87">
        <v>1.73234111111111</v>
      </c>
      <c r="K768" s="69" t="s">
        <v>274</v>
      </c>
      <c r="L768" s="69"/>
      <c r="M768" s="71"/>
      <c r="N768" s="71"/>
      <c r="O768" s="71"/>
      <c r="P768" s="71" t="s">
        <v>275</v>
      </c>
      <c r="Q768" s="88">
        <v>4.4116765111009003E-2</v>
      </c>
      <c r="R768" s="89" t="s">
        <v>276</v>
      </c>
      <c r="S768" s="89"/>
      <c r="T768">
        <v>10.4</v>
      </c>
      <c r="U768" s="76">
        <v>0.2</v>
      </c>
      <c r="V768">
        <v>9.1999999999999993</v>
      </c>
      <c r="W768" s="90">
        <v>0.1</v>
      </c>
      <c r="X768" s="90"/>
      <c r="Y768" s="71"/>
      <c r="Z768" s="71"/>
      <c r="AA768" s="71"/>
      <c r="AB768" s="71"/>
      <c r="AC768" s="71"/>
      <c r="AD768" s="71"/>
      <c r="AE768" s="71"/>
      <c r="AF768" s="71"/>
      <c r="AG768" s="82">
        <v>0</v>
      </c>
      <c r="AH768" s="76"/>
      <c r="AI768" s="76"/>
      <c r="AJ768" s="76"/>
      <c r="AK768" s="71">
        <v>0.15</v>
      </c>
      <c r="AL768" s="88">
        <v>3.4139420030223099E-2</v>
      </c>
      <c r="AM768" s="89">
        <f t="shared" si="11"/>
        <v>0.22759613353482067</v>
      </c>
      <c r="AN768" s="78"/>
    </row>
    <row r="769" spans="1:40" x14ac:dyDescent="0.25">
      <c r="A769" t="s">
        <v>44</v>
      </c>
      <c r="B769" t="s">
        <v>45</v>
      </c>
      <c r="C769" s="121" t="s">
        <v>174</v>
      </c>
      <c r="D769" t="s">
        <v>190</v>
      </c>
      <c r="E769" t="s">
        <v>57</v>
      </c>
      <c r="F769">
        <v>3</v>
      </c>
      <c r="G769">
        <v>84</v>
      </c>
      <c r="H769" s="86">
        <v>45964.529813182897</v>
      </c>
      <c r="I769" s="86">
        <v>45964.602008518501</v>
      </c>
      <c r="J769" s="87">
        <v>1.7326880555555599</v>
      </c>
      <c r="K769" s="69" t="s">
        <v>274</v>
      </c>
      <c r="L769" s="69"/>
      <c r="M769" s="71"/>
      <c r="N769" s="71"/>
      <c r="O769" s="71"/>
      <c r="P769" s="71" t="s">
        <v>275</v>
      </c>
      <c r="Q769" s="88">
        <v>4.7110622343766999E-2</v>
      </c>
      <c r="R769" s="89" t="s">
        <v>276</v>
      </c>
      <c r="S769" s="89"/>
      <c r="T769">
        <v>10.6</v>
      </c>
      <c r="U769" s="76">
        <v>0.2</v>
      </c>
      <c r="V769">
        <v>9.3000000000000007</v>
      </c>
      <c r="W769" s="90">
        <v>0.1</v>
      </c>
      <c r="X769" s="90"/>
      <c r="Y769" s="71"/>
      <c r="Z769" s="71"/>
      <c r="AA769" s="71"/>
      <c r="AB769" s="71"/>
      <c r="AC769" s="71"/>
      <c r="AD769" s="71"/>
      <c r="AE769" s="71"/>
      <c r="AF769" s="71"/>
      <c r="AG769" s="82">
        <v>0</v>
      </c>
      <c r="AH769" s="76"/>
      <c r="AI769" s="76"/>
      <c r="AJ769" s="76"/>
      <c r="AK769" s="71">
        <v>0.15</v>
      </c>
      <c r="AL769" s="88">
        <v>3.4139420030223099E-2</v>
      </c>
      <c r="AM769" s="89">
        <f t="shared" si="11"/>
        <v>0.22759613353482067</v>
      </c>
      <c r="AN769" s="78"/>
    </row>
    <row r="770" spans="1:40" x14ac:dyDescent="0.25">
      <c r="A770" t="s">
        <v>44</v>
      </c>
      <c r="B770" t="s">
        <v>45</v>
      </c>
      <c r="C770" s="121" t="s">
        <v>174</v>
      </c>
      <c r="D770" t="s">
        <v>190</v>
      </c>
      <c r="E770" t="s">
        <v>57</v>
      </c>
      <c r="F770">
        <v>3</v>
      </c>
      <c r="G770">
        <v>85</v>
      </c>
      <c r="H770" s="86">
        <v>45964.602008518501</v>
      </c>
      <c r="I770" s="86">
        <v>45964.6741788773</v>
      </c>
      <c r="J770" s="87">
        <v>1.73208861111111</v>
      </c>
      <c r="K770" s="69" t="s">
        <v>274</v>
      </c>
      <c r="L770" s="69"/>
      <c r="M770" s="71"/>
      <c r="N770" s="71"/>
      <c r="O770" s="71"/>
      <c r="P770" s="71" t="s">
        <v>275</v>
      </c>
      <c r="Q770" s="88">
        <v>1.75484205985579E-2</v>
      </c>
      <c r="R770" s="89" t="s">
        <v>276</v>
      </c>
      <c r="S770" s="89"/>
      <c r="T770">
        <v>10.1</v>
      </c>
      <c r="U770" s="76">
        <v>0.2</v>
      </c>
      <c r="V770">
        <v>9.4</v>
      </c>
      <c r="W770" s="90">
        <v>0.1</v>
      </c>
      <c r="X770" s="90"/>
      <c r="Y770" s="71"/>
      <c r="Z770" s="71"/>
      <c r="AA770" s="71"/>
      <c r="AB770" s="71"/>
      <c r="AC770" s="71"/>
      <c r="AD770" s="71"/>
      <c r="AE770" s="71"/>
      <c r="AF770" s="71"/>
      <c r="AG770" s="82">
        <v>0.3</v>
      </c>
      <c r="AH770" s="76"/>
      <c r="AI770" s="76"/>
      <c r="AJ770" s="76"/>
      <c r="AK770" s="71">
        <v>0.15</v>
      </c>
      <c r="AL770" s="88">
        <v>3.4139420030223099E-2</v>
      </c>
      <c r="AM770" s="89">
        <f t="shared" si="11"/>
        <v>0.22759613353482067</v>
      </c>
      <c r="AN770" s="78"/>
    </row>
    <row r="771" spans="1:40" x14ac:dyDescent="0.25">
      <c r="A771" t="s">
        <v>44</v>
      </c>
      <c r="B771" t="s">
        <v>45</v>
      </c>
      <c r="C771" s="121" t="s">
        <v>174</v>
      </c>
      <c r="D771" t="s">
        <v>190</v>
      </c>
      <c r="E771" t="s">
        <v>57</v>
      </c>
      <c r="F771">
        <v>3</v>
      </c>
      <c r="G771">
        <v>86</v>
      </c>
      <c r="H771" s="86">
        <v>45964.6741788773</v>
      </c>
      <c r="I771" s="86">
        <v>45964.7463725579</v>
      </c>
      <c r="J771" s="87">
        <v>1.73264833333333</v>
      </c>
      <c r="K771" s="69" t="s">
        <v>274</v>
      </c>
      <c r="L771" s="69"/>
      <c r="M771" s="71"/>
      <c r="N771" s="71"/>
      <c r="O771" s="71"/>
      <c r="P771" s="71" t="s">
        <v>275</v>
      </c>
      <c r="Q771" s="88">
        <v>7.4590194084316799E-3</v>
      </c>
      <c r="R771" s="89" t="s">
        <v>276</v>
      </c>
      <c r="S771" s="89"/>
      <c r="T771">
        <v>9.3000000000000007</v>
      </c>
      <c r="U771" s="76">
        <v>0.2</v>
      </c>
      <c r="V771">
        <v>9.6</v>
      </c>
      <c r="W771" s="90">
        <v>0.1</v>
      </c>
      <c r="X771" s="90"/>
      <c r="Y771" s="71"/>
      <c r="Z771" s="71"/>
      <c r="AA771" s="71"/>
      <c r="AB771" s="71"/>
      <c r="AC771" s="71"/>
      <c r="AD771" s="71"/>
      <c r="AE771" s="71"/>
      <c r="AF771" s="71"/>
      <c r="AG771" s="82">
        <v>0.3</v>
      </c>
      <c r="AH771" s="76"/>
      <c r="AI771" s="76"/>
      <c r="AJ771" s="76"/>
      <c r="AK771" s="71">
        <v>0.15</v>
      </c>
      <c r="AL771" s="88">
        <v>3.4139420030223099E-2</v>
      </c>
      <c r="AM771" s="89">
        <f t="shared" si="11"/>
        <v>0.22759613353482067</v>
      </c>
      <c r="AN771" s="78"/>
    </row>
    <row r="772" spans="1:40" x14ac:dyDescent="0.25">
      <c r="A772" t="s">
        <v>44</v>
      </c>
      <c r="B772" t="s">
        <v>45</v>
      </c>
      <c r="C772" s="121" t="s">
        <v>174</v>
      </c>
      <c r="D772" t="s">
        <v>190</v>
      </c>
      <c r="E772" t="s">
        <v>57</v>
      </c>
      <c r="F772">
        <v>3</v>
      </c>
      <c r="G772">
        <v>87</v>
      </c>
      <c r="H772" s="86">
        <v>45964.7463725579</v>
      </c>
      <c r="I772" s="86">
        <v>45964.8185522454</v>
      </c>
      <c r="J772" s="87">
        <v>1.7323124999999999</v>
      </c>
      <c r="K772" s="69" t="s">
        <v>274</v>
      </c>
      <c r="L772" s="69"/>
      <c r="M772" s="71"/>
      <c r="N772" s="71"/>
      <c r="O772" s="71"/>
      <c r="P772" s="71" t="s">
        <v>275</v>
      </c>
      <c r="Q772" s="88">
        <v>5.5331804810491098E-3</v>
      </c>
      <c r="R772" s="89" t="s">
        <v>276</v>
      </c>
      <c r="S772" s="89"/>
      <c r="T772">
        <v>9.8000000000000007</v>
      </c>
      <c r="U772" s="76">
        <v>0.2</v>
      </c>
      <c r="V772">
        <v>9.6</v>
      </c>
      <c r="W772" s="90">
        <v>0.1</v>
      </c>
      <c r="X772" s="90"/>
      <c r="Y772" s="71"/>
      <c r="Z772" s="71"/>
      <c r="AA772" s="71"/>
      <c r="AB772" s="71"/>
      <c r="AC772" s="71"/>
      <c r="AD772" s="71"/>
      <c r="AE772" s="71"/>
      <c r="AF772" s="71"/>
      <c r="AG772" s="82">
        <v>0.1</v>
      </c>
      <c r="AH772" s="76"/>
      <c r="AI772" s="76"/>
      <c r="AJ772" s="76"/>
      <c r="AK772" s="71">
        <v>0.15</v>
      </c>
      <c r="AL772" s="88">
        <v>3.4139420030223099E-2</v>
      </c>
      <c r="AM772" s="89">
        <f t="shared" si="11"/>
        <v>0.22759613353482067</v>
      </c>
      <c r="AN772" s="78"/>
    </row>
    <row r="773" spans="1:40" x14ac:dyDescent="0.25">
      <c r="A773" t="s">
        <v>44</v>
      </c>
      <c r="B773" t="s">
        <v>45</v>
      </c>
      <c r="C773" s="121" t="s">
        <v>174</v>
      </c>
      <c r="D773" t="s">
        <v>190</v>
      </c>
      <c r="E773" t="s">
        <v>57</v>
      </c>
      <c r="F773">
        <v>3</v>
      </c>
      <c r="G773">
        <v>88</v>
      </c>
      <c r="H773" s="86">
        <v>45964.8185522454</v>
      </c>
      <c r="I773" s="86">
        <v>45964.890738333299</v>
      </c>
      <c r="J773" s="87">
        <v>1.7324661111111099</v>
      </c>
      <c r="K773" s="69" t="s">
        <v>274</v>
      </c>
      <c r="L773" s="69"/>
      <c r="M773" s="71"/>
      <c r="N773" s="71"/>
      <c r="O773" s="71"/>
      <c r="P773" s="71" t="s">
        <v>275</v>
      </c>
      <c r="Q773" s="88">
        <v>5.1590083155522897E-3</v>
      </c>
      <c r="R773" s="89" t="s">
        <v>276</v>
      </c>
      <c r="S773" s="89"/>
      <c r="T773">
        <v>10.9</v>
      </c>
      <c r="U773" s="76">
        <v>0.2</v>
      </c>
      <c r="V773">
        <v>9.6999999999999993</v>
      </c>
      <c r="W773" s="90">
        <v>0.1</v>
      </c>
      <c r="X773" s="90"/>
      <c r="Y773" s="71"/>
      <c r="Z773" s="71"/>
      <c r="AA773" s="71"/>
      <c r="AB773" s="71"/>
      <c r="AC773" s="71"/>
      <c r="AD773" s="71"/>
      <c r="AE773" s="71"/>
      <c r="AF773" s="71"/>
      <c r="AG773" s="82">
        <v>0.1</v>
      </c>
      <c r="AH773" s="76"/>
      <c r="AI773" s="76"/>
      <c r="AJ773" s="76"/>
      <c r="AK773" s="71">
        <v>0.15</v>
      </c>
      <c r="AL773" s="88">
        <v>3.4139420030223099E-2</v>
      </c>
      <c r="AM773" s="89">
        <f t="shared" ref="AM773:AM836" si="12">AL773/AK773</f>
        <v>0.22759613353482067</v>
      </c>
      <c r="AN773" s="78"/>
    </row>
    <row r="774" spans="1:40" x14ac:dyDescent="0.25">
      <c r="A774" t="s">
        <v>44</v>
      </c>
      <c r="B774" t="s">
        <v>45</v>
      </c>
      <c r="C774" s="121" t="s">
        <v>174</v>
      </c>
      <c r="D774" t="s">
        <v>190</v>
      </c>
      <c r="E774" t="s">
        <v>57</v>
      </c>
      <c r="F774">
        <v>3</v>
      </c>
      <c r="G774">
        <v>89</v>
      </c>
      <c r="H774" s="86">
        <v>45964.890738333299</v>
      </c>
      <c r="I774" s="86">
        <v>45964.962922638901</v>
      </c>
      <c r="J774" s="87">
        <v>1.7324233333333301</v>
      </c>
      <c r="K774" s="69" t="s">
        <v>274</v>
      </c>
      <c r="L774" s="69"/>
      <c r="M774" s="71"/>
      <c r="N774" s="71"/>
      <c r="O774" s="71"/>
      <c r="P774" s="71" t="s">
        <v>275</v>
      </c>
      <c r="Q774" s="88">
        <v>6.0057994715662696E-3</v>
      </c>
      <c r="R774" s="89" t="s">
        <v>276</v>
      </c>
      <c r="S774" s="89"/>
      <c r="T774">
        <v>11.4</v>
      </c>
      <c r="U774" s="76">
        <v>0.2</v>
      </c>
      <c r="V774">
        <v>9.6999999999999993</v>
      </c>
      <c r="W774" s="90">
        <v>0.1</v>
      </c>
      <c r="X774" s="90"/>
      <c r="Y774" s="71"/>
      <c r="Z774" s="71"/>
      <c r="AA774" s="71"/>
      <c r="AB774" s="71"/>
      <c r="AC774" s="71"/>
      <c r="AD774" s="71"/>
      <c r="AE774" s="71"/>
      <c r="AF774" s="71"/>
      <c r="AG774" s="82">
        <v>0.2</v>
      </c>
      <c r="AH774" s="76"/>
      <c r="AI774" s="76"/>
      <c r="AJ774" s="76"/>
      <c r="AK774" s="71">
        <v>0.15</v>
      </c>
      <c r="AL774" s="88">
        <v>3.4139420030223099E-2</v>
      </c>
      <c r="AM774" s="89">
        <f t="shared" si="12"/>
        <v>0.22759613353482067</v>
      </c>
      <c r="AN774" s="78"/>
    </row>
    <row r="775" spans="1:40" x14ac:dyDescent="0.25">
      <c r="A775" t="s">
        <v>44</v>
      </c>
      <c r="B775" t="s">
        <v>45</v>
      </c>
      <c r="C775" s="121" t="s">
        <v>174</v>
      </c>
      <c r="D775" t="s">
        <v>190</v>
      </c>
      <c r="E775" t="s">
        <v>57</v>
      </c>
      <c r="F775">
        <v>3</v>
      </c>
      <c r="G775">
        <v>90</v>
      </c>
      <c r="H775" s="86">
        <v>45964.962922638901</v>
      </c>
      <c r="I775" s="86">
        <v>45965.035115532402</v>
      </c>
      <c r="J775" s="87">
        <v>1.7326294444444501</v>
      </c>
      <c r="K775" s="69" t="s">
        <v>274</v>
      </c>
      <c r="L775" s="69"/>
      <c r="M775" s="71"/>
      <c r="N775" s="71"/>
      <c r="O775" s="71"/>
      <c r="P775" s="71" t="s">
        <v>275</v>
      </c>
      <c r="Q775" s="88">
        <v>8.7558177417937106E-3</v>
      </c>
      <c r="R775" s="89" t="s">
        <v>276</v>
      </c>
      <c r="S775" s="89"/>
      <c r="T775">
        <v>12.3</v>
      </c>
      <c r="U775" s="76">
        <v>0.2</v>
      </c>
      <c r="V775">
        <v>9.8000000000000007</v>
      </c>
      <c r="W775" s="90">
        <v>0.1</v>
      </c>
      <c r="X775" s="90"/>
      <c r="Y775" s="71"/>
      <c r="Z775" s="71"/>
      <c r="AA775" s="71"/>
      <c r="AB775" s="71"/>
      <c r="AC775" s="71"/>
      <c r="AD775" s="71"/>
      <c r="AE775" s="71"/>
      <c r="AF775" s="71"/>
      <c r="AG775" s="82">
        <v>0.2</v>
      </c>
      <c r="AH775" s="76"/>
      <c r="AI775" s="76"/>
      <c r="AJ775" s="76"/>
      <c r="AK775" s="71">
        <v>0.15</v>
      </c>
      <c r="AL775" s="88">
        <v>3.4139420030223099E-2</v>
      </c>
      <c r="AM775" s="89">
        <f t="shared" si="12"/>
        <v>0.22759613353482067</v>
      </c>
      <c r="AN775" s="78"/>
    </row>
    <row r="776" spans="1:40" x14ac:dyDescent="0.25">
      <c r="A776" t="s">
        <v>44</v>
      </c>
      <c r="B776" t="s">
        <v>45</v>
      </c>
      <c r="C776" s="121" t="s">
        <v>174</v>
      </c>
      <c r="D776" t="s">
        <v>190</v>
      </c>
      <c r="E776" t="s">
        <v>57</v>
      </c>
      <c r="F776">
        <v>3</v>
      </c>
      <c r="G776">
        <v>91</v>
      </c>
      <c r="H776" s="86">
        <v>45965.035115532402</v>
      </c>
      <c r="I776" s="86">
        <v>45965.107299166702</v>
      </c>
      <c r="J776" s="87">
        <v>1.73240722222222</v>
      </c>
      <c r="K776" s="69" t="s">
        <v>274</v>
      </c>
      <c r="L776" s="69"/>
      <c r="M776" s="71"/>
      <c r="N776" s="71"/>
      <c r="O776" s="71"/>
      <c r="P776" s="71" t="s">
        <v>275</v>
      </c>
      <c r="Q776" s="88">
        <v>1.1026704498482E-2</v>
      </c>
      <c r="R776" s="89" t="s">
        <v>276</v>
      </c>
      <c r="S776" s="89"/>
      <c r="T776">
        <v>12.5</v>
      </c>
      <c r="U776" s="76">
        <v>0.2</v>
      </c>
      <c r="V776">
        <v>10</v>
      </c>
      <c r="W776" s="90">
        <v>0.1</v>
      </c>
      <c r="X776" s="90"/>
      <c r="Y776" s="71"/>
      <c r="Z776" s="71"/>
      <c r="AA776" s="71"/>
      <c r="AB776" s="71"/>
      <c r="AC776" s="71"/>
      <c r="AD776" s="71"/>
      <c r="AE776" s="71"/>
      <c r="AF776" s="71"/>
      <c r="AG776" s="82">
        <v>0.1</v>
      </c>
      <c r="AH776" s="76"/>
      <c r="AI776" s="76"/>
      <c r="AJ776" s="76"/>
      <c r="AK776" s="71">
        <v>0.15</v>
      </c>
      <c r="AL776" s="88">
        <v>3.4139420030223099E-2</v>
      </c>
      <c r="AM776" s="89">
        <f t="shared" si="12"/>
        <v>0.22759613353482067</v>
      </c>
      <c r="AN776" s="78"/>
    </row>
    <row r="777" spans="1:40" x14ac:dyDescent="0.25">
      <c r="A777" t="s">
        <v>44</v>
      </c>
      <c r="B777" t="s">
        <v>45</v>
      </c>
      <c r="C777" s="121" t="s">
        <v>174</v>
      </c>
      <c r="D777" t="s">
        <v>190</v>
      </c>
      <c r="E777" t="s">
        <v>57</v>
      </c>
      <c r="F777">
        <v>3</v>
      </c>
      <c r="G777">
        <v>92</v>
      </c>
      <c r="H777" s="86">
        <v>45965.107299166702</v>
      </c>
      <c r="I777" s="86">
        <v>45965.179483506901</v>
      </c>
      <c r="J777" s="87">
        <v>1.73242416666667</v>
      </c>
      <c r="K777" s="69" t="s">
        <v>274</v>
      </c>
      <c r="L777" s="69"/>
      <c r="M777" s="71"/>
      <c r="N777" s="71"/>
      <c r="O777" s="71"/>
      <c r="P777" s="71" t="s">
        <v>275</v>
      </c>
      <c r="Q777" s="88">
        <v>2.01356803306358E-2</v>
      </c>
      <c r="R777" s="89" t="s">
        <v>276</v>
      </c>
      <c r="S777" s="89"/>
      <c r="T777">
        <v>12.6</v>
      </c>
      <c r="U777" s="76">
        <v>0.2</v>
      </c>
      <c r="V777">
        <v>10.1</v>
      </c>
      <c r="W777" s="90">
        <v>0.1</v>
      </c>
      <c r="X777" s="90"/>
      <c r="Y777" s="71"/>
      <c r="Z777" s="71"/>
      <c r="AA777" s="71"/>
      <c r="AB777" s="71"/>
      <c r="AC777" s="71"/>
      <c r="AD777" s="71"/>
      <c r="AE777" s="71"/>
      <c r="AF777" s="71"/>
      <c r="AG777" s="82">
        <v>0</v>
      </c>
      <c r="AH777" s="76"/>
      <c r="AI777" s="76"/>
      <c r="AJ777" s="76"/>
      <c r="AK777" s="71">
        <v>0.15</v>
      </c>
      <c r="AL777" s="88">
        <v>3.4139420030223099E-2</v>
      </c>
      <c r="AM777" s="89">
        <f t="shared" si="12"/>
        <v>0.22759613353482067</v>
      </c>
      <c r="AN777" s="78"/>
    </row>
    <row r="778" spans="1:40" x14ac:dyDescent="0.25">
      <c r="A778" t="s">
        <v>44</v>
      </c>
      <c r="B778" t="s">
        <v>45</v>
      </c>
      <c r="C778" s="121" t="s">
        <v>174</v>
      </c>
      <c r="D778" t="s">
        <v>190</v>
      </c>
      <c r="E778" t="s">
        <v>57</v>
      </c>
      <c r="F778">
        <v>3</v>
      </c>
      <c r="G778">
        <v>93</v>
      </c>
      <c r="H778" s="86">
        <v>45965.179483506901</v>
      </c>
      <c r="I778" s="86">
        <v>45965.251663807903</v>
      </c>
      <c r="J778" s="87">
        <v>1.7323272222222199</v>
      </c>
      <c r="K778" s="69" t="s">
        <v>274</v>
      </c>
      <c r="L778" s="69"/>
      <c r="M778" s="71"/>
      <c r="N778" s="71"/>
      <c r="O778" s="71"/>
      <c r="P778" s="71" t="s">
        <v>275</v>
      </c>
      <c r="Q778" s="88">
        <v>1.50680305101053E-2</v>
      </c>
      <c r="R778" s="89" t="s">
        <v>276</v>
      </c>
      <c r="S778" s="89"/>
      <c r="T778">
        <v>12.6</v>
      </c>
      <c r="U778" s="76">
        <v>0.2</v>
      </c>
      <c r="V778">
        <v>10.199999999999999</v>
      </c>
      <c r="W778" s="90">
        <v>0.1</v>
      </c>
      <c r="X778" s="90"/>
      <c r="Y778" s="71"/>
      <c r="Z778" s="71"/>
      <c r="AA778" s="71"/>
      <c r="AB778" s="71"/>
      <c r="AC778" s="71"/>
      <c r="AD778" s="71"/>
      <c r="AE778" s="71"/>
      <c r="AF778" s="71"/>
      <c r="AG778" s="82">
        <v>0.2</v>
      </c>
      <c r="AH778" s="76"/>
      <c r="AI778" s="76"/>
      <c r="AJ778" s="76"/>
      <c r="AK778" s="71">
        <v>0.15</v>
      </c>
      <c r="AL778" s="88">
        <v>3.4139420030223099E-2</v>
      </c>
      <c r="AM778" s="89">
        <f t="shared" si="12"/>
        <v>0.22759613353482067</v>
      </c>
      <c r="AN778" s="78"/>
    </row>
    <row r="779" spans="1:40" x14ac:dyDescent="0.25">
      <c r="A779" t="s">
        <v>44</v>
      </c>
      <c r="B779" t="s">
        <v>45</v>
      </c>
      <c r="C779" s="121" t="s">
        <v>174</v>
      </c>
      <c r="D779" t="s">
        <v>190</v>
      </c>
      <c r="E779" t="s">
        <v>57</v>
      </c>
      <c r="F779">
        <v>3</v>
      </c>
      <c r="G779">
        <v>94</v>
      </c>
      <c r="H779" s="86">
        <v>45965.251663807903</v>
      </c>
      <c r="I779" s="86">
        <v>45965.323849282402</v>
      </c>
      <c r="J779" s="87">
        <v>1.7324513888888899</v>
      </c>
      <c r="K779" s="69" t="s">
        <v>274</v>
      </c>
      <c r="L779" s="69"/>
      <c r="M779" s="71"/>
      <c r="N779" s="71"/>
      <c r="O779" s="71"/>
      <c r="P779" s="71" t="s">
        <v>275</v>
      </c>
      <c r="Q779" s="88">
        <v>1.3943572450112201E-2</v>
      </c>
      <c r="R779" s="89" t="s">
        <v>276</v>
      </c>
      <c r="S779" s="89"/>
      <c r="T779">
        <v>12.5</v>
      </c>
      <c r="U779" s="76">
        <v>0.2</v>
      </c>
      <c r="V779">
        <v>10.3</v>
      </c>
      <c r="W779" s="90">
        <v>0.1</v>
      </c>
      <c r="X779" s="90"/>
      <c r="Y779" s="71"/>
      <c r="Z779" s="71"/>
      <c r="AA779" s="71"/>
      <c r="AB779" s="71"/>
      <c r="AC779" s="71"/>
      <c r="AD779" s="71"/>
      <c r="AE779" s="71"/>
      <c r="AF779" s="71"/>
      <c r="AG779" s="82">
        <v>0.4</v>
      </c>
      <c r="AH779" s="76"/>
      <c r="AI779" s="76"/>
      <c r="AJ779" s="76"/>
      <c r="AK779" s="71">
        <v>0.15</v>
      </c>
      <c r="AL779" s="88">
        <v>3.4139420030223099E-2</v>
      </c>
      <c r="AM779" s="89">
        <f t="shared" si="12"/>
        <v>0.22759613353482067</v>
      </c>
      <c r="AN779" s="78"/>
    </row>
    <row r="780" spans="1:40" x14ac:dyDescent="0.25">
      <c r="A780" t="s">
        <v>44</v>
      </c>
      <c r="B780" t="s">
        <v>45</v>
      </c>
      <c r="C780" s="121" t="s">
        <v>174</v>
      </c>
      <c r="D780" t="s">
        <v>190</v>
      </c>
      <c r="E780" t="s">
        <v>57</v>
      </c>
      <c r="F780">
        <v>3</v>
      </c>
      <c r="G780">
        <v>95</v>
      </c>
      <c r="H780" s="86">
        <v>45965.323849282402</v>
      </c>
      <c r="I780" s="86">
        <v>45965.396052280099</v>
      </c>
      <c r="J780" s="87">
        <v>1.73287194444444</v>
      </c>
      <c r="K780" s="69" t="s">
        <v>274</v>
      </c>
      <c r="L780" s="69"/>
      <c r="M780" s="71"/>
      <c r="N780" s="71"/>
      <c r="O780" s="71"/>
      <c r="P780" s="71" t="s">
        <v>275</v>
      </c>
      <c r="Q780" s="88">
        <v>1.9921567365274499E-2</v>
      </c>
      <c r="R780" s="89" t="s">
        <v>276</v>
      </c>
      <c r="S780" s="89"/>
      <c r="T780">
        <v>12.4</v>
      </c>
      <c r="U780" s="76">
        <v>0.2</v>
      </c>
      <c r="V780">
        <v>10.4</v>
      </c>
      <c r="W780" s="90">
        <v>0.1</v>
      </c>
      <c r="X780" s="90"/>
      <c r="Y780" s="71"/>
      <c r="Z780" s="71"/>
      <c r="AA780" s="71"/>
      <c r="AB780" s="71"/>
      <c r="AC780" s="71"/>
      <c r="AD780" s="71"/>
      <c r="AE780" s="71"/>
      <c r="AF780" s="71"/>
      <c r="AG780" s="82">
        <v>0</v>
      </c>
      <c r="AH780" s="76"/>
      <c r="AI780" s="76"/>
      <c r="AJ780" s="76"/>
      <c r="AK780" s="71">
        <v>0.15</v>
      </c>
      <c r="AL780" s="88">
        <v>3.4139420030223099E-2</v>
      </c>
      <c r="AM780" s="89">
        <f t="shared" si="12"/>
        <v>0.22759613353482067</v>
      </c>
      <c r="AN780" s="78"/>
    </row>
    <row r="781" spans="1:40" x14ac:dyDescent="0.25">
      <c r="A781" t="s">
        <v>44</v>
      </c>
      <c r="B781" t="s">
        <v>45</v>
      </c>
      <c r="C781" s="121" t="s">
        <v>174</v>
      </c>
      <c r="D781" t="s">
        <v>190</v>
      </c>
      <c r="E781" t="s">
        <v>57</v>
      </c>
      <c r="F781">
        <v>3</v>
      </c>
      <c r="G781">
        <v>96</v>
      </c>
      <c r="H781" s="86">
        <v>45965.396052280099</v>
      </c>
      <c r="I781" s="86">
        <v>45965.468250590297</v>
      </c>
      <c r="J781" s="87">
        <v>1.7327594444444501</v>
      </c>
      <c r="K781" s="69" t="s">
        <v>274</v>
      </c>
      <c r="L781" s="69"/>
      <c r="M781" s="71"/>
      <c r="N781" s="71"/>
      <c r="O781" s="71"/>
      <c r="P781" s="71" t="s">
        <v>275</v>
      </c>
      <c r="Q781" s="88">
        <v>1.8111720962201001E-2</v>
      </c>
      <c r="R781" s="89" t="s">
        <v>276</v>
      </c>
      <c r="S781" s="89"/>
      <c r="T781">
        <v>12.9</v>
      </c>
      <c r="U781" s="76">
        <v>0.2</v>
      </c>
      <c r="V781">
        <v>10.5</v>
      </c>
      <c r="W781" s="90">
        <v>0.1</v>
      </c>
      <c r="X781" s="90"/>
      <c r="Y781" s="71"/>
      <c r="Z781" s="71"/>
      <c r="AA781" s="71"/>
      <c r="AB781" s="71"/>
      <c r="AC781" s="71"/>
      <c r="AD781" s="71"/>
      <c r="AE781" s="71"/>
      <c r="AF781" s="71"/>
      <c r="AG781" s="82">
        <v>0</v>
      </c>
      <c r="AH781" s="76"/>
      <c r="AI781" s="76"/>
      <c r="AJ781" s="76"/>
      <c r="AK781" s="71">
        <v>0.15</v>
      </c>
      <c r="AL781" s="88">
        <v>3.4139420030223099E-2</v>
      </c>
      <c r="AM781" s="89">
        <f t="shared" si="12"/>
        <v>0.22759613353482067</v>
      </c>
      <c r="AN781" s="78"/>
    </row>
    <row r="782" spans="1:40" x14ac:dyDescent="0.25">
      <c r="A782" t="s">
        <v>44</v>
      </c>
      <c r="B782" t="s">
        <v>45</v>
      </c>
      <c r="C782" s="121" t="s">
        <v>174</v>
      </c>
      <c r="D782" t="s">
        <v>190</v>
      </c>
      <c r="E782" t="s">
        <v>57</v>
      </c>
      <c r="F782">
        <v>3</v>
      </c>
      <c r="G782">
        <v>97</v>
      </c>
      <c r="H782" s="86">
        <v>45965.468250590297</v>
      </c>
      <c r="I782" s="86">
        <v>45965.540442731501</v>
      </c>
      <c r="J782" s="87">
        <v>1.7326113888888901</v>
      </c>
      <c r="K782" s="69" t="s">
        <v>274</v>
      </c>
      <c r="L782" s="69"/>
      <c r="M782" s="71"/>
      <c r="N782" s="71"/>
      <c r="O782" s="71"/>
      <c r="P782" s="71" t="s">
        <v>275</v>
      </c>
      <c r="Q782" s="88">
        <v>2.02545014337429E-2</v>
      </c>
      <c r="R782" s="89" t="s">
        <v>276</v>
      </c>
      <c r="S782" s="89"/>
      <c r="T782">
        <v>12.8</v>
      </c>
      <c r="U782" s="76">
        <v>0.2</v>
      </c>
      <c r="V782">
        <v>10.6</v>
      </c>
      <c r="W782" s="90">
        <v>0.1</v>
      </c>
      <c r="X782" s="90"/>
      <c r="Y782" s="71"/>
      <c r="Z782" s="71"/>
      <c r="AA782" s="71"/>
      <c r="AB782" s="71"/>
      <c r="AC782" s="71"/>
      <c r="AD782" s="71"/>
      <c r="AE782" s="71"/>
      <c r="AF782" s="71"/>
      <c r="AG782" s="82">
        <v>0.2</v>
      </c>
      <c r="AH782" s="76"/>
      <c r="AI782" s="76"/>
      <c r="AJ782" s="76"/>
      <c r="AK782" s="71">
        <v>0.15</v>
      </c>
      <c r="AL782" s="88">
        <v>3.4139420030223099E-2</v>
      </c>
      <c r="AM782" s="89">
        <f t="shared" si="12"/>
        <v>0.22759613353482067</v>
      </c>
      <c r="AN782" s="78"/>
    </row>
    <row r="783" spans="1:40" x14ac:dyDescent="0.25">
      <c r="A783" t="s">
        <v>44</v>
      </c>
      <c r="B783" t="s">
        <v>45</v>
      </c>
      <c r="C783" s="121" t="s">
        <v>174</v>
      </c>
      <c r="D783" t="s">
        <v>193</v>
      </c>
      <c r="E783" t="s">
        <v>59</v>
      </c>
      <c r="F783">
        <v>3</v>
      </c>
      <c r="G783">
        <v>1</v>
      </c>
      <c r="H783" s="86">
        <v>45958.502578182903</v>
      </c>
      <c r="I783" s="86">
        <v>45958.569208425899</v>
      </c>
      <c r="J783" s="87">
        <v>1.59912583333333</v>
      </c>
      <c r="K783" s="69" t="s">
        <v>274</v>
      </c>
      <c r="L783" s="69"/>
      <c r="M783" s="71"/>
      <c r="N783" s="71"/>
      <c r="O783" s="71"/>
      <c r="P783" s="71" t="s">
        <v>275</v>
      </c>
      <c r="Q783" s="88" t="s">
        <v>277</v>
      </c>
      <c r="R783" s="89" t="s">
        <v>276</v>
      </c>
      <c r="S783" s="89"/>
      <c r="T783">
        <v>8.1999999999999993</v>
      </c>
      <c r="U783" s="76">
        <v>0.2</v>
      </c>
      <c r="V783">
        <v>9.4</v>
      </c>
      <c r="W783" s="90">
        <v>0.1</v>
      </c>
      <c r="X783" s="90"/>
      <c r="Y783" s="71"/>
      <c r="Z783" s="71"/>
      <c r="AA783" s="71"/>
      <c r="AB783" s="71"/>
      <c r="AC783" s="71"/>
      <c r="AD783" s="71"/>
      <c r="AE783" s="71"/>
      <c r="AF783" s="71"/>
      <c r="AG783" s="82">
        <v>0</v>
      </c>
      <c r="AH783" s="76"/>
      <c r="AI783" s="76"/>
      <c r="AJ783" s="76"/>
      <c r="AK783" s="71">
        <v>0.15</v>
      </c>
      <c r="AL783" s="88">
        <v>3.36214217426926E-2</v>
      </c>
      <c r="AM783" s="89">
        <f t="shared" si="12"/>
        <v>0.22414281161795069</v>
      </c>
      <c r="AN783" s="78"/>
    </row>
    <row r="784" spans="1:40" x14ac:dyDescent="0.25">
      <c r="A784" t="s">
        <v>44</v>
      </c>
      <c r="B784" t="s">
        <v>45</v>
      </c>
      <c r="C784" s="121" t="s">
        <v>174</v>
      </c>
      <c r="D784" t="s">
        <v>193</v>
      </c>
      <c r="E784" t="s">
        <v>59</v>
      </c>
      <c r="F784">
        <v>3</v>
      </c>
      <c r="G784">
        <v>2</v>
      </c>
      <c r="H784" s="86">
        <v>45958.569208425899</v>
      </c>
      <c r="I784" s="86">
        <v>45958.663167858802</v>
      </c>
      <c r="J784" s="87">
        <v>2.25502638888889</v>
      </c>
      <c r="K784" s="69" t="s">
        <v>274</v>
      </c>
      <c r="L784" s="69"/>
      <c r="M784" s="71"/>
      <c r="N784" s="71"/>
      <c r="O784" s="71"/>
      <c r="P784" s="71" t="s">
        <v>275</v>
      </c>
      <c r="Q784" s="88" t="s">
        <v>277</v>
      </c>
      <c r="R784" s="89" t="s">
        <v>276</v>
      </c>
      <c r="S784" s="89"/>
      <c r="T784">
        <v>7.8</v>
      </c>
      <c r="U784" s="76">
        <v>0.2</v>
      </c>
      <c r="V784">
        <v>9.5</v>
      </c>
      <c r="W784" s="90">
        <v>0.1</v>
      </c>
      <c r="X784" s="90"/>
      <c r="Y784" s="71"/>
      <c r="Z784" s="71"/>
      <c r="AA784" s="71"/>
      <c r="AB784" s="71"/>
      <c r="AC784" s="71"/>
      <c r="AD784" s="71"/>
      <c r="AE784" s="71"/>
      <c r="AF784" s="71"/>
      <c r="AG784" s="82">
        <v>0.1</v>
      </c>
      <c r="AH784" s="76"/>
      <c r="AI784" s="76"/>
      <c r="AJ784" s="76"/>
      <c r="AK784" s="71">
        <v>0.15</v>
      </c>
      <c r="AL784" s="88">
        <v>3.36214217426926E-2</v>
      </c>
      <c r="AM784" s="89">
        <f t="shared" si="12"/>
        <v>0.22414281161795069</v>
      </c>
      <c r="AN784" s="78"/>
    </row>
    <row r="785" spans="1:40" x14ac:dyDescent="0.25">
      <c r="A785" t="s">
        <v>44</v>
      </c>
      <c r="B785" t="s">
        <v>45</v>
      </c>
      <c r="C785" s="121" t="s">
        <v>174</v>
      </c>
      <c r="D785" t="s">
        <v>193</v>
      </c>
      <c r="E785" t="s">
        <v>59</v>
      </c>
      <c r="F785">
        <v>3</v>
      </c>
      <c r="G785">
        <v>3</v>
      </c>
      <c r="H785" s="86">
        <v>45958.663167858802</v>
      </c>
      <c r="I785" s="86">
        <v>45958.760608368102</v>
      </c>
      <c r="J785" s="87">
        <v>2.3385722222222198</v>
      </c>
      <c r="K785" s="69" t="s">
        <v>274</v>
      </c>
      <c r="L785" s="69"/>
      <c r="M785" s="71"/>
      <c r="N785" s="71"/>
      <c r="O785" s="71"/>
      <c r="P785" s="71" t="s">
        <v>275</v>
      </c>
      <c r="Q785" s="88" t="s">
        <v>277</v>
      </c>
      <c r="R785" s="89" t="s">
        <v>276</v>
      </c>
      <c r="S785" s="89"/>
      <c r="T785">
        <v>6.8</v>
      </c>
      <c r="U785" s="76">
        <v>0.2</v>
      </c>
      <c r="V785">
        <v>9.6</v>
      </c>
      <c r="W785" s="90">
        <v>0.1</v>
      </c>
      <c r="X785" s="90"/>
      <c r="Y785" s="71"/>
      <c r="Z785" s="71"/>
      <c r="AA785" s="71"/>
      <c r="AB785" s="71"/>
      <c r="AC785" s="71"/>
      <c r="AD785" s="71"/>
      <c r="AE785" s="71"/>
      <c r="AF785" s="71"/>
      <c r="AG785" s="82">
        <v>0</v>
      </c>
      <c r="AH785" s="76"/>
      <c r="AI785" s="76"/>
      <c r="AJ785" s="76"/>
      <c r="AK785" s="71">
        <v>0.15</v>
      </c>
      <c r="AL785" s="88">
        <v>3.36214217426926E-2</v>
      </c>
      <c r="AM785" s="89">
        <f t="shared" si="12"/>
        <v>0.22414281161795069</v>
      </c>
      <c r="AN785" s="78"/>
    </row>
    <row r="786" spans="1:40" x14ac:dyDescent="0.25">
      <c r="A786" t="s">
        <v>44</v>
      </c>
      <c r="B786" t="s">
        <v>45</v>
      </c>
      <c r="C786" s="121" t="s">
        <v>174</v>
      </c>
      <c r="D786" t="s">
        <v>193</v>
      </c>
      <c r="E786" t="s">
        <v>59</v>
      </c>
      <c r="F786">
        <v>3</v>
      </c>
      <c r="G786">
        <v>4</v>
      </c>
      <c r="H786" s="86">
        <v>45958.760608368102</v>
      </c>
      <c r="I786" s="86">
        <v>45958.832799398202</v>
      </c>
      <c r="J786" s="87">
        <v>1.7325847222222199</v>
      </c>
      <c r="K786" s="69" t="s">
        <v>274</v>
      </c>
      <c r="L786" s="69"/>
      <c r="M786" s="71"/>
      <c r="N786" s="71"/>
      <c r="O786" s="71"/>
      <c r="P786" s="71" t="s">
        <v>275</v>
      </c>
      <c r="Q786" s="88">
        <v>2.22551115443652E-2</v>
      </c>
      <c r="R786" s="89" t="s">
        <v>276</v>
      </c>
      <c r="S786" s="89"/>
      <c r="T786">
        <v>6</v>
      </c>
      <c r="U786" s="76">
        <v>0.2</v>
      </c>
      <c r="V786">
        <v>9.6999999999999993</v>
      </c>
      <c r="W786" s="90">
        <v>0.1</v>
      </c>
      <c r="X786" s="90"/>
      <c r="Y786" s="71"/>
      <c r="Z786" s="71"/>
      <c r="AA786" s="71"/>
      <c r="AB786" s="71"/>
      <c r="AC786" s="71"/>
      <c r="AD786" s="71"/>
      <c r="AE786" s="71"/>
      <c r="AF786" s="71"/>
      <c r="AG786" s="82">
        <v>0</v>
      </c>
      <c r="AH786" s="76"/>
      <c r="AI786" s="76"/>
      <c r="AJ786" s="76"/>
      <c r="AK786" s="71">
        <v>0.15</v>
      </c>
      <c r="AL786" s="88">
        <v>3.36214217426926E-2</v>
      </c>
      <c r="AM786" s="89">
        <f t="shared" si="12"/>
        <v>0.22414281161795069</v>
      </c>
      <c r="AN786" s="78"/>
    </row>
    <row r="787" spans="1:40" x14ac:dyDescent="0.25">
      <c r="A787" t="s">
        <v>44</v>
      </c>
      <c r="B787" t="s">
        <v>45</v>
      </c>
      <c r="C787" s="121" t="s">
        <v>174</v>
      </c>
      <c r="D787" t="s">
        <v>193</v>
      </c>
      <c r="E787" t="s">
        <v>59</v>
      </c>
      <c r="F787">
        <v>3</v>
      </c>
      <c r="G787">
        <v>5</v>
      </c>
      <c r="H787" s="86">
        <v>45958.832799398202</v>
      </c>
      <c r="I787" s="86">
        <v>45958.904983205997</v>
      </c>
      <c r="J787" s="87">
        <v>1.7324113888888899</v>
      </c>
      <c r="K787" s="69" t="s">
        <v>274</v>
      </c>
      <c r="L787" s="69"/>
      <c r="M787" s="71"/>
      <c r="N787" s="71"/>
      <c r="O787" s="71"/>
      <c r="P787" s="71" t="s">
        <v>275</v>
      </c>
      <c r="Q787" s="88">
        <v>3.2088544715171897E-2</v>
      </c>
      <c r="R787" s="89" t="s">
        <v>276</v>
      </c>
      <c r="S787" s="89"/>
      <c r="T787">
        <v>6.7</v>
      </c>
      <c r="U787" s="76">
        <v>0.2</v>
      </c>
      <c r="V787">
        <v>9.6</v>
      </c>
      <c r="W787" s="90">
        <v>0.1</v>
      </c>
      <c r="X787" s="90"/>
      <c r="Y787" s="71"/>
      <c r="Z787" s="71"/>
      <c r="AA787" s="71"/>
      <c r="AB787" s="71"/>
      <c r="AC787" s="71"/>
      <c r="AD787" s="71"/>
      <c r="AE787" s="71"/>
      <c r="AF787" s="71"/>
      <c r="AG787" s="82">
        <v>0</v>
      </c>
      <c r="AH787" s="76"/>
      <c r="AI787" s="76"/>
      <c r="AJ787" s="76"/>
      <c r="AK787" s="71">
        <v>0.15</v>
      </c>
      <c r="AL787" s="88">
        <v>3.36214217426926E-2</v>
      </c>
      <c r="AM787" s="89">
        <f t="shared" si="12"/>
        <v>0.22414281161795069</v>
      </c>
      <c r="AN787" s="78"/>
    </row>
    <row r="788" spans="1:40" x14ac:dyDescent="0.25">
      <c r="A788" t="s">
        <v>44</v>
      </c>
      <c r="B788" t="s">
        <v>45</v>
      </c>
      <c r="C788" s="121" t="s">
        <v>174</v>
      </c>
      <c r="D788" t="s">
        <v>193</v>
      </c>
      <c r="E788" t="s">
        <v>59</v>
      </c>
      <c r="F788">
        <v>3</v>
      </c>
      <c r="G788">
        <v>6</v>
      </c>
      <c r="H788" s="86">
        <v>45958.904983205997</v>
      </c>
      <c r="I788" s="86">
        <v>45958.9771689236</v>
      </c>
      <c r="J788" s="87">
        <v>1.7324572222222201</v>
      </c>
      <c r="K788" s="69" t="s">
        <v>274</v>
      </c>
      <c r="L788" s="69"/>
      <c r="M788" s="71"/>
      <c r="N788" s="71"/>
      <c r="O788" s="71"/>
      <c r="P788" s="71" t="s">
        <v>275</v>
      </c>
      <c r="Q788" s="88">
        <v>2.99518302549041E-2</v>
      </c>
      <c r="R788" s="89" t="s">
        <v>276</v>
      </c>
      <c r="S788" s="89"/>
      <c r="T788">
        <v>6.5</v>
      </c>
      <c r="U788" s="76">
        <v>0.2</v>
      </c>
      <c r="V788">
        <v>9.6</v>
      </c>
      <c r="W788" s="90">
        <v>0.1</v>
      </c>
      <c r="X788" s="90"/>
      <c r="Y788" s="71"/>
      <c r="Z788" s="71"/>
      <c r="AA788" s="71"/>
      <c r="AB788" s="71"/>
      <c r="AC788" s="71"/>
      <c r="AD788" s="71"/>
      <c r="AE788" s="71"/>
      <c r="AF788" s="71"/>
      <c r="AG788" s="82">
        <v>0</v>
      </c>
      <c r="AH788" s="76"/>
      <c r="AI788" s="76"/>
      <c r="AJ788" s="76"/>
      <c r="AK788" s="71">
        <v>0.15</v>
      </c>
      <c r="AL788" s="88">
        <v>3.36214217426926E-2</v>
      </c>
      <c r="AM788" s="89">
        <f t="shared" si="12"/>
        <v>0.22414281161795069</v>
      </c>
      <c r="AN788" s="78"/>
    </row>
    <row r="789" spans="1:40" x14ac:dyDescent="0.25">
      <c r="A789" t="s">
        <v>44</v>
      </c>
      <c r="B789" t="s">
        <v>45</v>
      </c>
      <c r="C789" s="121" t="s">
        <v>174</v>
      </c>
      <c r="D789" t="s">
        <v>193</v>
      </c>
      <c r="E789" t="s">
        <v>59</v>
      </c>
      <c r="F789">
        <v>3</v>
      </c>
      <c r="G789">
        <v>7</v>
      </c>
      <c r="H789" s="86">
        <v>45958.9771689236</v>
      </c>
      <c r="I789" s="86">
        <v>45959.049341493097</v>
      </c>
      <c r="J789" s="87">
        <v>1.73214166666667</v>
      </c>
      <c r="K789" s="69" t="s">
        <v>274</v>
      </c>
      <c r="L789" s="69"/>
      <c r="M789" s="71"/>
      <c r="N789" s="71"/>
      <c r="O789" s="71"/>
      <c r="P789" s="71" t="s">
        <v>275</v>
      </c>
      <c r="Q789" s="88">
        <v>3.4832556252148802E-2</v>
      </c>
      <c r="R789" s="89" t="s">
        <v>276</v>
      </c>
      <c r="S789" s="89"/>
      <c r="T789">
        <v>6.7</v>
      </c>
      <c r="U789" s="76">
        <v>0.2</v>
      </c>
      <c r="V789">
        <v>9.6</v>
      </c>
      <c r="W789" s="90">
        <v>0.1</v>
      </c>
      <c r="X789" s="90"/>
      <c r="Y789" s="71"/>
      <c r="Z789" s="71"/>
      <c r="AA789" s="71"/>
      <c r="AB789" s="71"/>
      <c r="AC789" s="71"/>
      <c r="AD789" s="71"/>
      <c r="AE789" s="71"/>
      <c r="AF789" s="71"/>
      <c r="AG789" s="82">
        <v>0</v>
      </c>
      <c r="AH789" s="76"/>
      <c r="AI789" s="76"/>
      <c r="AJ789" s="76"/>
      <c r="AK789" s="71">
        <v>0.15</v>
      </c>
      <c r="AL789" s="88">
        <v>3.36214217426926E-2</v>
      </c>
      <c r="AM789" s="89">
        <f t="shared" si="12"/>
        <v>0.22414281161795069</v>
      </c>
      <c r="AN789" s="78"/>
    </row>
    <row r="790" spans="1:40" x14ac:dyDescent="0.25">
      <c r="A790" t="s">
        <v>44</v>
      </c>
      <c r="B790" t="s">
        <v>45</v>
      </c>
      <c r="C790" s="121" t="s">
        <v>174</v>
      </c>
      <c r="D790" t="s">
        <v>193</v>
      </c>
      <c r="E790" t="s">
        <v>59</v>
      </c>
      <c r="F790">
        <v>3</v>
      </c>
      <c r="G790">
        <v>8</v>
      </c>
      <c r="H790" s="86">
        <v>45959.049341493097</v>
      </c>
      <c r="I790" s="86">
        <v>45959.121533333302</v>
      </c>
      <c r="J790" s="87">
        <v>1.7326041666666701</v>
      </c>
      <c r="K790" s="69" t="s">
        <v>274</v>
      </c>
      <c r="L790" s="69"/>
      <c r="M790" s="71"/>
      <c r="N790" s="71"/>
      <c r="O790" s="71"/>
      <c r="P790" s="71" t="s">
        <v>275</v>
      </c>
      <c r="Q790" s="88">
        <v>2.9364077806891799E-2</v>
      </c>
      <c r="R790" s="89" t="s">
        <v>276</v>
      </c>
      <c r="S790" s="89"/>
      <c r="T790">
        <v>6.2</v>
      </c>
      <c r="U790" s="76">
        <v>0.2</v>
      </c>
      <c r="V790">
        <v>9.5</v>
      </c>
      <c r="W790" s="90">
        <v>0.1</v>
      </c>
      <c r="X790" s="90"/>
      <c r="Y790" s="71"/>
      <c r="Z790" s="71"/>
      <c r="AA790" s="71"/>
      <c r="AB790" s="71"/>
      <c r="AC790" s="71"/>
      <c r="AD790" s="71"/>
      <c r="AE790" s="71"/>
      <c r="AF790" s="71"/>
      <c r="AG790" s="82">
        <v>0</v>
      </c>
      <c r="AH790" s="76"/>
      <c r="AI790" s="76"/>
      <c r="AJ790" s="76"/>
      <c r="AK790" s="71">
        <v>0.15</v>
      </c>
      <c r="AL790" s="88">
        <v>3.36214217426926E-2</v>
      </c>
      <c r="AM790" s="89">
        <f t="shared" si="12"/>
        <v>0.22414281161795069</v>
      </c>
      <c r="AN790" s="78"/>
    </row>
    <row r="791" spans="1:40" x14ac:dyDescent="0.25">
      <c r="A791" t="s">
        <v>44</v>
      </c>
      <c r="B791" t="s">
        <v>45</v>
      </c>
      <c r="C791" s="121" t="s">
        <v>174</v>
      </c>
      <c r="D791" t="s">
        <v>193</v>
      </c>
      <c r="E791" t="s">
        <v>59</v>
      </c>
      <c r="F791">
        <v>3</v>
      </c>
      <c r="G791">
        <v>9</v>
      </c>
      <c r="H791" s="86">
        <v>45959.121533333302</v>
      </c>
      <c r="I791" s="86">
        <v>45959.1937087732</v>
      </c>
      <c r="J791" s="87">
        <v>1.73221055555556</v>
      </c>
      <c r="K791" s="69" t="s">
        <v>274</v>
      </c>
      <c r="L791" s="69"/>
      <c r="M791" s="71"/>
      <c r="N791" s="71"/>
      <c r="O791" s="71"/>
      <c r="P791" s="71" t="s">
        <v>275</v>
      </c>
      <c r="Q791" s="88">
        <v>2.7411736362539799E-2</v>
      </c>
      <c r="R791" s="89" t="s">
        <v>276</v>
      </c>
      <c r="S791" s="89"/>
      <c r="T791">
        <v>6.3</v>
      </c>
      <c r="U791" s="76">
        <v>0.2</v>
      </c>
      <c r="V791">
        <v>9.5</v>
      </c>
      <c r="W791" s="90">
        <v>0.1</v>
      </c>
      <c r="X791" s="90"/>
      <c r="Y791" s="71"/>
      <c r="Z791" s="71"/>
      <c r="AA791" s="71"/>
      <c r="AB791" s="71"/>
      <c r="AC791" s="71"/>
      <c r="AD791" s="71"/>
      <c r="AE791" s="71"/>
      <c r="AF791" s="71"/>
      <c r="AG791" s="82">
        <v>0</v>
      </c>
      <c r="AH791" s="76"/>
      <c r="AI791" s="76"/>
      <c r="AJ791" s="76"/>
      <c r="AK791" s="71">
        <v>0.15</v>
      </c>
      <c r="AL791" s="88">
        <v>3.36214217426926E-2</v>
      </c>
      <c r="AM791" s="89">
        <f t="shared" si="12"/>
        <v>0.22414281161795069</v>
      </c>
      <c r="AN791" s="78"/>
    </row>
    <row r="792" spans="1:40" x14ac:dyDescent="0.25">
      <c r="A792" t="s">
        <v>44</v>
      </c>
      <c r="B792" t="s">
        <v>45</v>
      </c>
      <c r="C792" s="121" t="s">
        <v>174</v>
      </c>
      <c r="D792" t="s">
        <v>193</v>
      </c>
      <c r="E792" t="s">
        <v>59</v>
      </c>
      <c r="F792">
        <v>3</v>
      </c>
      <c r="G792">
        <v>10</v>
      </c>
      <c r="H792" s="86">
        <v>45959.1937087732</v>
      </c>
      <c r="I792" s="86">
        <v>45959.2659059375</v>
      </c>
      <c r="J792" s="87">
        <v>1.73273194444444</v>
      </c>
      <c r="K792" s="69" t="s">
        <v>274</v>
      </c>
      <c r="L792" s="69"/>
      <c r="M792" s="71"/>
      <c r="N792" s="71"/>
      <c r="O792" s="71"/>
      <c r="P792" s="71" t="s">
        <v>275</v>
      </c>
      <c r="Q792" s="88">
        <v>2.7593326974813499E-2</v>
      </c>
      <c r="R792" s="89" t="s">
        <v>276</v>
      </c>
      <c r="S792" s="89"/>
      <c r="T792">
        <v>5.8</v>
      </c>
      <c r="U792" s="76">
        <v>0.2</v>
      </c>
      <c r="V792">
        <v>9.4</v>
      </c>
      <c r="W792" s="90">
        <v>0.1</v>
      </c>
      <c r="X792" s="90"/>
      <c r="Y792" s="71"/>
      <c r="Z792" s="71"/>
      <c r="AA792" s="71"/>
      <c r="AB792" s="71"/>
      <c r="AC792" s="71"/>
      <c r="AD792" s="71"/>
      <c r="AE792" s="71"/>
      <c r="AF792" s="71"/>
      <c r="AG792" s="82">
        <v>0</v>
      </c>
      <c r="AH792" s="76"/>
      <c r="AI792" s="76"/>
      <c r="AJ792" s="76"/>
      <c r="AK792" s="71">
        <v>0.15</v>
      </c>
      <c r="AL792" s="88">
        <v>3.36214217426926E-2</v>
      </c>
      <c r="AM792" s="89">
        <f t="shared" si="12"/>
        <v>0.22414281161795069</v>
      </c>
      <c r="AN792" s="78"/>
    </row>
    <row r="793" spans="1:40" x14ac:dyDescent="0.25">
      <c r="A793" t="s">
        <v>44</v>
      </c>
      <c r="B793" t="s">
        <v>45</v>
      </c>
      <c r="C793" s="121" t="s">
        <v>174</v>
      </c>
      <c r="D793" t="s">
        <v>193</v>
      </c>
      <c r="E793" t="s">
        <v>59</v>
      </c>
      <c r="F793">
        <v>3</v>
      </c>
      <c r="G793">
        <v>11</v>
      </c>
      <c r="H793" s="86">
        <v>45959.2659059375</v>
      </c>
      <c r="I793" s="86">
        <v>45959.338076574102</v>
      </c>
      <c r="J793" s="87">
        <v>1.7320952777777801</v>
      </c>
      <c r="K793" s="69" t="s">
        <v>274</v>
      </c>
      <c r="L793" s="69"/>
      <c r="M793" s="71"/>
      <c r="N793" s="71"/>
      <c r="O793" s="71"/>
      <c r="P793" s="71" t="s">
        <v>275</v>
      </c>
      <c r="Q793" s="88">
        <v>2.91328888978463E-2</v>
      </c>
      <c r="R793" s="89" t="s">
        <v>276</v>
      </c>
      <c r="S793" s="89"/>
      <c r="T793">
        <v>7.2</v>
      </c>
      <c r="U793" s="76">
        <v>0.2</v>
      </c>
      <c r="V793">
        <v>9.4</v>
      </c>
      <c r="W793" s="90">
        <v>0.1</v>
      </c>
      <c r="X793" s="90"/>
      <c r="Y793" s="71"/>
      <c r="Z793" s="71"/>
      <c r="AA793" s="71"/>
      <c r="AB793" s="71"/>
      <c r="AC793" s="71"/>
      <c r="AD793" s="71"/>
      <c r="AE793" s="71"/>
      <c r="AF793" s="71"/>
      <c r="AG793" s="82">
        <v>0</v>
      </c>
      <c r="AH793" s="76"/>
      <c r="AI793" s="76"/>
      <c r="AJ793" s="76"/>
      <c r="AK793" s="71">
        <v>0.15</v>
      </c>
      <c r="AL793" s="88">
        <v>3.36214217426926E-2</v>
      </c>
      <c r="AM793" s="89">
        <f t="shared" si="12"/>
        <v>0.22414281161795069</v>
      </c>
      <c r="AN793" s="78"/>
    </row>
    <row r="794" spans="1:40" x14ac:dyDescent="0.25">
      <c r="A794" t="s">
        <v>44</v>
      </c>
      <c r="B794" t="s">
        <v>45</v>
      </c>
      <c r="C794" s="121" t="s">
        <v>174</v>
      </c>
      <c r="D794" t="s">
        <v>193</v>
      </c>
      <c r="E794" t="s">
        <v>59</v>
      </c>
      <c r="F794">
        <v>3</v>
      </c>
      <c r="G794">
        <v>12</v>
      </c>
      <c r="H794" s="86">
        <v>45959.338076574102</v>
      </c>
      <c r="I794" s="86">
        <v>45959.410261099503</v>
      </c>
      <c r="J794" s="87">
        <v>1.73242861111111</v>
      </c>
      <c r="K794" s="69" t="s">
        <v>274</v>
      </c>
      <c r="L794" s="69"/>
      <c r="M794" s="71"/>
      <c r="N794" s="71"/>
      <c r="O794" s="71"/>
      <c r="P794" s="71" t="s">
        <v>275</v>
      </c>
      <c r="Q794" s="88">
        <v>3.6326669352230501E-2</v>
      </c>
      <c r="R794" s="89" t="s">
        <v>276</v>
      </c>
      <c r="S794" s="89"/>
      <c r="T794">
        <v>8</v>
      </c>
      <c r="U794" s="76">
        <v>0.2</v>
      </c>
      <c r="V794">
        <v>9.4</v>
      </c>
      <c r="W794" s="90">
        <v>0.1</v>
      </c>
      <c r="X794" s="90"/>
      <c r="Y794" s="71"/>
      <c r="Z794" s="71"/>
      <c r="AA794" s="71"/>
      <c r="AB794" s="71"/>
      <c r="AC794" s="71"/>
      <c r="AD794" s="71"/>
      <c r="AE794" s="71"/>
      <c r="AF794" s="71"/>
      <c r="AG794" s="82">
        <v>0</v>
      </c>
      <c r="AH794" s="76"/>
      <c r="AI794" s="76"/>
      <c r="AJ794" s="76"/>
      <c r="AK794" s="71">
        <v>0.15</v>
      </c>
      <c r="AL794" s="88">
        <v>3.36214217426926E-2</v>
      </c>
      <c r="AM794" s="89">
        <f t="shared" si="12"/>
        <v>0.22414281161795069</v>
      </c>
      <c r="AN794" s="78"/>
    </row>
    <row r="795" spans="1:40" x14ac:dyDescent="0.25">
      <c r="A795" t="s">
        <v>44</v>
      </c>
      <c r="B795" t="s">
        <v>45</v>
      </c>
      <c r="C795" s="121" t="s">
        <v>174</v>
      </c>
      <c r="D795" t="s">
        <v>193</v>
      </c>
      <c r="E795" t="s">
        <v>59</v>
      </c>
      <c r="F795">
        <v>3</v>
      </c>
      <c r="G795">
        <v>13</v>
      </c>
      <c r="H795" s="86">
        <v>45959.410261099503</v>
      </c>
      <c r="I795" s="86">
        <v>45959.482449178198</v>
      </c>
      <c r="J795" s="87">
        <v>1.73251388888889</v>
      </c>
      <c r="K795" s="69" t="s">
        <v>274</v>
      </c>
      <c r="L795" s="69"/>
      <c r="M795" s="71"/>
      <c r="N795" s="71"/>
      <c r="O795" s="71"/>
      <c r="P795" s="71" t="s">
        <v>275</v>
      </c>
      <c r="Q795" s="88">
        <v>5.0374673129764701E-2</v>
      </c>
      <c r="R795" s="89" t="s">
        <v>276</v>
      </c>
      <c r="S795" s="89"/>
      <c r="T795">
        <v>9.5</v>
      </c>
      <c r="U795" s="76">
        <v>0.2</v>
      </c>
      <c r="V795">
        <v>9.4</v>
      </c>
      <c r="W795" s="90">
        <v>0.1</v>
      </c>
      <c r="X795" s="90"/>
      <c r="Y795" s="71"/>
      <c r="Z795" s="71"/>
      <c r="AA795" s="71"/>
      <c r="AB795" s="71"/>
      <c r="AC795" s="71"/>
      <c r="AD795" s="71"/>
      <c r="AE795" s="71"/>
      <c r="AF795" s="71"/>
      <c r="AG795" s="82">
        <v>0</v>
      </c>
      <c r="AH795" s="76"/>
      <c r="AI795" s="76"/>
      <c r="AJ795" s="76"/>
      <c r="AK795" s="71">
        <v>0.15</v>
      </c>
      <c r="AL795" s="88">
        <v>3.36214217426926E-2</v>
      </c>
      <c r="AM795" s="89">
        <f t="shared" si="12"/>
        <v>0.22414281161795069</v>
      </c>
      <c r="AN795" s="78"/>
    </row>
    <row r="796" spans="1:40" x14ac:dyDescent="0.25">
      <c r="A796" t="s">
        <v>44</v>
      </c>
      <c r="B796" t="s">
        <v>45</v>
      </c>
      <c r="C796" s="121" t="s">
        <v>174</v>
      </c>
      <c r="D796" t="s">
        <v>193</v>
      </c>
      <c r="E796" t="s">
        <v>59</v>
      </c>
      <c r="F796">
        <v>3</v>
      </c>
      <c r="G796">
        <v>14</v>
      </c>
      <c r="H796" s="86">
        <v>45959.482449178198</v>
      </c>
      <c r="I796" s="86">
        <v>45959.554623113399</v>
      </c>
      <c r="J796" s="87">
        <v>1.73217444444444</v>
      </c>
      <c r="K796" s="69" t="s">
        <v>274</v>
      </c>
      <c r="L796" s="69"/>
      <c r="M796" s="71"/>
      <c r="N796" s="71"/>
      <c r="O796" s="71"/>
      <c r="P796" s="71" t="s">
        <v>275</v>
      </c>
      <c r="Q796" s="88">
        <v>5.9719237896889099E-2</v>
      </c>
      <c r="R796" s="89" t="s">
        <v>276</v>
      </c>
      <c r="S796" s="89"/>
      <c r="T796">
        <v>9.8000000000000007</v>
      </c>
      <c r="U796" s="76">
        <v>0.2</v>
      </c>
      <c r="V796">
        <v>9.5</v>
      </c>
      <c r="W796" s="90">
        <v>0.1</v>
      </c>
      <c r="X796" s="90"/>
      <c r="Y796" s="71"/>
      <c r="Z796" s="71"/>
      <c r="AA796" s="71"/>
      <c r="AB796" s="71"/>
      <c r="AC796" s="71"/>
      <c r="AD796" s="71"/>
      <c r="AE796" s="71"/>
      <c r="AF796" s="71"/>
      <c r="AG796" s="82">
        <v>0</v>
      </c>
      <c r="AH796" s="76"/>
      <c r="AI796" s="76"/>
      <c r="AJ796" s="76"/>
      <c r="AK796" s="71">
        <v>0.15</v>
      </c>
      <c r="AL796" s="88">
        <v>3.36214217426926E-2</v>
      </c>
      <c r="AM796" s="89">
        <f t="shared" si="12"/>
        <v>0.22414281161795069</v>
      </c>
      <c r="AN796" s="78"/>
    </row>
    <row r="797" spans="1:40" x14ac:dyDescent="0.25">
      <c r="A797" t="s">
        <v>44</v>
      </c>
      <c r="B797" t="s">
        <v>45</v>
      </c>
      <c r="C797" s="121" t="s">
        <v>174</v>
      </c>
      <c r="D797" t="s">
        <v>193</v>
      </c>
      <c r="E797" t="s">
        <v>59</v>
      </c>
      <c r="F797">
        <v>3</v>
      </c>
      <c r="G797">
        <v>15</v>
      </c>
      <c r="H797" s="86">
        <v>45959.554623113399</v>
      </c>
      <c r="I797" s="86">
        <v>45959.626831747701</v>
      </c>
      <c r="J797" s="87">
        <v>1.7330072222222199</v>
      </c>
      <c r="K797" s="69" t="s">
        <v>274</v>
      </c>
      <c r="L797" s="69"/>
      <c r="M797" s="71"/>
      <c r="N797" s="71"/>
      <c r="O797" s="71"/>
      <c r="P797" s="71" t="s">
        <v>275</v>
      </c>
      <c r="Q797" s="88">
        <v>3.4348548183621999E-2</v>
      </c>
      <c r="R797" s="89" t="s">
        <v>276</v>
      </c>
      <c r="S797" s="89"/>
      <c r="T797">
        <v>9.4</v>
      </c>
      <c r="U797" s="76">
        <v>0.2</v>
      </c>
      <c r="V797">
        <v>9.6</v>
      </c>
      <c r="W797" s="90">
        <v>0.1</v>
      </c>
      <c r="X797" s="90"/>
      <c r="Y797" s="71"/>
      <c r="Z797" s="71"/>
      <c r="AA797" s="71"/>
      <c r="AB797" s="71"/>
      <c r="AC797" s="71"/>
      <c r="AD797" s="71"/>
      <c r="AE797" s="71"/>
      <c r="AF797" s="71"/>
      <c r="AG797" s="82">
        <v>0.2</v>
      </c>
      <c r="AH797" s="76"/>
      <c r="AI797" s="76"/>
      <c r="AJ797" s="76"/>
      <c r="AK797" s="71">
        <v>0.15</v>
      </c>
      <c r="AL797" s="88">
        <v>3.36214217426926E-2</v>
      </c>
      <c r="AM797" s="89">
        <f t="shared" si="12"/>
        <v>0.22414281161795069</v>
      </c>
      <c r="AN797" s="78"/>
    </row>
    <row r="798" spans="1:40" x14ac:dyDescent="0.25">
      <c r="A798" t="s">
        <v>44</v>
      </c>
      <c r="B798" t="s">
        <v>45</v>
      </c>
      <c r="C798" s="121" t="s">
        <v>174</v>
      </c>
      <c r="D798" t="s">
        <v>193</v>
      </c>
      <c r="E798" t="s">
        <v>59</v>
      </c>
      <c r="F798">
        <v>3</v>
      </c>
      <c r="G798">
        <v>16</v>
      </c>
      <c r="H798" s="86">
        <v>45959.626831747701</v>
      </c>
      <c r="I798" s="86">
        <v>45959.699005729199</v>
      </c>
      <c r="J798" s="87">
        <v>1.73217555555556</v>
      </c>
      <c r="K798" s="69" t="s">
        <v>274</v>
      </c>
      <c r="L798" s="69"/>
      <c r="M798" s="71"/>
      <c r="N798" s="71"/>
      <c r="O798" s="71"/>
      <c r="P798" s="71" t="s">
        <v>275</v>
      </c>
      <c r="Q798" s="88">
        <v>3.1317097558882699E-2</v>
      </c>
      <c r="R798" s="89" t="s">
        <v>276</v>
      </c>
      <c r="S798" s="89"/>
      <c r="T798">
        <v>9.4</v>
      </c>
      <c r="U798" s="76">
        <v>0.2</v>
      </c>
      <c r="V798">
        <v>9.6999999999999993</v>
      </c>
      <c r="W798" s="90">
        <v>0.1</v>
      </c>
      <c r="X798" s="90"/>
      <c r="Y798" s="71"/>
      <c r="Z798" s="71"/>
      <c r="AA798" s="71"/>
      <c r="AB798" s="71"/>
      <c r="AC798" s="71"/>
      <c r="AD798" s="71"/>
      <c r="AE798" s="71"/>
      <c r="AF798" s="71"/>
      <c r="AG798" s="82">
        <v>0.1</v>
      </c>
      <c r="AH798" s="76"/>
      <c r="AI798" s="76"/>
      <c r="AJ798" s="76"/>
      <c r="AK798" s="71">
        <v>0.15</v>
      </c>
      <c r="AL798" s="88">
        <v>3.36214217426926E-2</v>
      </c>
      <c r="AM798" s="89">
        <f t="shared" si="12"/>
        <v>0.22414281161795069</v>
      </c>
      <c r="AN798" s="78"/>
    </row>
    <row r="799" spans="1:40" x14ac:dyDescent="0.25">
      <c r="A799" t="s">
        <v>44</v>
      </c>
      <c r="B799" t="s">
        <v>45</v>
      </c>
      <c r="C799" s="121" t="s">
        <v>174</v>
      </c>
      <c r="D799" t="s">
        <v>193</v>
      </c>
      <c r="E799" t="s">
        <v>59</v>
      </c>
      <c r="F799">
        <v>3</v>
      </c>
      <c r="G799">
        <v>17</v>
      </c>
      <c r="H799" s="86">
        <v>45959.699005729199</v>
      </c>
      <c r="I799" s="86">
        <v>45959.771180752301</v>
      </c>
      <c r="J799" s="87">
        <v>1.73220055555556</v>
      </c>
      <c r="K799" s="69" t="s">
        <v>274</v>
      </c>
      <c r="L799" s="69"/>
      <c r="M799" s="71"/>
      <c r="N799" s="71"/>
      <c r="O799" s="71"/>
      <c r="P799" s="71" t="s">
        <v>275</v>
      </c>
      <c r="Q799" s="88">
        <v>2.4125911812031098E-2</v>
      </c>
      <c r="R799" s="89" t="s">
        <v>276</v>
      </c>
      <c r="S799" s="89"/>
      <c r="T799">
        <v>9.3000000000000007</v>
      </c>
      <c r="U799" s="76">
        <v>0.2</v>
      </c>
      <c r="V799">
        <v>9.8000000000000007</v>
      </c>
      <c r="W799" s="90">
        <v>0.1</v>
      </c>
      <c r="X799" s="90"/>
      <c r="Y799" s="71"/>
      <c r="Z799" s="71"/>
      <c r="AA799" s="71"/>
      <c r="AB799" s="71"/>
      <c r="AC799" s="71"/>
      <c r="AD799" s="71"/>
      <c r="AE799" s="71"/>
      <c r="AF799" s="71"/>
      <c r="AG799" s="82">
        <v>0.1</v>
      </c>
      <c r="AH799" s="76"/>
      <c r="AI799" s="76"/>
      <c r="AJ799" s="76"/>
      <c r="AK799" s="71">
        <v>0.15</v>
      </c>
      <c r="AL799" s="88">
        <v>3.36214217426926E-2</v>
      </c>
      <c r="AM799" s="89">
        <f t="shared" si="12"/>
        <v>0.22414281161795069</v>
      </c>
      <c r="AN799" s="78"/>
    </row>
    <row r="800" spans="1:40" x14ac:dyDescent="0.25">
      <c r="A800" t="s">
        <v>44</v>
      </c>
      <c r="B800" t="s">
        <v>45</v>
      </c>
      <c r="C800" s="121" t="s">
        <v>174</v>
      </c>
      <c r="D800" t="s">
        <v>193</v>
      </c>
      <c r="E800" t="s">
        <v>59</v>
      </c>
      <c r="F800">
        <v>3</v>
      </c>
      <c r="G800">
        <v>18</v>
      </c>
      <c r="H800" s="86">
        <v>45959.771180752301</v>
      </c>
      <c r="I800" s="86">
        <v>45959.843379826401</v>
      </c>
      <c r="J800" s="87">
        <v>1.73277777777778</v>
      </c>
      <c r="K800" s="69" t="s">
        <v>274</v>
      </c>
      <c r="L800" s="69"/>
      <c r="M800" s="71"/>
      <c r="N800" s="71"/>
      <c r="O800" s="71"/>
      <c r="P800" s="71" t="s">
        <v>275</v>
      </c>
      <c r="Q800" s="88">
        <v>2.88072102749081E-2</v>
      </c>
      <c r="R800" s="89" t="s">
        <v>276</v>
      </c>
      <c r="S800" s="89"/>
      <c r="T800">
        <v>8.8000000000000007</v>
      </c>
      <c r="U800" s="76">
        <v>0.2</v>
      </c>
      <c r="V800">
        <v>9.9</v>
      </c>
      <c r="W800" s="90">
        <v>0.1</v>
      </c>
      <c r="X800" s="90"/>
      <c r="Y800" s="71"/>
      <c r="Z800" s="71"/>
      <c r="AA800" s="71"/>
      <c r="AB800" s="71"/>
      <c r="AC800" s="71"/>
      <c r="AD800" s="71"/>
      <c r="AE800" s="71"/>
      <c r="AF800" s="71"/>
      <c r="AG800" s="82">
        <v>0.1</v>
      </c>
      <c r="AH800" s="76"/>
      <c r="AI800" s="76"/>
      <c r="AJ800" s="76"/>
      <c r="AK800" s="71">
        <v>0.15</v>
      </c>
      <c r="AL800" s="88">
        <v>3.36214217426926E-2</v>
      </c>
      <c r="AM800" s="89">
        <f t="shared" si="12"/>
        <v>0.22414281161795069</v>
      </c>
      <c r="AN800" s="78"/>
    </row>
    <row r="801" spans="1:40" x14ac:dyDescent="0.25">
      <c r="A801" t="s">
        <v>44</v>
      </c>
      <c r="B801" t="s">
        <v>45</v>
      </c>
      <c r="C801" s="121" t="s">
        <v>174</v>
      </c>
      <c r="D801" t="s">
        <v>193</v>
      </c>
      <c r="E801" t="s">
        <v>59</v>
      </c>
      <c r="F801">
        <v>3</v>
      </c>
      <c r="G801">
        <v>19</v>
      </c>
      <c r="H801" s="86">
        <v>45959.843379826401</v>
      </c>
      <c r="I801" s="86">
        <v>45959.915564074101</v>
      </c>
      <c r="J801" s="87">
        <v>1.73242194444444</v>
      </c>
      <c r="K801" s="69" t="s">
        <v>274</v>
      </c>
      <c r="L801" s="69"/>
      <c r="M801" s="71"/>
      <c r="N801" s="71"/>
      <c r="O801" s="71"/>
      <c r="P801" s="71" t="s">
        <v>275</v>
      </c>
      <c r="Q801" s="88">
        <v>2.47539993422199E-2</v>
      </c>
      <c r="R801" s="89" t="s">
        <v>276</v>
      </c>
      <c r="S801" s="89"/>
      <c r="T801">
        <v>8.8000000000000007</v>
      </c>
      <c r="U801" s="76">
        <v>0.2</v>
      </c>
      <c r="V801">
        <v>9.9</v>
      </c>
      <c r="W801" s="90">
        <v>0.1</v>
      </c>
      <c r="X801" s="90"/>
      <c r="Y801" s="71"/>
      <c r="Z801" s="71"/>
      <c r="AA801" s="71"/>
      <c r="AB801" s="71"/>
      <c r="AC801" s="71"/>
      <c r="AD801" s="71"/>
      <c r="AE801" s="71"/>
      <c r="AF801" s="71"/>
      <c r="AG801" s="82">
        <v>0.1</v>
      </c>
      <c r="AH801" s="76"/>
      <c r="AI801" s="76"/>
      <c r="AJ801" s="76"/>
      <c r="AK801" s="71">
        <v>0.15</v>
      </c>
      <c r="AL801" s="88">
        <v>3.36214217426926E-2</v>
      </c>
      <c r="AM801" s="89">
        <f t="shared" si="12"/>
        <v>0.22414281161795069</v>
      </c>
      <c r="AN801" s="78"/>
    </row>
    <row r="802" spans="1:40" x14ac:dyDescent="0.25">
      <c r="A802" t="s">
        <v>44</v>
      </c>
      <c r="B802" t="s">
        <v>45</v>
      </c>
      <c r="C802" s="121" t="s">
        <v>174</v>
      </c>
      <c r="D802" t="s">
        <v>193</v>
      </c>
      <c r="E802" t="s">
        <v>59</v>
      </c>
      <c r="F802">
        <v>3</v>
      </c>
      <c r="G802">
        <v>20</v>
      </c>
      <c r="H802" s="86">
        <v>45959.915564074101</v>
      </c>
      <c r="I802" s="86">
        <v>45959.987747083302</v>
      </c>
      <c r="J802" s="87">
        <v>1.7323922222222199</v>
      </c>
      <c r="K802" s="69" t="s">
        <v>274</v>
      </c>
      <c r="L802" s="69"/>
      <c r="M802" s="71"/>
      <c r="N802" s="71"/>
      <c r="O802" s="71"/>
      <c r="P802" s="71" t="s">
        <v>275</v>
      </c>
      <c r="Q802" s="88">
        <v>2.6422153973096E-2</v>
      </c>
      <c r="R802" s="89" t="s">
        <v>276</v>
      </c>
      <c r="S802" s="89"/>
      <c r="T802">
        <v>8.9</v>
      </c>
      <c r="U802" s="76">
        <v>0.2</v>
      </c>
      <c r="V802">
        <v>9.9</v>
      </c>
      <c r="W802" s="90">
        <v>0.1</v>
      </c>
      <c r="X802" s="90"/>
      <c r="Y802" s="71"/>
      <c r="Z802" s="71"/>
      <c r="AA802" s="71"/>
      <c r="AB802" s="71"/>
      <c r="AC802" s="71"/>
      <c r="AD802" s="71"/>
      <c r="AE802" s="71"/>
      <c r="AF802" s="71"/>
      <c r="AG802" s="82">
        <v>0.4</v>
      </c>
      <c r="AH802" s="76"/>
      <c r="AI802" s="76"/>
      <c r="AJ802" s="76"/>
      <c r="AK802" s="71">
        <v>0.15</v>
      </c>
      <c r="AL802" s="88">
        <v>3.36214217426926E-2</v>
      </c>
      <c r="AM802" s="89">
        <f t="shared" si="12"/>
        <v>0.22414281161795069</v>
      </c>
      <c r="AN802" s="78"/>
    </row>
    <row r="803" spans="1:40" x14ac:dyDescent="0.25">
      <c r="A803" t="s">
        <v>44</v>
      </c>
      <c r="B803" t="s">
        <v>45</v>
      </c>
      <c r="C803" s="121" t="s">
        <v>174</v>
      </c>
      <c r="D803" t="s">
        <v>193</v>
      </c>
      <c r="E803" t="s">
        <v>59</v>
      </c>
      <c r="F803">
        <v>3</v>
      </c>
      <c r="G803">
        <v>21</v>
      </c>
      <c r="H803" s="86">
        <v>45959.987747083302</v>
      </c>
      <c r="I803" s="86">
        <v>45960.059929710696</v>
      </c>
      <c r="J803" s="87">
        <v>1.7323830555555599</v>
      </c>
      <c r="K803" s="69" t="s">
        <v>274</v>
      </c>
      <c r="L803" s="69"/>
      <c r="M803" s="71"/>
      <c r="N803" s="71"/>
      <c r="O803" s="71"/>
      <c r="P803" s="71" t="s">
        <v>275</v>
      </c>
      <c r="Q803" s="88">
        <v>2.5811803292166698E-2</v>
      </c>
      <c r="R803" s="89" t="s">
        <v>276</v>
      </c>
      <c r="S803" s="89"/>
      <c r="T803">
        <v>8.6999999999999993</v>
      </c>
      <c r="U803" s="76">
        <v>0.2</v>
      </c>
      <c r="V803">
        <v>9.9</v>
      </c>
      <c r="W803" s="90">
        <v>0.1</v>
      </c>
      <c r="X803" s="90"/>
      <c r="Y803" s="71"/>
      <c r="Z803" s="71"/>
      <c r="AA803" s="71"/>
      <c r="AB803" s="71"/>
      <c r="AC803" s="71"/>
      <c r="AD803" s="71"/>
      <c r="AE803" s="71"/>
      <c r="AF803" s="71"/>
      <c r="AG803" s="82">
        <v>2.6</v>
      </c>
      <c r="AH803" s="76"/>
      <c r="AI803" s="76"/>
      <c r="AJ803" s="76"/>
      <c r="AK803" s="71">
        <v>0.15</v>
      </c>
      <c r="AL803" s="88">
        <v>3.36214217426926E-2</v>
      </c>
      <c r="AM803" s="89">
        <f t="shared" si="12"/>
        <v>0.22414281161795069</v>
      </c>
      <c r="AN803" s="78"/>
    </row>
    <row r="804" spans="1:40" x14ac:dyDescent="0.25">
      <c r="A804" t="s">
        <v>44</v>
      </c>
      <c r="B804" t="s">
        <v>45</v>
      </c>
      <c r="C804" s="121" t="s">
        <v>174</v>
      </c>
      <c r="D804" t="s">
        <v>193</v>
      </c>
      <c r="E804" t="s">
        <v>59</v>
      </c>
      <c r="F804">
        <v>3</v>
      </c>
      <c r="G804">
        <v>22</v>
      </c>
      <c r="H804" s="86">
        <v>45960.059929710696</v>
      </c>
      <c r="I804" s="86">
        <v>45960.1321179398</v>
      </c>
      <c r="J804" s="87">
        <v>1.7325174999999999</v>
      </c>
      <c r="K804" s="69" t="s">
        <v>274</v>
      </c>
      <c r="L804" s="69"/>
      <c r="M804" s="71"/>
      <c r="N804" s="71"/>
      <c r="O804" s="71"/>
      <c r="P804" s="71" t="s">
        <v>275</v>
      </c>
      <c r="Q804" s="88">
        <v>2.5316413657976902E-2</v>
      </c>
      <c r="R804" s="89" t="s">
        <v>276</v>
      </c>
      <c r="S804" s="89"/>
      <c r="T804">
        <v>8.6999999999999993</v>
      </c>
      <c r="U804" s="76">
        <v>0.2</v>
      </c>
      <c r="V804">
        <v>9.9</v>
      </c>
      <c r="W804" s="90">
        <v>0.1</v>
      </c>
      <c r="X804" s="90"/>
      <c r="Y804" s="71"/>
      <c r="Z804" s="71"/>
      <c r="AA804" s="71"/>
      <c r="AB804" s="71"/>
      <c r="AC804" s="71"/>
      <c r="AD804" s="71"/>
      <c r="AE804" s="71"/>
      <c r="AF804" s="71"/>
      <c r="AG804" s="82">
        <v>1.7</v>
      </c>
      <c r="AH804" s="76"/>
      <c r="AI804" s="76"/>
      <c r="AJ804" s="76"/>
      <c r="AK804" s="71">
        <v>0.15</v>
      </c>
      <c r="AL804" s="88">
        <v>3.36214217426926E-2</v>
      </c>
      <c r="AM804" s="89">
        <f t="shared" si="12"/>
        <v>0.22414281161795069</v>
      </c>
      <c r="AN804" s="78"/>
    </row>
    <row r="805" spans="1:40" x14ac:dyDescent="0.25">
      <c r="A805" t="s">
        <v>44</v>
      </c>
      <c r="B805" t="s">
        <v>45</v>
      </c>
      <c r="C805" s="121" t="s">
        <v>174</v>
      </c>
      <c r="D805" t="s">
        <v>193</v>
      </c>
      <c r="E805" t="s">
        <v>59</v>
      </c>
      <c r="F805">
        <v>3</v>
      </c>
      <c r="G805">
        <v>23</v>
      </c>
      <c r="H805" s="86">
        <v>45960.1321179398</v>
      </c>
      <c r="I805" s="86">
        <v>45960.204295000003</v>
      </c>
      <c r="J805" s="87">
        <v>1.7322494444444501</v>
      </c>
      <c r="K805" s="69" t="s">
        <v>274</v>
      </c>
      <c r="L805" s="69"/>
      <c r="M805" s="71"/>
      <c r="N805" s="71"/>
      <c r="O805" s="71"/>
      <c r="P805" s="71" t="s">
        <v>275</v>
      </c>
      <c r="Q805" s="88">
        <v>2.6985312460696201E-2</v>
      </c>
      <c r="R805" s="89" t="s">
        <v>276</v>
      </c>
      <c r="S805" s="89"/>
      <c r="T805">
        <v>8.6999999999999993</v>
      </c>
      <c r="U805" s="76">
        <v>0.2</v>
      </c>
      <c r="V805">
        <v>9.8000000000000007</v>
      </c>
      <c r="W805" s="90">
        <v>0.1</v>
      </c>
      <c r="X805" s="90"/>
      <c r="Y805" s="71"/>
      <c r="Z805" s="71"/>
      <c r="AA805" s="71"/>
      <c r="AB805" s="71"/>
      <c r="AC805" s="71"/>
      <c r="AD805" s="71"/>
      <c r="AE805" s="71"/>
      <c r="AF805" s="71"/>
      <c r="AG805" s="82">
        <v>2.1</v>
      </c>
      <c r="AH805" s="76"/>
      <c r="AI805" s="76"/>
      <c r="AJ805" s="76"/>
      <c r="AK805" s="71">
        <v>0.15</v>
      </c>
      <c r="AL805" s="88">
        <v>3.36214217426926E-2</v>
      </c>
      <c r="AM805" s="89">
        <f t="shared" si="12"/>
        <v>0.22414281161795069</v>
      </c>
      <c r="AN805" s="78"/>
    </row>
    <row r="806" spans="1:40" x14ac:dyDescent="0.25">
      <c r="A806" t="s">
        <v>44</v>
      </c>
      <c r="B806" t="s">
        <v>45</v>
      </c>
      <c r="C806" s="121" t="s">
        <v>174</v>
      </c>
      <c r="D806" t="s">
        <v>193</v>
      </c>
      <c r="E806" t="s">
        <v>59</v>
      </c>
      <c r="F806">
        <v>3</v>
      </c>
      <c r="G806">
        <v>24</v>
      </c>
      <c r="H806" s="86">
        <v>45960.204295000003</v>
      </c>
      <c r="I806" s="86">
        <v>45960.276482233799</v>
      </c>
      <c r="J806" s="87">
        <v>1.73249361111111</v>
      </c>
      <c r="K806" s="69" t="s">
        <v>274</v>
      </c>
      <c r="L806" s="69"/>
      <c r="M806" s="71"/>
      <c r="N806" s="71"/>
      <c r="O806" s="71"/>
      <c r="P806" s="71" t="s">
        <v>275</v>
      </c>
      <c r="Q806" s="88">
        <v>3.1627487372673298E-2</v>
      </c>
      <c r="R806" s="89" t="s">
        <v>276</v>
      </c>
      <c r="S806" s="89"/>
      <c r="T806">
        <v>8.5</v>
      </c>
      <c r="U806" s="76">
        <v>0.2</v>
      </c>
      <c r="V806">
        <v>9.8000000000000007</v>
      </c>
      <c r="W806" s="90">
        <v>0.1</v>
      </c>
      <c r="X806" s="90"/>
      <c r="Y806" s="71"/>
      <c r="Z806" s="71"/>
      <c r="AA806" s="71"/>
      <c r="AB806" s="71"/>
      <c r="AC806" s="71"/>
      <c r="AD806" s="71"/>
      <c r="AE806" s="71"/>
      <c r="AF806" s="71"/>
      <c r="AG806" s="82">
        <v>1.5</v>
      </c>
      <c r="AH806" s="76"/>
      <c r="AI806" s="76"/>
      <c r="AJ806" s="76"/>
      <c r="AK806" s="71">
        <v>0.15</v>
      </c>
      <c r="AL806" s="88">
        <v>3.36214217426926E-2</v>
      </c>
      <c r="AM806" s="89">
        <f t="shared" si="12"/>
        <v>0.22414281161795069</v>
      </c>
      <c r="AN806" s="78"/>
    </row>
    <row r="807" spans="1:40" x14ac:dyDescent="0.25">
      <c r="A807" t="s">
        <v>44</v>
      </c>
      <c r="B807" t="s">
        <v>45</v>
      </c>
      <c r="C807" s="121" t="s">
        <v>174</v>
      </c>
      <c r="D807" t="s">
        <v>193</v>
      </c>
      <c r="E807" t="s">
        <v>59</v>
      </c>
      <c r="F807">
        <v>3</v>
      </c>
      <c r="G807">
        <v>25</v>
      </c>
      <c r="H807" s="86">
        <v>45960.276482233799</v>
      </c>
      <c r="I807" s="86">
        <v>45960.3486795602</v>
      </c>
      <c r="J807" s="87">
        <v>1.73273583333333</v>
      </c>
      <c r="K807" s="69" t="s">
        <v>274</v>
      </c>
      <c r="L807" s="69"/>
      <c r="M807" s="71"/>
      <c r="N807" s="71"/>
      <c r="O807" s="71"/>
      <c r="P807" s="71" t="s">
        <v>275</v>
      </c>
      <c r="Q807" s="88">
        <v>3.5852796454713003E-2</v>
      </c>
      <c r="R807" s="89" t="s">
        <v>276</v>
      </c>
      <c r="S807" s="89"/>
      <c r="T807">
        <v>8</v>
      </c>
      <c r="U807" s="76">
        <v>0.2</v>
      </c>
      <c r="V807">
        <v>9.8000000000000007</v>
      </c>
      <c r="W807" s="90">
        <v>0.1</v>
      </c>
      <c r="X807" s="90"/>
      <c r="Y807" s="71"/>
      <c r="Z807" s="71"/>
      <c r="AA807" s="71"/>
      <c r="AB807" s="71"/>
      <c r="AC807" s="71"/>
      <c r="AD807" s="71"/>
      <c r="AE807" s="71"/>
      <c r="AF807" s="71"/>
      <c r="AG807" s="82">
        <v>0.1</v>
      </c>
      <c r="AH807" s="76"/>
      <c r="AI807" s="76"/>
      <c r="AJ807" s="76"/>
      <c r="AK807" s="71">
        <v>0.15</v>
      </c>
      <c r="AL807" s="88">
        <v>3.36214217426926E-2</v>
      </c>
      <c r="AM807" s="89">
        <f t="shared" si="12"/>
        <v>0.22414281161795069</v>
      </c>
      <c r="AN807" s="78"/>
    </row>
    <row r="808" spans="1:40" x14ac:dyDescent="0.25">
      <c r="A808" t="s">
        <v>44</v>
      </c>
      <c r="B808" t="s">
        <v>45</v>
      </c>
      <c r="C808" s="121" t="s">
        <v>174</v>
      </c>
      <c r="D808" t="s">
        <v>193</v>
      </c>
      <c r="E808" t="s">
        <v>59</v>
      </c>
      <c r="F808">
        <v>3</v>
      </c>
      <c r="G808">
        <v>26</v>
      </c>
      <c r="H808" s="86">
        <v>45960.3486795602</v>
      </c>
      <c r="I808" s="86">
        <v>45960.420846458299</v>
      </c>
      <c r="J808" s="87">
        <v>1.73200555555556</v>
      </c>
      <c r="K808" s="69" t="s">
        <v>274</v>
      </c>
      <c r="L808" s="69"/>
      <c r="M808" s="71"/>
      <c r="N808" s="71"/>
      <c r="O808" s="71"/>
      <c r="P808" s="71" t="s">
        <v>275</v>
      </c>
      <c r="Q808" s="88">
        <v>3.99493796574295E-2</v>
      </c>
      <c r="R808" s="89" t="s">
        <v>276</v>
      </c>
      <c r="S808" s="89"/>
      <c r="T808">
        <v>8.1</v>
      </c>
      <c r="U808" s="76">
        <v>0.2</v>
      </c>
      <c r="V808">
        <v>9.8000000000000007</v>
      </c>
      <c r="W808" s="90">
        <v>0.1</v>
      </c>
      <c r="X808" s="90"/>
      <c r="Y808" s="71"/>
      <c r="Z808" s="71"/>
      <c r="AA808" s="71"/>
      <c r="AB808" s="71"/>
      <c r="AC808" s="71"/>
      <c r="AD808" s="71"/>
      <c r="AE808" s="71"/>
      <c r="AF808" s="71"/>
      <c r="AG808" s="82">
        <v>0.3</v>
      </c>
      <c r="AH808" s="76"/>
      <c r="AI808" s="76"/>
      <c r="AJ808" s="76"/>
      <c r="AK808" s="71">
        <v>0.15</v>
      </c>
      <c r="AL808" s="88">
        <v>3.36214217426926E-2</v>
      </c>
      <c r="AM808" s="89">
        <f t="shared" si="12"/>
        <v>0.22414281161795069</v>
      </c>
      <c r="AN808" s="78"/>
    </row>
    <row r="809" spans="1:40" x14ac:dyDescent="0.25">
      <c r="A809" t="s">
        <v>44</v>
      </c>
      <c r="B809" t="s">
        <v>45</v>
      </c>
      <c r="C809" s="121" t="s">
        <v>174</v>
      </c>
      <c r="D809" t="s">
        <v>193</v>
      </c>
      <c r="E809" t="s">
        <v>59</v>
      </c>
      <c r="F809">
        <v>3</v>
      </c>
      <c r="G809">
        <v>27</v>
      </c>
      <c r="H809" s="86">
        <v>45960.420846458299</v>
      </c>
      <c r="I809" s="86">
        <v>45960.493037384302</v>
      </c>
      <c r="J809" s="87">
        <v>1.73258222222222</v>
      </c>
      <c r="K809" s="69" t="s">
        <v>274</v>
      </c>
      <c r="L809" s="69"/>
      <c r="M809" s="71"/>
      <c r="N809" s="71"/>
      <c r="O809" s="71"/>
      <c r="P809" s="71" t="s">
        <v>275</v>
      </c>
      <c r="Q809" s="88">
        <v>6.2853409057006204E-2</v>
      </c>
      <c r="R809" s="89" t="s">
        <v>276</v>
      </c>
      <c r="S809" s="89"/>
      <c r="T809">
        <v>7.4</v>
      </c>
      <c r="U809" s="76">
        <v>0.2</v>
      </c>
      <c r="V809">
        <v>9.8000000000000007</v>
      </c>
      <c r="W809" s="90">
        <v>0.1</v>
      </c>
      <c r="X809" s="90"/>
      <c r="Y809" s="71"/>
      <c r="Z809" s="71"/>
      <c r="AA809" s="71"/>
      <c r="AB809" s="71"/>
      <c r="AC809" s="71"/>
      <c r="AD809" s="71"/>
      <c r="AE809" s="71"/>
      <c r="AF809" s="71"/>
      <c r="AG809" s="82">
        <v>0.1</v>
      </c>
      <c r="AH809" s="76"/>
      <c r="AI809" s="76"/>
      <c r="AJ809" s="76"/>
      <c r="AK809" s="71">
        <v>0.15</v>
      </c>
      <c r="AL809" s="88">
        <v>3.36214217426926E-2</v>
      </c>
      <c r="AM809" s="89">
        <f t="shared" si="12"/>
        <v>0.22414281161795069</v>
      </c>
      <c r="AN809" s="78"/>
    </row>
    <row r="810" spans="1:40" x14ac:dyDescent="0.25">
      <c r="A810" t="s">
        <v>44</v>
      </c>
      <c r="B810" t="s">
        <v>45</v>
      </c>
      <c r="C810" s="121" t="s">
        <v>174</v>
      </c>
      <c r="D810" t="s">
        <v>193</v>
      </c>
      <c r="E810" t="s">
        <v>59</v>
      </c>
      <c r="F810">
        <v>3</v>
      </c>
      <c r="G810">
        <v>28</v>
      </c>
      <c r="H810" s="86">
        <v>45960.493037384302</v>
      </c>
      <c r="I810" s="86">
        <v>45960.565231330998</v>
      </c>
      <c r="J810" s="87">
        <v>1.7326547222222199</v>
      </c>
      <c r="K810" s="69" t="s">
        <v>274</v>
      </c>
      <c r="L810" s="69"/>
      <c r="M810" s="71"/>
      <c r="N810" s="71"/>
      <c r="O810" s="71"/>
      <c r="P810" s="71" t="s">
        <v>275</v>
      </c>
      <c r="Q810" s="88">
        <v>0.139334155970776</v>
      </c>
      <c r="R810" s="89" t="s">
        <v>276</v>
      </c>
      <c r="S810" s="89"/>
      <c r="T810">
        <v>10.1</v>
      </c>
      <c r="U810" s="76">
        <v>0.2</v>
      </c>
      <c r="V810">
        <v>9.8000000000000007</v>
      </c>
      <c r="W810" s="90">
        <v>0.1</v>
      </c>
      <c r="X810" s="90"/>
      <c r="Y810" s="71"/>
      <c r="Z810" s="71"/>
      <c r="AA810" s="71"/>
      <c r="AB810" s="71"/>
      <c r="AC810" s="71"/>
      <c r="AD810" s="71"/>
      <c r="AE810" s="71"/>
      <c r="AF810" s="71"/>
      <c r="AG810" s="82">
        <v>0</v>
      </c>
      <c r="AH810" s="76"/>
      <c r="AI810" s="76"/>
      <c r="AJ810" s="76"/>
      <c r="AK810" s="71">
        <v>0.15</v>
      </c>
      <c r="AL810" s="88">
        <v>3.36214217426926E-2</v>
      </c>
      <c r="AM810" s="89">
        <f t="shared" si="12"/>
        <v>0.22414281161795069</v>
      </c>
      <c r="AN810" s="78"/>
    </row>
    <row r="811" spans="1:40" x14ac:dyDescent="0.25">
      <c r="A811" t="s">
        <v>44</v>
      </c>
      <c r="B811" t="s">
        <v>45</v>
      </c>
      <c r="C811" s="121" t="s">
        <v>174</v>
      </c>
      <c r="D811" t="s">
        <v>193</v>
      </c>
      <c r="E811" t="s">
        <v>59</v>
      </c>
      <c r="F811">
        <v>3</v>
      </c>
      <c r="G811">
        <v>29</v>
      </c>
      <c r="H811" s="86">
        <v>45960.565231330998</v>
      </c>
      <c r="I811" s="86">
        <v>45960.637417905098</v>
      </c>
      <c r="J811" s="87">
        <v>1.73247777777778</v>
      </c>
      <c r="K811" s="69" t="s">
        <v>274</v>
      </c>
      <c r="L811" s="69"/>
      <c r="M811" s="71"/>
      <c r="N811" s="71"/>
      <c r="O811" s="71"/>
      <c r="P811" s="71" t="s">
        <v>275</v>
      </c>
      <c r="Q811" s="88">
        <v>0.13455738782103099</v>
      </c>
      <c r="R811" s="89" t="s">
        <v>276</v>
      </c>
      <c r="S811" s="89"/>
      <c r="T811">
        <v>10.6</v>
      </c>
      <c r="U811" s="76">
        <v>0.2</v>
      </c>
      <c r="V811">
        <v>9.9</v>
      </c>
      <c r="W811" s="90">
        <v>0.1</v>
      </c>
      <c r="X811" s="90"/>
      <c r="Y811" s="71"/>
      <c r="Z811" s="71"/>
      <c r="AA811" s="71"/>
      <c r="AB811" s="71"/>
      <c r="AC811" s="71"/>
      <c r="AD811" s="71"/>
      <c r="AE811" s="71"/>
      <c r="AF811" s="71"/>
      <c r="AG811" s="82">
        <v>0</v>
      </c>
      <c r="AH811" s="76"/>
      <c r="AI811" s="76"/>
      <c r="AJ811" s="76"/>
      <c r="AK811" s="71">
        <v>0.15</v>
      </c>
      <c r="AL811" s="88">
        <v>3.36214217426926E-2</v>
      </c>
      <c r="AM811" s="89">
        <f t="shared" si="12"/>
        <v>0.22414281161795069</v>
      </c>
      <c r="AN811" s="78"/>
    </row>
    <row r="812" spans="1:40" x14ac:dyDescent="0.25">
      <c r="A812" t="s">
        <v>44</v>
      </c>
      <c r="B812" t="s">
        <v>45</v>
      </c>
      <c r="C812" s="121" t="s">
        <v>174</v>
      </c>
      <c r="D812" t="s">
        <v>193</v>
      </c>
      <c r="E812" t="s">
        <v>59</v>
      </c>
      <c r="F812">
        <v>3</v>
      </c>
      <c r="G812">
        <v>30</v>
      </c>
      <c r="H812" s="86">
        <v>45960.637417905098</v>
      </c>
      <c r="I812" s="86">
        <v>45960.709607418998</v>
      </c>
      <c r="J812" s="87">
        <v>1.73254833333333</v>
      </c>
      <c r="K812" s="69" t="s">
        <v>274</v>
      </c>
      <c r="L812" s="69"/>
      <c r="M812" s="71"/>
      <c r="N812" s="71"/>
      <c r="O812" s="71"/>
      <c r="P812" s="71" t="s">
        <v>275</v>
      </c>
      <c r="Q812" s="88">
        <v>4.2001008675138403E-2</v>
      </c>
      <c r="R812" s="89" t="s">
        <v>276</v>
      </c>
      <c r="S812" s="89"/>
      <c r="T812">
        <v>9.1</v>
      </c>
      <c r="U812" s="76">
        <v>0.2</v>
      </c>
      <c r="V812">
        <v>9.9</v>
      </c>
      <c r="W812" s="90">
        <v>0.1</v>
      </c>
      <c r="X812" s="90"/>
      <c r="Y812" s="71"/>
      <c r="Z812" s="71"/>
      <c r="AA812" s="71"/>
      <c r="AB812" s="71"/>
      <c r="AC812" s="71"/>
      <c r="AD812" s="71"/>
      <c r="AE812" s="71"/>
      <c r="AF812" s="71"/>
      <c r="AG812" s="82">
        <v>1.2</v>
      </c>
      <c r="AH812" s="76"/>
      <c r="AI812" s="76"/>
      <c r="AJ812" s="76"/>
      <c r="AK812" s="71">
        <v>0.15</v>
      </c>
      <c r="AL812" s="88">
        <v>3.36214217426926E-2</v>
      </c>
      <c r="AM812" s="89">
        <f t="shared" si="12"/>
        <v>0.22414281161795069</v>
      </c>
      <c r="AN812" s="78"/>
    </row>
    <row r="813" spans="1:40" x14ac:dyDescent="0.25">
      <c r="A813" t="s">
        <v>44</v>
      </c>
      <c r="B813" t="s">
        <v>45</v>
      </c>
      <c r="C813" s="121" t="s">
        <v>174</v>
      </c>
      <c r="D813" t="s">
        <v>193</v>
      </c>
      <c r="E813" t="s">
        <v>59</v>
      </c>
      <c r="F813">
        <v>3</v>
      </c>
      <c r="G813">
        <v>31</v>
      </c>
      <c r="H813" s="86">
        <v>45960.709607418998</v>
      </c>
      <c r="I813" s="86">
        <v>45960.781784872699</v>
      </c>
      <c r="J813" s="87">
        <v>1.7322588888888899</v>
      </c>
      <c r="K813" s="69" t="s">
        <v>274</v>
      </c>
      <c r="L813" s="69"/>
      <c r="M813" s="71"/>
      <c r="N813" s="71"/>
      <c r="O813" s="71"/>
      <c r="P813" s="71" t="s">
        <v>275</v>
      </c>
      <c r="Q813" s="88">
        <v>4.5868321444931803E-2</v>
      </c>
      <c r="R813" s="89" t="s">
        <v>276</v>
      </c>
      <c r="S813" s="89"/>
      <c r="T813">
        <v>4.4000000000000004</v>
      </c>
      <c r="U813" s="76">
        <v>0.2</v>
      </c>
      <c r="V813">
        <v>10</v>
      </c>
      <c r="W813" s="90">
        <v>0.1</v>
      </c>
      <c r="X813" s="90"/>
      <c r="Y813" s="71"/>
      <c r="Z813" s="71"/>
      <c r="AA813" s="71"/>
      <c r="AB813" s="71"/>
      <c r="AC813" s="71"/>
      <c r="AD813" s="71"/>
      <c r="AE813" s="71"/>
      <c r="AF813" s="71"/>
      <c r="AG813" s="82">
        <v>0</v>
      </c>
      <c r="AH813" s="76"/>
      <c r="AI813" s="76"/>
      <c r="AJ813" s="76"/>
      <c r="AK813" s="71">
        <v>0.15</v>
      </c>
      <c r="AL813" s="88">
        <v>3.36214217426926E-2</v>
      </c>
      <c r="AM813" s="89">
        <f t="shared" si="12"/>
        <v>0.22414281161795069</v>
      </c>
      <c r="AN813" s="78"/>
    </row>
    <row r="814" spans="1:40" x14ac:dyDescent="0.25">
      <c r="A814" t="s">
        <v>44</v>
      </c>
      <c r="B814" t="s">
        <v>45</v>
      </c>
      <c r="C814" s="121" t="s">
        <v>174</v>
      </c>
      <c r="D814" t="s">
        <v>193</v>
      </c>
      <c r="E814" t="s">
        <v>59</v>
      </c>
      <c r="F814">
        <v>3</v>
      </c>
      <c r="G814">
        <v>32</v>
      </c>
      <c r="H814" s="86">
        <v>45960.781784872699</v>
      </c>
      <c r="I814" s="86">
        <v>45960.8539734722</v>
      </c>
      <c r="J814" s="87">
        <v>1.73252638888889</v>
      </c>
      <c r="K814" s="69" t="s">
        <v>274</v>
      </c>
      <c r="L814" s="69"/>
      <c r="M814" s="71"/>
      <c r="N814" s="71"/>
      <c r="O814" s="71"/>
      <c r="P814" s="71" t="s">
        <v>275</v>
      </c>
      <c r="Q814" s="88">
        <v>6.0477630575918102E-2</v>
      </c>
      <c r="R814" s="89" t="s">
        <v>276</v>
      </c>
      <c r="S814" s="89"/>
      <c r="T814">
        <v>4.2</v>
      </c>
      <c r="U814" s="76">
        <v>0.2</v>
      </c>
      <c r="V814">
        <v>9.8000000000000007</v>
      </c>
      <c r="W814" s="90">
        <v>0.1</v>
      </c>
      <c r="X814" s="90"/>
      <c r="Y814" s="71"/>
      <c r="Z814" s="71"/>
      <c r="AA814" s="71"/>
      <c r="AB814" s="71"/>
      <c r="AC814" s="71"/>
      <c r="AD814" s="71"/>
      <c r="AE814" s="71"/>
      <c r="AF814" s="71"/>
      <c r="AG814" s="82">
        <v>0</v>
      </c>
      <c r="AH814" s="76"/>
      <c r="AI814" s="76"/>
      <c r="AJ814" s="76"/>
      <c r="AK814" s="71">
        <v>0.15</v>
      </c>
      <c r="AL814" s="88">
        <v>3.36214217426926E-2</v>
      </c>
      <c r="AM814" s="89">
        <f t="shared" si="12"/>
        <v>0.22414281161795069</v>
      </c>
      <c r="AN814" s="78"/>
    </row>
    <row r="815" spans="1:40" x14ac:dyDescent="0.25">
      <c r="A815" t="s">
        <v>44</v>
      </c>
      <c r="B815" t="s">
        <v>45</v>
      </c>
      <c r="C815" s="121" t="s">
        <v>174</v>
      </c>
      <c r="D815" t="s">
        <v>193</v>
      </c>
      <c r="E815" t="s">
        <v>59</v>
      </c>
      <c r="F815">
        <v>3</v>
      </c>
      <c r="G815">
        <v>33</v>
      </c>
      <c r="H815" s="86">
        <v>45960.8539734722</v>
      </c>
      <c r="I815" s="86">
        <v>45960.9261477662</v>
      </c>
      <c r="J815" s="87">
        <v>1.73218305555556</v>
      </c>
      <c r="K815" s="69" t="s">
        <v>274</v>
      </c>
      <c r="L815" s="69"/>
      <c r="M815" s="71"/>
      <c r="N815" s="71"/>
      <c r="O815" s="71"/>
      <c r="P815" s="71" t="s">
        <v>275</v>
      </c>
      <c r="Q815" s="88">
        <v>6.3442918200095996E-2</v>
      </c>
      <c r="R815" s="89" t="s">
        <v>276</v>
      </c>
      <c r="S815" s="89"/>
      <c r="T815">
        <v>3.1</v>
      </c>
      <c r="U815" s="76">
        <v>0.2</v>
      </c>
      <c r="V815">
        <v>9.6999999999999993</v>
      </c>
      <c r="W815" s="90">
        <v>0.1</v>
      </c>
      <c r="X815" s="90"/>
      <c r="Y815" s="71"/>
      <c r="Z815" s="71"/>
      <c r="AA815" s="71"/>
      <c r="AB815" s="71"/>
      <c r="AC815" s="71"/>
      <c r="AD815" s="71"/>
      <c r="AE815" s="71"/>
      <c r="AF815" s="71"/>
      <c r="AG815" s="82">
        <v>0</v>
      </c>
      <c r="AH815" s="76"/>
      <c r="AI815" s="76"/>
      <c r="AJ815" s="76"/>
      <c r="AK815" s="71">
        <v>0.15</v>
      </c>
      <c r="AL815" s="88">
        <v>3.36214217426926E-2</v>
      </c>
      <c r="AM815" s="89">
        <f t="shared" si="12"/>
        <v>0.22414281161795069</v>
      </c>
      <c r="AN815" s="78"/>
    </row>
    <row r="816" spans="1:40" x14ac:dyDescent="0.25">
      <c r="A816" t="s">
        <v>44</v>
      </c>
      <c r="B816" t="s">
        <v>45</v>
      </c>
      <c r="C816" s="121" t="s">
        <v>174</v>
      </c>
      <c r="D816" t="s">
        <v>193</v>
      </c>
      <c r="E816" t="s">
        <v>59</v>
      </c>
      <c r="F816">
        <v>3</v>
      </c>
      <c r="G816">
        <v>34</v>
      </c>
      <c r="H816" s="86">
        <v>45960.9261477662</v>
      </c>
      <c r="I816" s="86">
        <v>45960.998331053197</v>
      </c>
      <c r="J816" s="87">
        <v>1.7323988888888899</v>
      </c>
      <c r="K816" s="69" t="s">
        <v>274</v>
      </c>
      <c r="L816" s="69"/>
      <c r="M816" s="71"/>
      <c r="N816" s="71"/>
      <c r="O816" s="71"/>
      <c r="P816" s="71" t="s">
        <v>275</v>
      </c>
      <c r="Q816" s="88">
        <v>6.5991773634971607E-2</v>
      </c>
      <c r="R816" s="89" t="s">
        <v>276</v>
      </c>
      <c r="S816" s="89"/>
      <c r="T816">
        <v>3.6</v>
      </c>
      <c r="U816" s="76">
        <v>0.2</v>
      </c>
      <c r="V816">
        <v>9.5</v>
      </c>
      <c r="W816" s="90">
        <v>0.1</v>
      </c>
      <c r="X816" s="90"/>
      <c r="Y816" s="71"/>
      <c r="Z816" s="71"/>
      <c r="AA816" s="71"/>
      <c r="AB816" s="71"/>
      <c r="AC816" s="71"/>
      <c r="AD816" s="71"/>
      <c r="AE816" s="71"/>
      <c r="AF816" s="71"/>
      <c r="AG816" s="82">
        <v>0</v>
      </c>
      <c r="AH816" s="76"/>
      <c r="AI816" s="76"/>
      <c r="AJ816" s="76"/>
      <c r="AK816" s="71">
        <v>0.15</v>
      </c>
      <c r="AL816" s="88">
        <v>3.36214217426926E-2</v>
      </c>
      <c r="AM816" s="89">
        <f t="shared" si="12"/>
        <v>0.22414281161795069</v>
      </c>
      <c r="AN816" s="78"/>
    </row>
    <row r="817" spans="1:40" x14ac:dyDescent="0.25">
      <c r="A817" t="s">
        <v>44</v>
      </c>
      <c r="B817" t="s">
        <v>45</v>
      </c>
      <c r="C817" s="121" t="s">
        <v>174</v>
      </c>
      <c r="D817" t="s">
        <v>193</v>
      </c>
      <c r="E817" t="s">
        <v>59</v>
      </c>
      <c r="F817">
        <v>3</v>
      </c>
      <c r="G817">
        <v>35</v>
      </c>
      <c r="H817" s="86">
        <v>45960.998331053197</v>
      </c>
      <c r="I817" s="86">
        <v>45961.070510659702</v>
      </c>
      <c r="J817" s="87">
        <v>1.73231055555556</v>
      </c>
      <c r="K817" s="69" t="s">
        <v>274</v>
      </c>
      <c r="L817" s="69"/>
      <c r="M817" s="71"/>
      <c r="N817" s="71"/>
      <c r="O817" s="71"/>
      <c r="P817" s="71" t="s">
        <v>275</v>
      </c>
      <c r="Q817" s="88">
        <v>7.7041133356053698E-2</v>
      </c>
      <c r="R817" s="89" t="s">
        <v>276</v>
      </c>
      <c r="S817" s="89"/>
      <c r="T817">
        <v>2.2999999999999998</v>
      </c>
      <c r="U817" s="76">
        <v>0.2</v>
      </c>
      <c r="V817">
        <v>9.1999999999999993</v>
      </c>
      <c r="W817" s="90">
        <v>0.1</v>
      </c>
      <c r="X817" s="90"/>
      <c r="Y817" s="71"/>
      <c r="Z817" s="71"/>
      <c r="AA817" s="71"/>
      <c r="AB817" s="71"/>
      <c r="AC817" s="71"/>
      <c r="AD817" s="71"/>
      <c r="AE817" s="71"/>
      <c r="AF817" s="71"/>
      <c r="AG817" s="82">
        <v>0</v>
      </c>
      <c r="AH817" s="76"/>
      <c r="AI817" s="76"/>
      <c r="AJ817" s="76"/>
      <c r="AK817" s="71">
        <v>0.15</v>
      </c>
      <c r="AL817" s="88">
        <v>3.36214217426926E-2</v>
      </c>
      <c r="AM817" s="89">
        <f t="shared" si="12"/>
        <v>0.22414281161795069</v>
      </c>
      <c r="AN817" s="78"/>
    </row>
    <row r="818" spans="1:40" x14ac:dyDescent="0.25">
      <c r="A818" t="s">
        <v>44</v>
      </c>
      <c r="B818" t="s">
        <v>45</v>
      </c>
      <c r="C818" s="121" t="s">
        <v>174</v>
      </c>
      <c r="D818" t="s">
        <v>193</v>
      </c>
      <c r="E818" t="s">
        <v>59</v>
      </c>
      <c r="F818">
        <v>3</v>
      </c>
      <c r="G818">
        <v>36</v>
      </c>
      <c r="H818" s="86">
        <v>45961.070510659702</v>
      </c>
      <c r="I818" s="86">
        <v>45961.142708171297</v>
      </c>
      <c r="J818" s="87">
        <v>1.7327402777777801</v>
      </c>
      <c r="K818" s="69" t="s">
        <v>274</v>
      </c>
      <c r="L818" s="69"/>
      <c r="M818" s="71"/>
      <c r="N818" s="71"/>
      <c r="O818" s="71"/>
      <c r="P818" s="71" t="s">
        <v>275</v>
      </c>
      <c r="Q818" s="88">
        <v>7.06445961696998E-2</v>
      </c>
      <c r="R818" s="89" t="s">
        <v>276</v>
      </c>
      <c r="S818" s="89"/>
      <c r="T818">
        <v>4.8</v>
      </c>
      <c r="U818" s="76">
        <v>0.2</v>
      </c>
      <c r="V818">
        <v>9</v>
      </c>
      <c r="W818" s="90">
        <v>0.1</v>
      </c>
      <c r="X818" s="90"/>
      <c r="Y818" s="71"/>
      <c r="Z818" s="71"/>
      <c r="AA818" s="71"/>
      <c r="AB818" s="71"/>
      <c r="AC818" s="71"/>
      <c r="AD818" s="71"/>
      <c r="AE818" s="71"/>
      <c r="AF818" s="71"/>
      <c r="AG818" s="82">
        <v>0</v>
      </c>
      <c r="AH818" s="76"/>
      <c r="AI818" s="76"/>
      <c r="AJ818" s="76"/>
      <c r="AK818" s="71">
        <v>0.15</v>
      </c>
      <c r="AL818" s="88">
        <v>3.36214217426926E-2</v>
      </c>
      <c r="AM818" s="89">
        <f t="shared" si="12"/>
        <v>0.22414281161795069</v>
      </c>
      <c r="AN818" s="78"/>
    </row>
    <row r="819" spans="1:40" x14ac:dyDescent="0.25">
      <c r="A819" t="s">
        <v>44</v>
      </c>
      <c r="B819" t="s">
        <v>45</v>
      </c>
      <c r="C819" s="121" t="s">
        <v>174</v>
      </c>
      <c r="D819" t="s">
        <v>193</v>
      </c>
      <c r="E819" t="s">
        <v>59</v>
      </c>
      <c r="F819">
        <v>3</v>
      </c>
      <c r="G819">
        <v>37</v>
      </c>
      <c r="H819" s="86">
        <v>45961.142708171297</v>
      </c>
      <c r="I819" s="86">
        <v>45961.214885127301</v>
      </c>
      <c r="J819" s="87">
        <v>1.7322469444444399</v>
      </c>
      <c r="K819" s="69" t="s">
        <v>274</v>
      </c>
      <c r="L819" s="69"/>
      <c r="M819" s="71"/>
      <c r="N819" s="71"/>
      <c r="O819" s="71"/>
      <c r="P819" s="71" t="s">
        <v>275</v>
      </c>
      <c r="Q819" s="88">
        <v>8.8510095107554296E-2</v>
      </c>
      <c r="R819" s="89" t="s">
        <v>276</v>
      </c>
      <c r="S819" s="89"/>
      <c r="T819">
        <v>4.5999999999999996</v>
      </c>
      <c r="U819" s="76">
        <v>0.2</v>
      </c>
      <c r="V819">
        <v>9</v>
      </c>
      <c r="W819" s="90">
        <v>0.1</v>
      </c>
      <c r="X819" s="90"/>
      <c r="Y819" s="71"/>
      <c r="Z819" s="71"/>
      <c r="AA819" s="71"/>
      <c r="AB819" s="71"/>
      <c r="AC819" s="71"/>
      <c r="AD819" s="71"/>
      <c r="AE819" s="71"/>
      <c r="AF819" s="71"/>
      <c r="AG819" s="82">
        <v>0</v>
      </c>
      <c r="AH819" s="76"/>
      <c r="AI819" s="76"/>
      <c r="AJ819" s="76"/>
      <c r="AK819" s="71">
        <v>0.15</v>
      </c>
      <c r="AL819" s="88">
        <v>3.36214217426926E-2</v>
      </c>
      <c r="AM819" s="89">
        <f t="shared" si="12"/>
        <v>0.22414281161795069</v>
      </c>
      <c r="AN819" s="78"/>
    </row>
    <row r="820" spans="1:40" x14ac:dyDescent="0.25">
      <c r="A820" t="s">
        <v>44</v>
      </c>
      <c r="B820" t="s">
        <v>45</v>
      </c>
      <c r="C820" s="121" t="s">
        <v>174</v>
      </c>
      <c r="D820" t="s">
        <v>193</v>
      </c>
      <c r="E820" t="s">
        <v>59</v>
      </c>
      <c r="F820">
        <v>3</v>
      </c>
      <c r="G820">
        <v>38</v>
      </c>
      <c r="H820" s="86">
        <v>45961.214885127301</v>
      </c>
      <c r="I820" s="86">
        <v>45961.287063182899</v>
      </c>
      <c r="J820" s="87">
        <v>1.73227333333333</v>
      </c>
      <c r="K820" s="69" t="s">
        <v>274</v>
      </c>
      <c r="L820" s="69"/>
      <c r="M820" s="71"/>
      <c r="N820" s="71"/>
      <c r="O820" s="71"/>
      <c r="P820" s="71" t="s">
        <v>275</v>
      </c>
      <c r="Q820" s="88">
        <v>6.3096362370837003E-2</v>
      </c>
      <c r="R820" s="89" t="s">
        <v>276</v>
      </c>
      <c r="S820" s="89"/>
      <c r="T820">
        <v>3.2</v>
      </c>
      <c r="U820" s="76">
        <v>0.2</v>
      </c>
      <c r="V820">
        <v>8.9</v>
      </c>
      <c r="W820" s="90">
        <v>0.1</v>
      </c>
      <c r="X820" s="90"/>
      <c r="Y820" s="71"/>
      <c r="Z820" s="71"/>
      <c r="AA820" s="71"/>
      <c r="AB820" s="71"/>
      <c r="AC820" s="71"/>
      <c r="AD820" s="71"/>
      <c r="AE820" s="71"/>
      <c r="AF820" s="71"/>
      <c r="AG820" s="82">
        <v>0</v>
      </c>
      <c r="AH820" s="76"/>
      <c r="AI820" s="76"/>
      <c r="AJ820" s="76"/>
      <c r="AK820" s="71">
        <v>0.15</v>
      </c>
      <c r="AL820" s="88">
        <v>3.36214217426926E-2</v>
      </c>
      <c r="AM820" s="89">
        <f t="shared" si="12"/>
        <v>0.22414281161795069</v>
      </c>
      <c r="AN820" s="78"/>
    </row>
    <row r="821" spans="1:40" x14ac:dyDescent="0.25">
      <c r="A821" t="s">
        <v>44</v>
      </c>
      <c r="B821" t="s">
        <v>45</v>
      </c>
      <c r="C821" s="121" t="s">
        <v>174</v>
      </c>
      <c r="D821" t="s">
        <v>193</v>
      </c>
      <c r="E821" t="s">
        <v>59</v>
      </c>
      <c r="F821">
        <v>3</v>
      </c>
      <c r="G821">
        <v>39</v>
      </c>
      <c r="H821" s="86">
        <v>45961.287063182899</v>
      </c>
      <c r="I821" s="86">
        <v>45961.359248136599</v>
      </c>
      <c r="J821" s="87">
        <v>1.73243888888889</v>
      </c>
      <c r="K821" s="69" t="s">
        <v>274</v>
      </c>
      <c r="L821" s="69"/>
      <c r="M821" s="71"/>
      <c r="N821" s="71"/>
      <c r="O821" s="71"/>
      <c r="P821" s="71" t="s">
        <v>275</v>
      </c>
      <c r="Q821" s="88">
        <v>7.4429774026094894E-2</v>
      </c>
      <c r="R821" s="89" t="s">
        <v>276</v>
      </c>
      <c r="S821" s="89"/>
      <c r="T821">
        <v>3.6</v>
      </c>
      <c r="U821" s="76">
        <v>0.2</v>
      </c>
      <c r="V821">
        <v>8.8000000000000007</v>
      </c>
      <c r="W821" s="90">
        <v>0.1</v>
      </c>
      <c r="X821" s="90"/>
      <c r="Y821" s="71"/>
      <c r="Z821" s="71"/>
      <c r="AA821" s="71"/>
      <c r="AB821" s="71"/>
      <c r="AC821" s="71"/>
      <c r="AD821" s="71"/>
      <c r="AE821" s="71"/>
      <c r="AF821" s="71"/>
      <c r="AG821" s="82">
        <v>0</v>
      </c>
      <c r="AH821" s="76"/>
      <c r="AI821" s="76"/>
      <c r="AJ821" s="76"/>
      <c r="AK821" s="71">
        <v>0.15</v>
      </c>
      <c r="AL821" s="88">
        <v>3.36214217426926E-2</v>
      </c>
      <c r="AM821" s="89">
        <f t="shared" si="12"/>
        <v>0.22414281161795069</v>
      </c>
      <c r="AN821" s="78"/>
    </row>
    <row r="822" spans="1:40" x14ac:dyDescent="0.25">
      <c r="A822" t="s">
        <v>44</v>
      </c>
      <c r="B822" t="s">
        <v>45</v>
      </c>
      <c r="C822" s="121" t="s">
        <v>174</v>
      </c>
      <c r="D822" t="s">
        <v>193</v>
      </c>
      <c r="E822" t="s">
        <v>59</v>
      </c>
      <c r="F822">
        <v>3</v>
      </c>
      <c r="G822">
        <v>40</v>
      </c>
      <c r="H822" s="86">
        <v>45961.359248136599</v>
      </c>
      <c r="I822" s="86">
        <v>45961.431428101903</v>
      </c>
      <c r="J822" s="87">
        <v>1.73231916666667</v>
      </c>
      <c r="K822" s="69" t="s">
        <v>274</v>
      </c>
      <c r="L822" s="69"/>
      <c r="M822" s="71"/>
      <c r="N822" s="71"/>
      <c r="O822" s="71"/>
      <c r="P822" s="71" t="s">
        <v>275</v>
      </c>
      <c r="Q822" s="88">
        <v>0.11022802717919</v>
      </c>
      <c r="R822" s="89" t="s">
        <v>276</v>
      </c>
      <c r="S822" s="89"/>
      <c r="T822">
        <v>6</v>
      </c>
      <c r="U822" s="76">
        <v>0.2</v>
      </c>
      <c r="V822">
        <v>8.6999999999999993</v>
      </c>
      <c r="W822" s="90">
        <v>0.1</v>
      </c>
      <c r="X822" s="90"/>
      <c r="Y822" s="71"/>
      <c r="Z822" s="71"/>
      <c r="AA822" s="71"/>
      <c r="AB822" s="71"/>
      <c r="AC822" s="71"/>
      <c r="AD822" s="71"/>
      <c r="AE822" s="71"/>
      <c r="AF822" s="71"/>
      <c r="AG822" s="82">
        <v>0</v>
      </c>
      <c r="AH822" s="76"/>
      <c r="AI822" s="76"/>
      <c r="AJ822" s="76"/>
      <c r="AK822" s="71">
        <v>0.15</v>
      </c>
      <c r="AL822" s="88">
        <v>3.36214217426926E-2</v>
      </c>
      <c r="AM822" s="89">
        <f t="shared" si="12"/>
        <v>0.22414281161795069</v>
      </c>
      <c r="AN822" s="78"/>
    </row>
    <row r="823" spans="1:40" x14ac:dyDescent="0.25">
      <c r="A823" t="s">
        <v>44</v>
      </c>
      <c r="B823" t="s">
        <v>45</v>
      </c>
      <c r="C823" s="121" t="s">
        <v>174</v>
      </c>
      <c r="D823" t="s">
        <v>193</v>
      </c>
      <c r="E823" t="s">
        <v>59</v>
      </c>
      <c r="F823">
        <v>3</v>
      </c>
      <c r="G823">
        <v>41</v>
      </c>
      <c r="H823" s="86">
        <v>45961.431428101903</v>
      </c>
      <c r="I823" s="86">
        <v>45961.503613275498</v>
      </c>
      <c r="J823" s="87">
        <v>1.7324441666666699</v>
      </c>
      <c r="K823" s="69" t="s">
        <v>274</v>
      </c>
      <c r="L823" s="69"/>
      <c r="M823" s="71"/>
      <c r="N823" s="71"/>
      <c r="O823" s="71"/>
      <c r="P823" s="71" t="s">
        <v>275</v>
      </c>
      <c r="Q823" s="88">
        <v>0.15143376165289901</v>
      </c>
      <c r="R823" s="89" t="s">
        <v>276</v>
      </c>
      <c r="S823" s="89"/>
      <c r="T823">
        <v>7.3</v>
      </c>
      <c r="U823" s="76">
        <v>0.2</v>
      </c>
      <c r="V823">
        <v>8.6999999999999993</v>
      </c>
      <c r="W823" s="90">
        <v>0.1</v>
      </c>
      <c r="X823" s="90"/>
      <c r="Y823" s="71"/>
      <c r="Z823" s="71"/>
      <c r="AA823" s="71"/>
      <c r="AB823" s="71"/>
      <c r="AC823" s="71"/>
      <c r="AD823" s="71"/>
      <c r="AE823" s="71"/>
      <c r="AF823" s="71"/>
      <c r="AG823" s="82">
        <v>0</v>
      </c>
      <c r="AH823" s="76"/>
      <c r="AI823" s="76"/>
      <c r="AJ823" s="76"/>
      <c r="AK823" s="71">
        <v>0.15</v>
      </c>
      <c r="AL823" s="88">
        <v>3.36214217426926E-2</v>
      </c>
      <c r="AM823" s="89">
        <f t="shared" si="12"/>
        <v>0.22414281161795069</v>
      </c>
      <c r="AN823" s="78"/>
    </row>
    <row r="824" spans="1:40" x14ac:dyDescent="0.25">
      <c r="A824" t="s">
        <v>44</v>
      </c>
      <c r="B824" t="s">
        <v>45</v>
      </c>
      <c r="C824" s="121" t="s">
        <v>174</v>
      </c>
      <c r="D824" t="s">
        <v>193</v>
      </c>
      <c r="E824" t="s">
        <v>59</v>
      </c>
      <c r="F824">
        <v>3</v>
      </c>
      <c r="G824">
        <v>42</v>
      </c>
      <c r="H824" s="86">
        <v>45961.503613275498</v>
      </c>
      <c r="I824" s="86">
        <v>45961.575800231498</v>
      </c>
      <c r="J824" s="87">
        <v>1.7324869444444499</v>
      </c>
      <c r="K824" s="69" t="s">
        <v>274</v>
      </c>
      <c r="L824" s="69"/>
      <c r="M824" s="71"/>
      <c r="N824" s="71"/>
      <c r="O824" s="71"/>
      <c r="P824" s="71" t="s">
        <v>275</v>
      </c>
      <c r="Q824" s="88">
        <v>0.153337079824196</v>
      </c>
      <c r="R824" s="89" t="s">
        <v>276</v>
      </c>
      <c r="S824" s="89"/>
      <c r="T824">
        <v>10.7</v>
      </c>
      <c r="U824" s="76">
        <v>0.2</v>
      </c>
      <c r="V824">
        <v>8.8000000000000007</v>
      </c>
      <c r="W824" s="90">
        <v>0.1</v>
      </c>
      <c r="X824" s="90"/>
      <c r="Y824" s="71"/>
      <c r="Z824" s="71"/>
      <c r="AA824" s="71"/>
      <c r="AB824" s="71"/>
      <c r="AC824" s="71"/>
      <c r="AD824" s="71"/>
      <c r="AE824" s="71"/>
      <c r="AF824" s="71"/>
      <c r="AG824" s="82">
        <v>0</v>
      </c>
      <c r="AH824" s="76"/>
      <c r="AI824" s="76"/>
      <c r="AJ824" s="76"/>
      <c r="AK824" s="71">
        <v>0.15</v>
      </c>
      <c r="AL824" s="88">
        <v>3.36214217426926E-2</v>
      </c>
      <c r="AM824" s="89">
        <f t="shared" si="12"/>
        <v>0.22414281161795069</v>
      </c>
      <c r="AN824" s="78"/>
    </row>
    <row r="825" spans="1:40" x14ac:dyDescent="0.25">
      <c r="A825" t="s">
        <v>44</v>
      </c>
      <c r="B825" t="s">
        <v>45</v>
      </c>
      <c r="C825" s="121" t="s">
        <v>174</v>
      </c>
      <c r="D825" t="s">
        <v>193</v>
      </c>
      <c r="E825" t="s">
        <v>59</v>
      </c>
      <c r="F825">
        <v>3</v>
      </c>
      <c r="G825">
        <v>43</v>
      </c>
      <c r="H825" s="86">
        <v>45961.575800231498</v>
      </c>
      <c r="I825" s="86">
        <v>45961.647987754601</v>
      </c>
      <c r="J825" s="87">
        <v>1.7325005555555599</v>
      </c>
      <c r="K825" s="69" t="s">
        <v>274</v>
      </c>
      <c r="L825" s="69"/>
      <c r="M825" s="71"/>
      <c r="N825" s="71"/>
      <c r="O825" s="71"/>
      <c r="P825" s="71" t="s">
        <v>275</v>
      </c>
      <c r="Q825" s="88">
        <v>0.117936910006518</v>
      </c>
      <c r="R825" s="89" t="s">
        <v>276</v>
      </c>
      <c r="S825" s="89"/>
      <c r="T825">
        <v>10.3</v>
      </c>
      <c r="U825" s="76">
        <v>0.2</v>
      </c>
      <c r="V825">
        <v>9</v>
      </c>
      <c r="W825" s="90">
        <v>0.1</v>
      </c>
      <c r="X825" s="90"/>
      <c r="Y825" s="71"/>
      <c r="Z825" s="71"/>
      <c r="AA825" s="71"/>
      <c r="AB825" s="71"/>
      <c r="AC825" s="71"/>
      <c r="AD825" s="71"/>
      <c r="AE825" s="71"/>
      <c r="AF825" s="71"/>
      <c r="AG825" s="82">
        <v>0</v>
      </c>
      <c r="AH825" s="76"/>
      <c r="AI825" s="76"/>
      <c r="AJ825" s="76"/>
      <c r="AK825" s="71">
        <v>0.15</v>
      </c>
      <c r="AL825" s="88">
        <v>3.36214217426926E-2</v>
      </c>
      <c r="AM825" s="89">
        <f t="shared" si="12"/>
        <v>0.22414281161795069</v>
      </c>
      <c r="AN825" s="78"/>
    </row>
    <row r="826" spans="1:40" x14ac:dyDescent="0.25">
      <c r="A826" t="s">
        <v>44</v>
      </c>
      <c r="B826" t="s">
        <v>45</v>
      </c>
      <c r="C826" s="121" t="s">
        <v>174</v>
      </c>
      <c r="D826" t="s">
        <v>193</v>
      </c>
      <c r="E826" t="s">
        <v>59</v>
      </c>
      <c r="F826">
        <v>3</v>
      </c>
      <c r="G826">
        <v>44</v>
      </c>
      <c r="H826" s="86">
        <v>45961.647987754601</v>
      </c>
      <c r="I826" s="86">
        <v>45961.720160590303</v>
      </c>
      <c r="J826" s="87">
        <v>1.73214805555556</v>
      </c>
      <c r="K826" s="69" t="s">
        <v>274</v>
      </c>
      <c r="L826" s="69"/>
      <c r="M826" s="71"/>
      <c r="N826" s="71"/>
      <c r="O826" s="71"/>
      <c r="P826" s="71" t="s">
        <v>275</v>
      </c>
      <c r="Q826" s="88">
        <v>0.10771923251165701</v>
      </c>
      <c r="R826" s="89" t="s">
        <v>276</v>
      </c>
      <c r="S826" s="89"/>
      <c r="T826">
        <v>8.6999999999999993</v>
      </c>
      <c r="U826" s="76">
        <v>0.2</v>
      </c>
      <c r="V826">
        <v>9.1999999999999993</v>
      </c>
      <c r="W826" s="90">
        <v>0.1</v>
      </c>
      <c r="X826" s="90"/>
      <c r="Y826" s="71"/>
      <c r="Z826" s="71"/>
      <c r="AA826" s="71"/>
      <c r="AB826" s="71"/>
      <c r="AC826" s="71"/>
      <c r="AD826" s="71"/>
      <c r="AE826" s="71"/>
      <c r="AF826" s="71"/>
      <c r="AG826" s="82">
        <v>0</v>
      </c>
      <c r="AH826" s="76"/>
      <c r="AI826" s="76"/>
      <c r="AJ826" s="76"/>
      <c r="AK826" s="71">
        <v>0.15</v>
      </c>
      <c r="AL826" s="88">
        <v>3.36214217426926E-2</v>
      </c>
      <c r="AM826" s="89">
        <f t="shared" si="12"/>
        <v>0.22414281161795069</v>
      </c>
      <c r="AN826" s="78"/>
    </row>
    <row r="827" spans="1:40" x14ac:dyDescent="0.25">
      <c r="A827" t="s">
        <v>44</v>
      </c>
      <c r="B827" t="s">
        <v>45</v>
      </c>
      <c r="C827" s="121" t="s">
        <v>174</v>
      </c>
      <c r="D827" t="s">
        <v>193</v>
      </c>
      <c r="E827" t="s">
        <v>59</v>
      </c>
      <c r="F827">
        <v>3</v>
      </c>
      <c r="G827">
        <v>45</v>
      </c>
      <c r="H827" s="86">
        <v>45961.720160590303</v>
      </c>
      <c r="I827" s="86">
        <v>45961.7923541782</v>
      </c>
      <c r="J827" s="87">
        <v>1.73264611111111</v>
      </c>
      <c r="K827" s="69" t="s">
        <v>274</v>
      </c>
      <c r="L827" s="69"/>
      <c r="M827" s="71"/>
      <c r="N827" s="71"/>
      <c r="O827" s="71"/>
      <c r="P827" s="71" t="s">
        <v>275</v>
      </c>
      <c r="Q827" s="88">
        <v>6.34221073628259E-2</v>
      </c>
      <c r="R827" s="89" t="s">
        <v>276</v>
      </c>
      <c r="S827" s="89"/>
      <c r="T827">
        <v>7.7</v>
      </c>
      <c r="U827" s="76">
        <v>0.2</v>
      </c>
      <c r="V827">
        <v>9.3000000000000007</v>
      </c>
      <c r="W827" s="90">
        <v>0.1</v>
      </c>
      <c r="X827" s="90"/>
      <c r="Y827" s="71"/>
      <c r="Z827" s="71"/>
      <c r="AA827" s="71"/>
      <c r="AB827" s="71"/>
      <c r="AC827" s="71"/>
      <c r="AD827" s="71"/>
      <c r="AE827" s="71"/>
      <c r="AF827" s="71"/>
      <c r="AG827" s="82">
        <v>0</v>
      </c>
      <c r="AH827" s="76"/>
      <c r="AI827" s="76"/>
      <c r="AJ827" s="76"/>
      <c r="AK827" s="71">
        <v>0.15</v>
      </c>
      <c r="AL827" s="88">
        <v>3.36214217426926E-2</v>
      </c>
      <c r="AM827" s="89">
        <f t="shared" si="12"/>
        <v>0.22414281161795069</v>
      </c>
      <c r="AN827" s="78"/>
    </row>
    <row r="828" spans="1:40" x14ac:dyDescent="0.25">
      <c r="A828" t="s">
        <v>44</v>
      </c>
      <c r="B828" t="s">
        <v>45</v>
      </c>
      <c r="C828" s="121" t="s">
        <v>174</v>
      </c>
      <c r="D828" t="s">
        <v>193</v>
      </c>
      <c r="E828" t="s">
        <v>59</v>
      </c>
      <c r="F828">
        <v>3</v>
      </c>
      <c r="G828">
        <v>46</v>
      </c>
      <c r="H828" s="86">
        <v>45961.7923541782</v>
      </c>
      <c r="I828" s="86">
        <v>45961.864538148198</v>
      </c>
      <c r="J828" s="87">
        <v>1.7324152777777799</v>
      </c>
      <c r="K828" s="69" t="s">
        <v>274</v>
      </c>
      <c r="L828" s="69"/>
      <c r="M828" s="71"/>
      <c r="N828" s="71"/>
      <c r="O828" s="71"/>
      <c r="P828" s="71" t="s">
        <v>275</v>
      </c>
      <c r="Q828" s="88">
        <v>6.5208408864252998E-2</v>
      </c>
      <c r="R828" s="89" t="s">
        <v>276</v>
      </c>
      <c r="S828" s="89"/>
      <c r="T828">
        <v>7.7</v>
      </c>
      <c r="U828" s="76">
        <v>0.2</v>
      </c>
      <c r="V828">
        <v>9.3000000000000007</v>
      </c>
      <c r="W828" s="90">
        <v>0.1</v>
      </c>
      <c r="X828" s="90"/>
      <c r="Y828" s="71"/>
      <c r="Z828" s="71"/>
      <c r="AA828" s="71"/>
      <c r="AB828" s="71"/>
      <c r="AC828" s="71"/>
      <c r="AD828" s="71"/>
      <c r="AE828" s="71"/>
      <c r="AF828" s="71"/>
      <c r="AG828" s="82">
        <v>0</v>
      </c>
      <c r="AH828" s="76"/>
      <c r="AI828" s="76"/>
      <c r="AJ828" s="76"/>
      <c r="AK828" s="71">
        <v>0.15</v>
      </c>
      <c r="AL828" s="88">
        <v>3.36214217426926E-2</v>
      </c>
      <c r="AM828" s="89">
        <f t="shared" si="12"/>
        <v>0.22414281161795069</v>
      </c>
      <c r="AN828" s="78"/>
    </row>
    <row r="829" spans="1:40" x14ac:dyDescent="0.25">
      <c r="A829" t="s">
        <v>44</v>
      </c>
      <c r="B829" t="s">
        <v>45</v>
      </c>
      <c r="C829" s="121" t="s">
        <v>174</v>
      </c>
      <c r="D829" t="s">
        <v>193</v>
      </c>
      <c r="E829" t="s">
        <v>59</v>
      </c>
      <c r="F829">
        <v>3</v>
      </c>
      <c r="G829">
        <v>47</v>
      </c>
      <c r="H829" s="86">
        <v>45961.864538148198</v>
      </c>
      <c r="I829" s="86">
        <v>45961.9367241898</v>
      </c>
      <c r="J829" s="87">
        <v>1.7324649999999999</v>
      </c>
      <c r="K829" s="69" t="s">
        <v>274</v>
      </c>
      <c r="L829" s="69"/>
      <c r="M829" s="71"/>
      <c r="N829" s="71"/>
      <c r="O829" s="71"/>
      <c r="P829" s="71" t="s">
        <v>275</v>
      </c>
      <c r="Q829" s="88">
        <v>7.5474177623481298E-2</v>
      </c>
      <c r="R829" s="89" t="s">
        <v>276</v>
      </c>
      <c r="S829" s="89"/>
      <c r="T829">
        <v>8</v>
      </c>
      <c r="U829" s="76">
        <v>0.2</v>
      </c>
      <c r="V829">
        <v>9.1999999999999993</v>
      </c>
      <c r="W829" s="90">
        <v>0.1</v>
      </c>
      <c r="X829" s="90"/>
      <c r="Y829" s="71"/>
      <c r="Z829" s="71"/>
      <c r="AA829" s="71"/>
      <c r="AB829" s="71"/>
      <c r="AC829" s="71"/>
      <c r="AD829" s="71"/>
      <c r="AE829" s="71"/>
      <c r="AF829" s="71"/>
      <c r="AG829" s="82">
        <v>0</v>
      </c>
      <c r="AH829" s="76"/>
      <c r="AI829" s="76"/>
      <c r="AJ829" s="76"/>
      <c r="AK829" s="71">
        <v>0.15</v>
      </c>
      <c r="AL829" s="88">
        <v>3.36214217426926E-2</v>
      </c>
      <c r="AM829" s="89">
        <f t="shared" si="12"/>
        <v>0.22414281161795069</v>
      </c>
      <c r="AN829" s="78"/>
    </row>
    <row r="830" spans="1:40" x14ac:dyDescent="0.25">
      <c r="A830" t="s">
        <v>44</v>
      </c>
      <c r="B830" t="s">
        <v>45</v>
      </c>
      <c r="C830" s="121" t="s">
        <v>174</v>
      </c>
      <c r="D830" t="s">
        <v>193</v>
      </c>
      <c r="E830" t="s">
        <v>59</v>
      </c>
      <c r="F830">
        <v>3</v>
      </c>
      <c r="G830">
        <v>48</v>
      </c>
      <c r="H830" s="86">
        <v>45961.9367241898</v>
      </c>
      <c r="I830" s="86">
        <v>45962.008909062497</v>
      </c>
      <c r="J830" s="87">
        <v>1.7324369444444501</v>
      </c>
      <c r="K830" s="69" t="s">
        <v>274</v>
      </c>
      <c r="L830" s="69"/>
      <c r="M830" s="71"/>
      <c r="N830" s="71"/>
      <c r="O830" s="71"/>
      <c r="P830" s="71" t="s">
        <v>275</v>
      </c>
      <c r="Q830" s="88">
        <v>6.8663506464874999E-2</v>
      </c>
      <c r="R830" s="89" t="s">
        <v>276</v>
      </c>
      <c r="S830" s="89"/>
      <c r="T830">
        <v>7.9</v>
      </c>
      <c r="U830" s="76">
        <v>0.2</v>
      </c>
      <c r="V830">
        <v>9.1999999999999993</v>
      </c>
      <c r="W830" s="90">
        <v>0.1</v>
      </c>
      <c r="X830" s="90"/>
      <c r="Y830" s="71"/>
      <c r="Z830" s="71"/>
      <c r="AA830" s="71"/>
      <c r="AB830" s="71"/>
      <c r="AC830" s="71"/>
      <c r="AD830" s="71"/>
      <c r="AE830" s="71"/>
      <c r="AF830" s="71"/>
      <c r="AG830" s="82">
        <v>0</v>
      </c>
      <c r="AH830" s="76"/>
      <c r="AI830" s="76"/>
      <c r="AJ830" s="76"/>
      <c r="AK830" s="71">
        <v>0.15</v>
      </c>
      <c r="AL830" s="88">
        <v>3.36214217426926E-2</v>
      </c>
      <c r="AM830" s="89">
        <f t="shared" si="12"/>
        <v>0.22414281161795069</v>
      </c>
      <c r="AN830" s="78"/>
    </row>
    <row r="831" spans="1:40" x14ac:dyDescent="0.25">
      <c r="A831" t="s">
        <v>44</v>
      </c>
      <c r="B831" t="s">
        <v>45</v>
      </c>
      <c r="C831" s="121" t="s">
        <v>174</v>
      </c>
      <c r="D831" t="s">
        <v>193</v>
      </c>
      <c r="E831" t="s">
        <v>59</v>
      </c>
      <c r="F831">
        <v>3</v>
      </c>
      <c r="G831">
        <v>49</v>
      </c>
      <c r="H831" s="86">
        <v>45962.008909062497</v>
      </c>
      <c r="I831" s="86">
        <v>45962.081102615703</v>
      </c>
      <c r="J831" s="87">
        <v>1.7326452777777801</v>
      </c>
      <c r="K831" s="69" t="s">
        <v>274</v>
      </c>
      <c r="L831" s="69"/>
      <c r="M831" s="71"/>
      <c r="N831" s="71"/>
      <c r="O831" s="71"/>
      <c r="P831" s="71" t="s">
        <v>275</v>
      </c>
      <c r="Q831" s="88">
        <v>6.2799582942038704E-2</v>
      </c>
      <c r="R831" s="89" t="s">
        <v>276</v>
      </c>
      <c r="S831" s="89"/>
      <c r="T831">
        <v>8.1</v>
      </c>
      <c r="U831" s="76">
        <v>0.2</v>
      </c>
      <c r="V831">
        <v>9.1999999999999993</v>
      </c>
      <c r="W831" s="90">
        <v>0.1</v>
      </c>
      <c r="X831" s="90"/>
      <c r="Y831" s="71"/>
      <c r="Z831" s="71"/>
      <c r="AA831" s="71"/>
      <c r="AB831" s="71"/>
      <c r="AC831" s="71"/>
      <c r="AD831" s="71"/>
      <c r="AE831" s="71"/>
      <c r="AF831" s="71"/>
      <c r="AG831" s="82">
        <v>0</v>
      </c>
      <c r="AH831" s="76"/>
      <c r="AI831" s="76"/>
      <c r="AJ831" s="76"/>
      <c r="AK831" s="71">
        <v>0.15</v>
      </c>
      <c r="AL831" s="88">
        <v>3.36214217426926E-2</v>
      </c>
      <c r="AM831" s="89">
        <f t="shared" si="12"/>
        <v>0.22414281161795069</v>
      </c>
      <c r="AN831" s="78"/>
    </row>
    <row r="832" spans="1:40" x14ac:dyDescent="0.25">
      <c r="A832" t="s">
        <v>44</v>
      </c>
      <c r="B832" t="s">
        <v>45</v>
      </c>
      <c r="C832" s="121" t="s">
        <v>174</v>
      </c>
      <c r="D832" t="s">
        <v>193</v>
      </c>
      <c r="E832" t="s">
        <v>59</v>
      </c>
      <c r="F832">
        <v>3</v>
      </c>
      <c r="G832">
        <v>50</v>
      </c>
      <c r="H832" s="86">
        <v>45962.081102615703</v>
      </c>
      <c r="I832" s="86">
        <v>45962.153281319399</v>
      </c>
      <c r="J832" s="87">
        <v>1.7322888888888901</v>
      </c>
      <c r="K832" s="69" t="s">
        <v>274</v>
      </c>
      <c r="L832" s="69"/>
      <c r="M832" s="71"/>
      <c r="N832" s="71"/>
      <c r="O832" s="71"/>
      <c r="P832" s="71" t="s">
        <v>275</v>
      </c>
      <c r="Q832" s="88">
        <v>6.7782091655956805E-2</v>
      </c>
      <c r="R832" s="89" t="s">
        <v>276</v>
      </c>
      <c r="S832" s="89"/>
      <c r="T832">
        <v>8.1999999999999993</v>
      </c>
      <c r="U832" s="76">
        <v>0.2</v>
      </c>
      <c r="V832">
        <v>9.1999999999999993</v>
      </c>
      <c r="W832" s="90">
        <v>0.1</v>
      </c>
      <c r="X832" s="90"/>
      <c r="Y832" s="71"/>
      <c r="Z832" s="71"/>
      <c r="AA832" s="71"/>
      <c r="AB832" s="71"/>
      <c r="AC832" s="71"/>
      <c r="AD832" s="71"/>
      <c r="AE832" s="71"/>
      <c r="AF832" s="71"/>
      <c r="AG832" s="82">
        <v>0</v>
      </c>
      <c r="AH832" s="76"/>
      <c r="AI832" s="76"/>
      <c r="AJ832" s="76"/>
      <c r="AK832" s="71">
        <v>0.15</v>
      </c>
      <c r="AL832" s="88">
        <v>3.36214217426926E-2</v>
      </c>
      <c r="AM832" s="89">
        <f t="shared" si="12"/>
        <v>0.22414281161795069</v>
      </c>
      <c r="AN832" s="78"/>
    </row>
    <row r="833" spans="1:40" x14ac:dyDescent="0.25">
      <c r="A833" t="s">
        <v>44</v>
      </c>
      <c r="B833" t="s">
        <v>45</v>
      </c>
      <c r="C833" s="121" t="s">
        <v>174</v>
      </c>
      <c r="D833" t="s">
        <v>193</v>
      </c>
      <c r="E833" t="s">
        <v>59</v>
      </c>
      <c r="F833">
        <v>3</v>
      </c>
      <c r="G833">
        <v>51</v>
      </c>
      <c r="H833" s="86">
        <v>45962.153281319399</v>
      </c>
      <c r="I833" s="86">
        <v>45962.225467037002</v>
      </c>
      <c r="J833" s="87">
        <v>1.7324572222222201</v>
      </c>
      <c r="K833" s="69" t="s">
        <v>274</v>
      </c>
      <c r="L833" s="69"/>
      <c r="M833" s="71"/>
      <c r="N833" s="71"/>
      <c r="O833" s="71"/>
      <c r="P833" s="71" t="s">
        <v>275</v>
      </c>
      <c r="Q833" s="88">
        <v>6.0310895957622998E-2</v>
      </c>
      <c r="R833" s="89" t="s">
        <v>276</v>
      </c>
      <c r="S833" s="89"/>
      <c r="T833">
        <v>8.1</v>
      </c>
      <c r="U833" s="76">
        <v>0.2</v>
      </c>
      <c r="V833">
        <v>9.1999999999999993</v>
      </c>
      <c r="W833" s="90">
        <v>0.1</v>
      </c>
      <c r="X833" s="90"/>
      <c r="Y833" s="71"/>
      <c r="Z833" s="71"/>
      <c r="AA833" s="71"/>
      <c r="AB833" s="71"/>
      <c r="AC833" s="71"/>
      <c r="AD833" s="71"/>
      <c r="AE833" s="71"/>
      <c r="AF833" s="71"/>
      <c r="AG833" s="82">
        <v>0</v>
      </c>
      <c r="AH833" s="76"/>
      <c r="AI833" s="76"/>
      <c r="AJ833" s="76"/>
      <c r="AK833" s="71">
        <v>0.15</v>
      </c>
      <c r="AL833" s="88">
        <v>3.36214217426926E-2</v>
      </c>
      <c r="AM833" s="89">
        <f t="shared" si="12"/>
        <v>0.22414281161795069</v>
      </c>
      <c r="AN833" s="78"/>
    </row>
    <row r="834" spans="1:40" x14ac:dyDescent="0.25">
      <c r="A834" t="s">
        <v>44</v>
      </c>
      <c r="B834" t="s">
        <v>45</v>
      </c>
      <c r="C834" s="121" t="s">
        <v>174</v>
      </c>
      <c r="D834" t="s">
        <v>193</v>
      </c>
      <c r="E834" t="s">
        <v>59</v>
      </c>
      <c r="F834">
        <v>3</v>
      </c>
      <c r="G834">
        <v>52</v>
      </c>
      <c r="H834" s="86">
        <v>45962.225467037002</v>
      </c>
      <c r="I834" s="86">
        <v>45962.297660127297</v>
      </c>
      <c r="J834" s="87">
        <v>1.73263416666667</v>
      </c>
      <c r="K834" s="69" t="s">
        <v>274</v>
      </c>
      <c r="L834" s="69"/>
      <c r="M834" s="71"/>
      <c r="N834" s="71"/>
      <c r="O834" s="71"/>
      <c r="P834" s="71" t="s">
        <v>275</v>
      </c>
      <c r="Q834" s="88">
        <v>5.1225248145020497E-2</v>
      </c>
      <c r="R834" s="89" t="s">
        <v>276</v>
      </c>
      <c r="S834" s="89"/>
      <c r="T834">
        <v>8</v>
      </c>
      <c r="U834" s="76">
        <v>0.2</v>
      </c>
      <c r="V834">
        <v>9.1999999999999993</v>
      </c>
      <c r="W834" s="90">
        <v>0.1</v>
      </c>
      <c r="X834" s="90"/>
      <c r="Y834" s="71"/>
      <c r="Z834" s="71"/>
      <c r="AA834" s="71"/>
      <c r="AB834" s="71"/>
      <c r="AC834" s="71"/>
      <c r="AD834" s="71"/>
      <c r="AE834" s="71"/>
      <c r="AF834" s="71"/>
      <c r="AG834" s="82">
        <v>0</v>
      </c>
      <c r="AH834" s="76"/>
      <c r="AI834" s="76"/>
      <c r="AJ834" s="76"/>
      <c r="AK834" s="71">
        <v>0.15</v>
      </c>
      <c r="AL834" s="88">
        <v>3.36214217426926E-2</v>
      </c>
      <c r="AM834" s="89">
        <f t="shared" si="12"/>
        <v>0.22414281161795069</v>
      </c>
      <c r="AN834" s="78"/>
    </row>
    <row r="835" spans="1:40" x14ac:dyDescent="0.25">
      <c r="A835" t="s">
        <v>44</v>
      </c>
      <c r="B835" t="s">
        <v>45</v>
      </c>
      <c r="C835" s="121" t="s">
        <v>174</v>
      </c>
      <c r="D835" t="s">
        <v>193</v>
      </c>
      <c r="E835" t="s">
        <v>59</v>
      </c>
      <c r="F835">
        <v>3</v>
      </c>
      <c r="G835">
        <v>53</v>
      </c>
      <c r="H835" s="86">
        <v>45962.297660127297</v>
      </c>
      <c r="I835" s="86">
        <v>45962.3698392593</v>
      </c>
      <c r="J835" s="87">
        <v>1.7322991666666701</v>
      </c>
      <c r="K835" s="69" t="s">
        <v>274</v>
      </c>
      <c r="L835" s="69"/>
      <c r="M835" s="71"/>
      <c r="N835" s="71"/>
      <c r="O835" s="71"/>
      <c r="P835" s="71" t="s">
        <v>275</v>
      </c>
      <c r="Q835" s="88">
        <v>4.37027199124208E-2</v>
      </c>
      <c r="R835" s="89" t="s">
        <v>276</v>
      </c>
      <c r="S835" s="89"/>
      <c r="T835">
        <v>7.5</v>
      </c>
      <c r="U835" s="76">
        <v>0.2</v>
      </c>
      <c r="V835">
        <v>9.1999999999999993</v>
      </c>
      <c r="W835" s="90">
        <v>0.1</v>
      </c>
      <c r="X835" s="90"/>
      <c r="Y835" s="71"/>
      <c r="Z835" s="71"/>
      <c r="AA835" s="71"/>
      <c r="AB835" s="71"/>
      <c r="AC835" s="71"/>
      <c r="AD835" s="71"/>
      <c r="AE835" s="71"/>
      <c r="AF835" s="71"/>
      <c r="AG835" s="82">
        <v>0</v>
      </c>
      <c r="AH835" s="76"/>
      <c r="AI835" s="76"/>
      <c r="AJ835" s="76"/>
      <c r="AK835" s="71">
        <v>0.15</v>
      </c>
      <c r="AL835" s="88">
        <v>3.36214217426926E-2</v>
      </c>
      <c r="AM835" s="89">
        <f t="shared" si="12"/>
        <v>0.22414281161795069</v>
      </c>
      <c r="AN835" s="78"/>
    </row>
    <row r="836" spans="1:40" x14ac:dyDescent="0.25">
      <c r="A836" t="s">
        <v>44</v>
      </c>
      <c r="B836" t="s">
        <v>45</v>
      </c>
      <c r="C836" s="121" t="s">
        <v>174</v>
      </c>
      <c r="D836" t="s">
        <v>193</v>
      </c>
      <c r="E836" t="s">
        <v>59</v>
      </c>
      <c r="F836">
        <v>3</v>
      </c>
      <c r="G836">
        <v>54</v>
      </c>
      <c r="H836" s="86">
        <v>45962.3698392593</v>
      </c>
      <c r="I836" s="86">
        <v>45962.442027696801</v>
      </c>
      <c r="J836" s="87">
        <v>1.7325225</v>
      </c>
      <c r="K836" s="69" t="s">
        <v>274</v>
      </c>
      <c r="L836" s="69"/>
      <c r="M836" s="71"/>
      <c r="N836" s="71"/>
      <c r="O836" s="71"/>
      <c r="P836" s="71" t="s">
        <v>275</v>
      </c>
      <c r="Q836" s="88">
        <v>4.9143094328358401E-2</v>
      </c>
      <c r="R836" s="89" t="s">
        <v>276</v>
      </c>
      <c r="S836" s="89"/>
      <c r="T836">
        <v>8.5</v>
      </c>
      <c r="U836" s="76">
        <v>0.2</v>
      </c>
      <c r="V836">
        <v>9.1999999999999993</v>
      </c>
      <c r="W836" s="90">
        <v>0.1</v>
      </c>
      <c r="X836" s="90"/>
      <c r="Y836" s="71"/>
      <c r="Z836" s="71"/>
      <c r="AA836" s="71"/>
      <c r="AB836" s="71"/>
      <c r="AC836" s="71"/>
      <c r="AD836" s="71"/>
      <c r="AE836" s="71"/>
      <c r="AF836" s="71"/>
      <c r="AG836" s="82">
        <v>0</v>
      </c>
      <c r="AH836" s="76"/>
      <c r="AI836" s="76"/>
      <c r="AJ836" s="76"/>
      <c r="AK836" s="71">
        <v>0.15</v>
      </c>
      <c r="AL836" s="88">
        <v>3.36214217426926E-2</v>
      </c>
      <c r="AM836" s="89">
        <f t="shared" si="12"/>
        <v>0.22414281161795069</v>
      </c>
      <c r="AN836" s="78"/>
    </row>
    <row r="837" spans="1:40" x14ac:dyDescent="0.25">
      <c r="A837" t="s">
        <v>44</v>
      </c>
      <c r="B837" t="s">
        <v>45</v>
      </c>
      <c r="C837" s="121" t="s">
        <v>174</v>
      </c>
      <c r="D837" t="s">
        <v>193</v>
      </c>
      <c r="E837" t="s">
        <v>59</v>
      </c>
      <c r="F837">
        <v>3</v>
      </c>
      <c r="G837">
        <v>55</v>
      </c>
      <c r="H837" s="86">
        <v>45962.442027696801</v>
      </c>
      <c r="I837" s="86">
        <v>45962.514208657398</v>
      </c>
      <c r="J837" s="87">
        <v>1.7323430555555599</v>
      </c>
      <c r="K837" s="69" t="s">
        <v>274</v>
      </c>
      <c r="L837" s="69"/>
      <c r="M837" s="71"/>
      <c r="N837" s="71"/>
      <c r="O837" s="71"/>
      <c r="P837" s="71" t="s">
        <v>275</v>
      </c>
      <c r="Q837" s="88">
        <v>7.2902974212233101E-2</v>
      </c>
      <c r="R837" s="89" t="s">
        <v>276</v>
      </c>
      <c r="S837" s="89"/>
      <c r="T837">
        <v>10.5</v>
      </c>
      <c r="U837" s="76">
        <v>0.2</v>
      </c>
      <c r="V837">
        <v>9.1999999999999993</v>
      </c>
      <c r="W837" s="90">
        <v>0.1</v>
      </c>
      <c r="X837" s="90"/>
      <c r="Y837" s="71"/>
      <c r="Z837" s="71"/>
      <c r="AA837" s="71"/>
      <c r="AB837" s="71"/>
      <c r="AC837" s="71"/>
      <c r="AD837" s="71"/>
      <c r="AE837" s="71"/>
      <c r="AF837" s="71"/>
      <c r="AG837" s="82">
        <v>0</v>
      </c>
      <c r="AH837" s="76"/>
      <c r="AI837" s="76"/>
      <c r="AJ837" s="76"/>
      <c r="AK837" s="71">
        <v>0.15</v>
      </c>
      <c r="AL837" s="88">
        <v>3.36214217426926E-2</v>
      </c>
      <c r="AM837" s="89">
        <f t="shared" ref="AM837:AM900" si="13">AL837/AK837</f>
        <v>0.22414281161795069</v>
      </c>
      <c r="AN837" s="78"/>
    </row>
    <row r="838" spans="1:40" x14ac:dyDescent="0.25">
      <c r="A838" t="s">
        <v>44</v>
      </c>
      <c r="B838" t="s">
        <v>45</v>
      </c>
      <c r="C838" s="121" t="s">
        <v>174</v>
      </c>
      <c r="D838" t="s">
        <v>193</v>
      </c>
      <c r="E838" t="s">
        <v>59</v>
      </c>
      <c r="F838">
        <v>3</v>
      </c>
      <c r="G838">
        <v>56</v>
      </c>
      <c r="H838" s="86">
        <v>45962.514208657398</v>
      </c>
      <c r="I838" s="86">
        <v>45962.586393981503</v>
      </c>
      <c r="J838" s="87">
        <v>1.73244777777778</v>
      </c>
      <c r="K838" s="69" t="s">
        <v>274</v>
      </c>
      <c r="L838" s="69"/>
      <c r="M838" s="71"/>
      <c r="N838" s="71"/>
      <c r="O838" s="71"/>
      <c r="P838" s="71" t="s">
        <v>275</v>
      </c>
      <c r="Q838" s="88">
        <v>6.3808321845882796E-2</v>
      </c>
      <c r="R838" s="89" t="s">
        <v>276</v>
      </c>
      <c r="S838" s="89"/>
      <c r="T838">
        <v>10.9</v>
      </c>
      <c r="U838" s="76">
        <v>0.2</v>
      </c>
      <c r="V838">
        <v>9.1999999999999993</v>
      </c>
      <c r="W838" s="90">
        <v>0.1</v>
      </c>
      <c r="X838" s="90"/>
      <c r="Y838" s="71"/>
      <c r="Z838" s="71"/>
      <c r="AA838" s="71"/>
      <c r="AB838" s="71"/>
      <c r="AC838" s="71"/>
      <c r="AD838" s="71"/>
      <c r="AE838" s="71"/>
      <c r="AF838" s="71"/>
      <c r="AG838" s="82">
        <v>0</v>
      </c>
      <c r="AH838" s="76"/>
      <c r="AI838" s="76"/>
      <c r="AJ838" s="76"/>
      <c r="AK838" s="71">
        <v>0.15</v>
      </c>
      <c r="AL838" s="88">
        <v>3.36214217426926E-2</v>
      </c>
      <c r="AM838" s="89">
        <f t="shared" si="13"/>
        <v>0.22414281161795069</v>
      </c>
      <c r="AN838" s="78"/>
    </row>
    <row r="839" spans="1:40" x14ac:dyDescent="0.25">
      <c r="A839" t="s">
        <v>44</v>
      </c>
      <c r="B839" t="s">
        <v>45</v>
      </c>
      <c r="C839" s="121" t="s">
        <v>174</v>
      </c>
      <c r="D839" t="s">
        <v>193</v>
      </c>
      <c r="E839" t="s">
        <v>59</v>
      </c>
      <c r="F839">
        <v>3</v>
      </c>
      <c r="G839">
        <v>57</v>
      </c>
      <c r="H839" s="86">
        <v>45962.586393981503</v>
      </c>
      <c r="I839" s="86">
        <v>45962.658578020797</v>
      </c>
      <c r="J839" s="87">
        <v>1.7324169444444399</v>
      </c>
      <c r="K839" s="69" t="s">
        <v>274</v>
      </c>
      <c r="L839" s="69"/>
      <c r="M839" s="71"/>
      <c r="N839" s="71"/>
      <c r="O839" s="71"/>
      <c r="P839" s="71" t="s">
        <v>275</v>
      </c>
      <c r="Q839" s="88">
        <v>5.1764137486642298E-2</v>
      </c>
      <c r="R839" s="89" t="s">
        <v>276</v>
      </c>
      <c r="S839" s="89"/>
      <c r="T839">
        <v>10.9</v>
      </c>
      <c r="U839" s="76">
        <v>0.2</v>
      </c>
      <c r="V839">
        <v>9.4</v>
      </c>
      <c r="W839" s="90">
        <v>0.1</v>
      </c>
      <c r="X839" s="90"/>
      <c r="Y839" s="71"/>
      <c r="Z839" s="71"/>
      <c r="AA839" s="71"/>
      <c r="AB839" s="71"/>
      <c r="AC839" s="71"/>
      <c r="AD839" s="71"/>
      <c r="AE839" s="71"/>
      <c r="AF839" s="71"/>
      <c r="AG839" s="82">
        <v>0.1</v>
      </c>
      <c r="AH839" s="76"/>
      <c r="AI839" s="76"/>
      <c r="AJ839" s="76"/>
      <c r="AK839" s="71">
        <v>0.15</v>
      </c>
      <c r="AL839" s="88">
        <v>3.36214217426926E-2</v>
      </c>
      <c r="AM839" s="89">
        <f t="shared" si="13"/>
        <v>0.22414281161795069</v>
      </c>
      <c r="AN839" s="78"/>
    </row>
    <row r="840" spans="1:40" x14ac:dyDescent="0.25">
      <c r="A840" t="s">
        <v>44</v>
      </c>
      <c r="B840" t="s">
        <v>45</v>
      </c>
      <c r="C840" s="121" t="s">
        <v>174</v>
      </c>
      <c r="D840" t="s">
        <v>193</v>
      </c>
      <c r="E840" t="s">
        <v>59</v>
      </c>
      <c r="F840">
        <v>3</v>
      </c>
      <c r="G840">
        <v>58</v>
      </c>
      <c r="H840" s="86">
        <v>45962.658578020797</v>
      </c>
      <c r="I840" s="86">
        <v>45962.730760682898</v>
      </c>
      <c r="J840" s="87">
        <v>1.7323838888888901</v>
      </c>
      <c r="K840" s="69" t="s">
        <v>274</v>
      </c>
      <c r="L840" s="69"/>
      <c r="M840" s="71"/>
      <c r="N840" s="71"/>
      <c r="O840" s="71"/>
      <c r="P840" s="71" t="s">
        <v>275</v>
      </c>
      <c r="Q840" s="88">
        <v>3.6205346004074497E-2</v>
      </c>
      <c r="R840" s="89" t="s">
        <v>276</v>
      </c>
      <c r="S840" s="89"/>
      <c r="T840">
        <v>10.5</v>
      </c>
      <c r="U840" s="76">
        <v>0.2</v>
      </c>
      <c r="V840">
        <v>9.6</v>
      </c>
      <c r="W840" s="90">
        <v>0.1</v>
      </c>
      <c r="X840" s="90"/>
      <c r="Y840" s="71"/>
      <c r="Z840" s="71"/>
      <c r="AA840" s="71"/>
      <c r="AB840" s="71"/>
      <c r="AC840" s="71"/>
      <c r="AD840" s="71"/>
      <c r="AE840" s="71"/>
      <c r="AF840" s="71"/>
      <c r="AG840" s="82">
        <v>0.6</v>
      </c>
      <c r="AH840" s="76"/>
      <c r="AI840" s="76"/>
      <c r="AJ840" s="76"/>
      <c r="AK840" s="71">
        <v>0.15</v>
      </c>
      <c r="AL840" s="88">
        <v>3.36214217426926E-2</v>
      </c>
      <c r="AM840" s="89">
        <f t="shared" si="13"/>
        <v>0.22414281161795069</v>
      </c>
      <c r="AN840" s="78"/>
    </row>
    <row r="841" spans="1:40" x14ac:dyDescent="0.25">
      <c r="A841" t="s">
        <v>44</v>
      </c>
      <c r="B841" t="s">
        <v>45</v>
      </c>
      <c r="C841" s="121" t="s">
        <v>174</v>
      </c>
      <c r="D841" t="s">
        <v>193</v>
      </c>
      <c r="E841" t="s">
        <v>59</v>
      </c>
      <c r="F841">
        <v>3</v>
      </c>
      <c r="G841">
        <v>59</v>
      </c>
      <c r="H841" s="86">
        <v>45962.730760682898</v>
      </c>
      <c r="I841" s="86">
        <v>45962.8029436574</v>
      </c>
      <c r="J841" s="87">
        <v>1.73239138888889</v>
      </c>
      <c r="K841" s="69" t="s">
        <v>274</v>
      </c>
      <c r="L841" s="69"/>
      <c r="M841" s="71"/>
      <c r="N841" s="71"/>
      <c r="O841" s="71"/>
      <c r="P841" s="71" t="s">
        <v>275</v>
      </c>
      <c r="Q841" s="88">
        <v>2.9779335398329901E-2</v>
      </c>
      <c r="R841" s="89" t="s">
        <v>276</v>
      </c>
      <c r="S841" s="89"/>
      <c r="T841">
        <v>10.6</v>
      </c>
      <c r="U841" s="76">
        <v>0.2</v>
      </c>
      <c r="V841">
        <v>9.6999999999999993</v>
      </c>
      <c r="W841" s="90">
        <v>0.1</v>
      </c>
      <c r="X841" s="90"/>
      <c r="Y841" s="71"/>
      <c r="Z841" s="71"/>
      <c r="AA841" s="71"/>
      <c r="AB841" s="71"/>
      <c r="AC841" s="71"/>
      <c r="AD841" s="71"/>
      <c r="AE841" s="71"/>
      <c r="AF841" s="71"/>
      <c r="AG841" s="82">
        <v>0.4</v>
      </c>
      <c r="AH841" s="76"/>
      <c r="AI841" s="76"/>
      <c r="AJ841" s="76"/>
      <c r="AK841" s="71">
        <v>0.15</v>
      </c>
      <c r="AL841" s="88">
        <v>3.36214217426926E-2</v>
      </c>
      <c r="AM841" s="89">
        <f t="shared" si="13"/>
        <v>0.22414281161795069</v>
      </c>
      <c r="AN841" s="78"/>
    </row>
    <row r="842" spans="1:40" x14ac:dyDescent="0.25">
      <c r="A842" t="s">
        <v>44</v>
      </c>
      <c r="B842" t="s">
        <v>45</v>
      </c>
      <c r="C842" s="121" t="s">
        <v>174</v>
      </c>
      <c r="D842" t="s">
        <v>193</v>
      </c>
      <c r="E842" t="s">
        <v>59</v>
      </c>
      <c r="F842">
        <v>3</v>
      </c>
      <c r="G842">
        <v>60</v>
      </c>
      <c r="H842" s="86">
        <v>45962.8029436574</v>
      </c>
      <c r="I842" s="86">
        <v>45962.8751279977</v>
      </c>
      <c r="J842" s="87">
        <v>1.73242416666667</v>
      </c>
      <c r="K842" s="69" t="s">
        <v>274</v>
      </c>
      <c r="L842" s="69"/>
      <c r="M842" s="71"/>
      <c r="N842" s="71"/>
      <c r="O842" s="71"/>
      <c r="P842" s="71" t="s">
        <v>275</v>
      </c>
      <c r="Q842" s="88">
        <v>3.2497430628810803E-2</v>
      </c>
      <c r="R842" s="89" t="s">
        <v>276</v>
      </c>
      <c r="S842" s="89"/>
      <c r="T842">
        <v>10.4</v>
      </c>
      <c r="U842" s="76">
        <v>0.2</v>
      </c>
      <c r="V842">
        <v>9.6999999999999993</v>
      </c>
      <c r="W842" s="90">
        <v>0.1</v>
      </c>
      <c r="X842" s="90"/>
      <c r="Y842" s="71"/>
      <c r="Z842" s="71"/>
      <c r="AA842" s="71"/>
      <c r="AB842" s="71"/>
      <c r="AC842" s="71"/>
      <c r="AD842" s="71"/>
      <c r="AE842" s="71"/>
      <c r="AF842" s="71"/>
      <c r="AG842" s="82">
        <v>0</v>
      </c>
      <c r="AH842" s="76"/>
      <c r="AI842" s="76"/>
      <c r="AJ842" s="76"/>
      <c r="AK842" s="71">
        <v>0.15</v>
      </c>
      <c r="AL842" s="88">
        <v>3.36214217426926E-2</v>
      </c>
      <c r="AM842" s="89">
        <f t="shared" si="13"/>
        <v>0.22414281161795069</v>
      </c>
      <c r="AN842" s="78"/>
    </row>
    <row r="843" spans="1:40" x14ac:dyDescent="0.25">
      <c r="A843" t="s">
        <v>44</v>
      </c>
      <c r="B843" t="s">
        <v>45</v>
      </c>
      <c r="C843" s="121" t="s">
        <v>174</v>
      </c>
      <c r="D843" t="s">
        <v>193</v>
      </c>
      <c r="E843" t="s">
        <v>59</v>
      </c>
      <c r="F843">
        <v>3</v>
      </c>
      <c r="G843">
        <v>61</v>
      </c>
      <c r="H843" s="86">
        <v>45962.8751279977</v>
      </c>
      <c r="I843" s="86">
        <v>45962.947315428202</v>
      </c>
      <c r="J843" s="87">
        <v>1.7324983333333299</v>
      </c>
      <c r="K843" s="69" t="s">
        <v>274</v>
      </c>
      <c r="L843" s="69"/>
      <c r="M843" s="71"/>
      <c r="N843" s="71"/>
      <c r="O843" s="71"/>
      <c r="P843" s="71" t="s">
        <v>275</v>
      </c>
      <c r="Q843" s="88">
        <v>4.0008596526286903E-2</v>
      </c>
      <c r="R843" s="89" t="s">
        <v>276</v>
      </c>
      <c r="S843" s="89"/>
      <c r="T843">
        <v>10.5</v>
      </c>
      <c r="U843" s="76">
        <v>0.2</v>
      </c>
      <c r="V843">
        <v>9.8000000000000007</v>
      </c>
      <c r="W843" s="90">
        <v>0.1</v>
      </c>
      <c r="X843" s="90"/>
      <c r="Y843" s="71"/>
      <c r="Z843" s="71"/>
      <c r="AA843" s="71"/>
      <c r="AB843" s="71"/>
      <c r="AC843" s="71"/>
      <c r="AD843" s="71"/>
      <c r="AE843" s="71"/>
      <c r="AF843" s="71"/>
      <c r="AG843" s="82">
        <v>0</v>
      </c>
      <c r="AH843" s="76"/>
      <c r="AI843" s="76"/>
      <c r="AJ843" s="76"/>
      <c r="AK843" s="71">
        <v>0.15</v>
      </c>
      <c r="AL843" s="88">
        <v>3.36214217426926E-2</v>
      </c>
      <c r="AM843" s="89">
        <f t="shared" si="13"/>
        <v>0.22414281161795069</v>
      </c>
      <c r="AN843" s="78"/>
    </row>
    <row r="844" spans="1:40" x14ac:dyDescent="0.25">
      <c r="A844" t="s">
        <v>44</v>
      </c>
      <c r="B844" t="s">
        <v>45</v>
      </c>
      <c r="C844" s="121" t="s">
        <v>174</v>
      </c>
      <c r="D844" t="s">
        <v>193</v>
      </c>
      <c r="E844" t="s">
        <v>59</v>
      </c>
      <c r="F844">
        <v>3</v>
      </c>
      <c r="G844">
        <v>62</v>
      </c>
      <c r="H844" s="86">
        <v>45962.947315428202</v>
      </c>
      <c r="I844" s="86">
        <v>45963.019491307903</v>
      </c>
      <c r="J844" s="87">
        <v>1.7322211111111101</v>
      </c>
      <c r="K844" s="69" t="s">
        <v>274</v>
      </c>
      <c r="L844" s="69"/>
      <c r="M844" s="71"/>
      <c r="N844" s="71"/>
      <c r="O844" s="71"/>
      <c r="P844" s="71" t="s">
        <v>275</v>
      </c>
      <c r="Q844" s="88">
        <v>3.19978509861207E-2</v>
      </c>
      <c r="R844" s="89" t="s">
        <v>276</v>
      </c>
      <c r="S844" s="89"/>
      <c r="T844">
        <v>9.1999999999999993</v>
      </c>
      <c r="U844" s="76">
        <v>0.2</v>
      </c>
      <c r="V844">
        <v>9.8000000000000007</v>
      </c>
      <c r="W844" s="90">
        <v>0.1</v>
      </c>
      <c r="X844" s="90"/>
      <c r="Y844" s="71"/>
      <c r="Z844" s="71"/>
      <c r="AA844" s="71"/>
      <c r="AB844" s="71"/>
      <c r="AC844" s="71"/>
      <c r="AD844" s="71"/>
      <c r="AE844" s="71"/>
      <c r="AF844" s="71"/>
      <c r="AG844" s="82">
        <v>0</v>
      </c>
      <c r="AH844" s="76"/>
      <c r="AI844" s="76"/>
      <c r="AJ844" s="76"/>
      <c r="AK844" s="71">
        <v>0.15</v>
      </c>
      <c r="AL844" s="88">
        <v>3.36214217426926E-2</v>
      </c>
      <c r="AM844" s="89">
        <f t="shared" si="13"/>
        <v>0.22414281161795069</v>
      </c>
      <c r="AN844" s="78"/>
    </row>
    <row r="845" spans="1:40" x14ac:dyDescent="0.25">
      <c r="A845" t="s">
        <v>44</v>
      </c>
      <c r="B845" t="s">
        <v>45</v>
      </c>
      <c r="C845" s="121" t="s">
        <v>174</v>
      </c>
      <c r="D845" t="s">
        <v>193</v>
      </c>
      <c r="E845" t="s">
        <v>59</v>
      </c>
      <c r="F845">
        <v>3</v>
      </c>
      <c r="G845">
        <v>63</v>
      </c>
      <c r="H845" s="86">
        <v>45963.019491307903</v>
      </c>
      <c r="I845" s="86">
        <v>45963.091691481502</v>
      </c>
      <c r="J845" s="87">
        <v>1.73280416666667</v>
      </c>
      <c r="K845" s="69" t="s">
        <v>274</v>
      </c>
      <c r="L845" s="69"/>
      <c r="M845" s="71"/>
      <c r="N845" s="71"/>
      <c r="O845" s="71"/>
      <c r="P845" s="71" t="s">
        <v>275</v>
      </c>
      <c r="Q845" s="88">
        <v>3.1444903082885098E-2</v>
      </c>
      <c r="R845" s="89" t="s">
        <v>276</v>
      </c>
      <c r="S845" s="89"/>
      <c r="T845">
        <v>9.1</v>
      </c>
      <c r="U845" s="76">
        <v>0.2</v>
      </c>
      <c r="V845">
        <v>9.8000000000000007</v>
      </c>
      <c r="W845" s="90">
        <v>0.1</v>
      </c>
      <c r="X845" s="90"/>
      <c r="Y845" s="71"/>
      <c r="Z845" s="71"/>
      <c r="AA845" s="71"/>
      <c r="AB845" s="71"/>
      <c r="AC845" s="71"/>
      <c r="AD845" s="71"/>
      <c r="AE845" s="71"/>
      <c r="AF845" s="71"/>
      <c r="AG845" s="82">
        <v>0</v>
      </c>
      <c r="AH845" s="76"/>
      <c r="AI845" s="76"/>
      <c r="AJ845" s="76"/>
      <c r="AK845" s="71">
        <v>0.15</v>
      </c>
      <c r="AL845" s="88">
        <v>3.36214217426926E-2</v>
      </c>
      <c r="AM845" s="89">
        <f t="shared" si="13"/>
        <v>0.22414281161795069</v>
      </c>
      <c r="AN845" s="78"/>
    </row>
    <row r="846" spans="1:40" x14ac:dyDescent="0.25">
      <c r="A846" t="s">
        <v>44</v>
      </c>
      <c r="B846" t="s">
        <v>45</v>
      </c>
      <c r="C846" s="121" t="s">
        <v>174</v>
      </c>
      <c r="D846" t="s">
        <v>193</v>
      </c>
      <c r="E846" t="s">
        <v>59</v>
      </c>
      <c r="F846">
        <v>3</v>
      </c>
      <c r="G846">
        <v>64</v>
      </c>
      <c r="H846" s="86">
        <v>45963.091691481502</v>
      </c>
      <c r="I846" s="86">
        <v>45963.163870219898</v>
      </c>
      <c r="J846" s="87">
        <v>1.73228972222222</v>
      </c>
      <c r="K846" s="69" t="s">
        <v>274</v>
      </c>
      <c r="L846" s="69"/>
      <c r="M846" s="71"/>
      <c r="N846" s="71"/>
      <c r="O846" s="71"/>
      <c r="P846" s="71" t="s">
        <v>275</v>
      </c>
      <c r="Q846" s="88">
        <v>2.3827641162038001E-2</v>
      </c>
      <c r="R846" s="89" t="s">
        <v>276</v>
      </c>
      <c r="S846" s="89"/>
      <c r="T846">
        <v>8.1999999999999993</v>
      </c>
      <c r="U846" s="76">
        <v>0.2</v>
      </c>
      <c r="V846">
        <v>9.8000000000000007</v>
      </c>
      <c r="W846" s="90">
        <v>0.1</v>
      </c>
      <c r="X846" s="90"/>
      <c r="Y846" s="71"/>
      <c r="Z846" s="71"/>
      <c r="AA846" s="71"/>
      <c r="AB846" s="71"/>
      <c r="AC846" s="71"/>
      <c r="AD846" s="71"/>
      <c r="AE846" s="71"/>
      <c r="AF846" s="71"/>
      <c r="AG846" s="82">
        <v>0</v>
      </c>
      <c r="AH846" s="76"/>
      <c r="AI846" s="76"/>
      <c r="AJ846" s="76"/>
      <c r="AK846" s="71">
        <v>0.15</v>
      </c>
      <c r="AL846" s="88">
        <v>3.36214217426926E-2</v>
      </c>
      <c r="AM846" s="89">
        <f t="shared" si="13"/>
        <v>0.22414281161795069</v>
      </c>
      <c r="AN846" s="78"/>
    </row>
    <row r="847" spans="1:40" x14ac:dyDescent="0.25">
      <c r="A847" t="s">
        <v>44</v>
      </c>
      <c r="B847" t="s">
        <v>45</v>
      </c>
      <c r="C847" s="121" t="s">
        <v>174</v>
      </c>
      <c r="D847" t="s">
        <v>193</v>
      </c>
      <c r="E847" t="s">
        <v>59</v>
      </c>
      <c r="F847">
        <v>3</v>
      </c>
      <c r="G847">
        <v>65</v>
      </c>
      <c r="H847" s="86">
        <v>45963.163870219898</v>
      </c>
      <c r="I847" s="86">
        <v>45963.2360529051</v>
      </c>
      <c r="J847" s="87">
        <v>1.7323844444444501</v>
      </c>
      <c r="K847" s="69" t="s">
        <v>274</v>
      </c>
      <c r="L847" s="69"/>
      <c r="M847" s="71"/>
      <c r="N847" s="71"/>
      <c r="O847" s="71"/>
      <c r="P847" s="71" t="s">
        <v>275</v>
      </c>
      <c r="Q847" s="88">
        <v>2.1295124855917599E-2</v>
      </c>
      <c r="R847" s="89" t="s">
        <v>276</v>
      </c>
      <c r="S847" s="89"/>
      <c r="T847">
        <v>8.5</v>
      </c>
      <c r="U847" s="76">
        <v>0.2</v>
      </c>
      <c r="V847">
        <v>9.6999999999999993</v>
      </c>
      <c r="W847" s="90">
        <v>0.1</v>
      </c>
      <c r="X847" s="90"/>
      <c r="Y847" s="71"/>
      <c r="Z847" s="71"/>
      <c r="AA847" s="71"/>
      <c r="AB847" s="71"/>
      <c r="AC847" s="71"/>
      <c r="AD847" s="71"/>
      <c r="AE847" s="71"/>
      <c r="AF847" s="71"/>
      <c r="AG847" s="82">
        <v>0</v>
      </c>
      <c r="AH847" s="76"/>
      <c r="AI847" s="76"/>
      <c r="AJ847" s="76"/>
      <c r="AK847" s="71">
        <v>0.15</v>
      </c>
      <c r="AL847" s="88">
        <v>3.36214217426926E-2</v>
      </c>
      <c r="AM847" s="89">
        <f t="shared" si="13"/>
        <v>0.22414281161795069</v>
      </c>
      <c r="AN847" s="78"/>
    </row>
    <row r="848" spans="1:40" x14ac:dyDescent="0.25">
      <c r="A848" t="s">
        <v>44</v>
      </c>
      <c r="B848" t="s">
        <v>45</v>
      </c>
      <c r="C848" s="121" t="s">
        <v>174</v>
      </c>
      <c r="D848" t="s">
        <v>193</v>
      </c>
      <c r="E848" t="s">
        <v>59</v>
      </c>
      <c r="F848">
        <v>3</v>
      </c>
      <c r="G848">
        <v>66</v>
      </c>
      <c r="H848" s="86">
        <v>45963.2360529051</v>
      </c>
      <c r="I848" s="86">
        <v>45963.308228205999</v>
      </c>
      <c r="J848" s="87">
        <v>1.73220722222222</v>
      </c>
      <c r="K848" s="69" t="s">
        <v>274</v>
      </c>
      <c r="L848" s="69"/>
      <c r="M848" s="71"/>
      <c r="N848" s="71"/>
      <c r="O848" s="71"/>
      <c r="P848" s="71" t="s">
        <v>275</v>
      </c>
      <c r="Q848" s="88">
        <v>2.05695895957905E-2</v>
      </c>
      <c r="R848" s="89" t="s">
        <v>276</v>
      </c>
      <c r="S848" s="89"/>
      <c r="T848">
        <v>8.6</v>
      </c>
      <c r="U848" s="76">
        <v>0.2</v>
      </c>
      <c r="V848">
        <v>9.6</v>
      </c>
      <c r="W848" s="90">
        <v>0.1</v>
      </c>
      <c r="X848" s="90"/>
      <c r="Y848" s="71"/>
      <c r="Z848" s="71"/>
      <c r="AA848" s="71"/>
      <c r="AB848" s="71"/>
      <c r="AC848" s="71"/>
      <c r="AD848" s="71"/>
      <c r="AE848" s="71"/>
      <c r="AF848" s="71"/>
      <c r="AG848" s="82">
        <v>0</v>
      </c>
      <c r="AH848" s="76"/>
      <c r="AI848" s="76"/>
      <c r="AJ848" s="76"/>
      <c r="AK848" s="71">
        <v>0.15</v>
      </c>
      <c r="AL848" s="88">
        <v>3.36214217426926E-2</v>
      </c>
      <c r="AM848" s="89">
        <f t="shared" si="13"/>
        <v>0.22414281161795069</v>
      </c>
      <c r="AN848" s="78"/>
    </row>
    <row r="849" spans="1:40" x14ac:dyDescent="0.25">
      <c r="A849" t="s">
        <v>44</v>
      </c>
      <c r="B849" t="s">
        <v>45</v>
      </c>
      <c r="C849" s="121" t="s">
        <v>174</v>
      </c>
      <c r="D849" t="s">
        <v>193</v>
      </c>
      <c r="E849" t="s">
        <v>59</v>
      </c>
      <c r="F849">
        <v>3</v>
      </c>
      <c r="G849">
        <v>67</v>
      </c>
      <c r="H849" s="86">
        <v>45963.308228205999</v>
      </c>
      <c r="I849" s="86">
        <v>45963.380421111098</v>
      </c>
      <c r="J849" s="87">
        <v>1.73262972222222</v>
      </c>
      <c r="K849" s="69" t="s">
        <v>274</v>
      </c>
      <c r="L849" s="69"/>
      <c r="M849" s="71"/>
      <c r="N849" s="71"/>
      <c r="O849" s="71"/>
      <c r="P849" s="71" t="s">
        <v>275</v>
      </c>
      <c r="Q849" s="88">
        <v>2.2606497474630699E-2</v>
      </c>
      <c r="R849" s="89" t="s">
        <v>276</v>
      </c>
      <c r="S849" s="89"/>
      <c r="T849">
        <v>8.9</v>
      </c>
      <c r="U849" s="76">
        <v>0.2</v>
      </c>
      <c r="V849">
        <v>9.6</v>
      </c>
      <c r="W849" s="90">
        <v>0.1</v>
      </c>
      <c r="X849" s="90"/>
      <c r="Y849" s="71"/>
      <c r="Z849" s="71"/>
      <c r="AA849" s="71"/>
      <c r="AB849" s="71"/>
      <c r="AC849" s="71"/>
      <c r="AD849" s="71"/>
      <c r="AE849" s="71"/>
      <c r="AF849" s="71"/>
      <c r="AG849" s="82">
        <v>2.6</v>
      </c>
      <c r="AH849" s="76"/>
      <c r="AI849" s="76"/>
      <c r="AJ849" s="76"/>
      <c r="AK849" s="71">
        <v>0.15</v>
      </c>
      <c r="AL849" s="88">
        <v>3.36214217426926E-2</v>
      </c>
      <c r="AM849" s="89">
        <f t="shared" si="13"/>
        <v>0.22414281161795069</v>
      </c>
      <c r="AN849" s="78"/>
    </row>
    <row r="850" spans="1:40" x14ac:dyDescent="0.25">
      <c r="A850" t="s">
        <v>44</v>
      </c>
      <c r="B850" t="s">
        <v>45</v>
      </c>
      <c r="C850" s="121" t="s">
        <v>174</v>
      </c>
      <c r="D850" t="s">
        <v>193</v>
      </c>
      <c r="E850" t="s">
        <v>59</v>
      </c>
      <c r="F850">
        <v>3</v>
      </c>
      <c r="G850">
        <v>68</v>
      </c>
      <c r="H850" s="86">
        <v>45963.380421111098</v>
      </c>
      <c r="I850" s="86">
        <v>45963.452609305597</v>
      </c>
      <c r="J850" s="87">
        <v>1.73251666666667</v>
      </c>
      <c r="K850" s="69" t="s">
        <v>274</v>
      </c>
      <c r="L850" s="69"/>
      <c r="M850" s="71"/>
      <c r="N850" s="71"/>
      <c r="O850" s="71"/>
      <c r="P850" s="71" t="s">
        <v>275</v>
      </c>
      <c r="Q850" s="88">
        <v>2.8470253003861998E-2</v>
      </c>
      <c r="R850" s="89" t="s">
        <v>276</v>
      </c>
      <c r="S850" s="89"/>
      <c r="T850">
        <v>8.9</v>
      </c>
      <c r="U850" s="76">
        <v>0.2</v>
      </c>
      <c r="V850">
        <v>9.6</v>
      </c>
      <c r="W850" s="90">
        <v>0.1</v>
      </c>
      <c r="X850" s="90"/>
      <c r="Y850" s="71"/>
      <c r="Z850" s="71"/>
      <c r="AA850" s="71"/>
      <c r="AB850" s="71"/>
      <c r="AC850" s="71"/>
      <c r="AD850" s="71"/>
      <c r="AE850" s="71"/>
      <c r="AF850" s="71"/>
      <c r="AG850" s="82">
        <v>0</v>
      </c>
      <c r="AH850" s="76"/>
      <c r="AI850" s="76"/>
      <c r="AJ850" s="76"/>
      <c r="AK850" s="71">
        <v>0.15</v>
      </c>
      <c r="AL850" s="88">
        <v>3.36214217426926E-2</v>
      </c>
      <c r="AM850" s="89">
        <f t="shared" si="13"/>
        <v>0.22414281161795069</v>
      </c>
      <c r="AN850" s="78"/>
    </row>
    <row r="851" spans="1:40" x14ac:dyDescent="0.25">
      <c r="A851" t="s">
        <v>44</v>
      </c>
      <c r="B851" t="s">
        <v>45</v>
      </c>
      <c r="C851" s="121" t="s">
        <v>174</v>
      </c>
      <c r="D851" t="s">
        <v>193</v>
      </c>
      <c r="E851" t="s">
        <v>59</v>
      </c>
      <c r="F851">
        <v>3</v>
      </c>
      <c r="G851">
        <v>69</v>
      </c>
      <c r="H851" s="86">
        <v>45963.452609305597</v>
      </c>
      <c r="I851" s="86">
        <v>45963.524786747701</v>
      </c>
      <c r="J851" s="87">
        <v>1.73225861111111</v>
      </c>
      <c r="K851" s="69" t="s">
        <v>274</v>
      </c>
      <c r="L851" s="69"/>
      <c r="M851" s="71"/>
      <c r="N851" s="71"/>
      <c r="O851" s="71"/>
      <c r="P851" s="71" t="s">
        <v>275</v>
      </c>
      <c r="Q851" s="88">
        <v>7.0515497494769694E-2</v>
      </c>
      <c r="R851" s="89" t="s">
        <v>276</v>
      </c>
      <c r="S851" s="89"/>
      <c r="T851">
        <v>10.8</v>
      </c>
      <c r="U851" s="76">
        <v>0.2</v>
      </c>
      <c r="V851">
        <v>9.6</v>
      </c>
      <c r="W851" s="90">
        <v>0.1</v>
      </c>
      <c r="X851" s="90"/>
      <c r="Y851" s="71"/>
      <c r="Z851" s="71"/>
      <c r="AA851" s="71"/>
      <c r="AB851" s="71"/>
      <c r="AC851" s="71"/>
      <c r="AD851" s="71"/>
      <c r="AE851" s="71"/>
      <c r="AF851" s="71"/>
      <c r="AG851" s="82">
        <v>0</v>
      </c>
      <c r="AH851" s="76"/>
      <c r="AI851" s="76"/>
      <c r="AJ851" s="76"/>
      <c r="AK851" s="71">
        <v>0.15</v>
      </c>
      <c r="AL851" s="88">
        <v>3.36214217426926E-2</v>
      </c>
      <c r="AM851" s="89">
        <f t="shared" si="13"/>
        <v>0.22414281161795069</v>
      </c>
      <c r="AN851" s="78"/>
    </row>
    <row r="852" spans="1:40" x14ac:dyDescent="0.25">
      <c r="A852" t="s">
        <v>44</v>
      </c>
      <c r="B852" t="s">
        <v>45</v>
      </c>
      <c r="C852" s="121" t="s">
        <v>174</v>
      </c>
      <c r="D852" t="s">
        <v>193</v>
      </c>
      <c r="E852" t="s">
        <v>59</v>
      </c>
      <c r="F852">
        <v>3</v>
      </c>
      <c r="G852">
        <v>70</v>
      </c>
      <c r="H852" s="86">
        <v>45963.524786747701</v>
      </c>
      <c r="I852" s="86">
        <v>45963.5969882176</v>
      </c>
      <c r="J852" s="87">
        <v>1.73283527777778</v>
      </c>
      <c r="K852" s="69" t="s">
        <v>274</v>
      </c>
      <c r="L852" s="69"/>
      <c r="M852" s="71"/>
      <c r="N852" s="71"/>
      <c r="O852" s="71"/>
      <c r="P852" s="71" t="s">
        <v>275</v>
      </c>
      <c r="Q852" s="88">
        <v>4.1961513864675698E-2</v>
      </c>
      <c r="R852" s="89" t="s">
        <v>276</v>
      </c>
      <c r="S852" s="89"/>
      <c r="T852">
        <v>12.8</v>
      </c>
      <c r="U852" s="76">
        <v>0.2</v>
      </c>
      <c r="V852">
        <v>9.8000000000000007</v>
      </c>
      <c r="W852" s="90">
        <v>0.1</v>
      </c>
      <c r="X852" s="90"/>
      <c r="Y852" s="71"/>
      <c r="Z852" s="71"/>
      <c r="AA852" s="71"/>
      <c r="AB852" s="71"/>
      <c r="AC852" s="71"/>
      <c r="AD852" s="71"/>
      <c r="AE852" s="71"/>
      <c r="AF852" s="71"/>
      <c r="AG852" s="82">
        <v>0.2</v>
      </c>
      <c r="AH852" s="76"/>
      <c r="AI852" s="76"/>
      <c r="AJ852" s="76"/>
      <c r="AK852" s="71">
        <v>0.15</v>
      </c>
      <c r="AL852" s="88">
        <v>3.36214217426926E-2</v>
      </c>
      <c r="AM852" s="89">
        <f t="shared" si="13"/>
        <v>0.22414281161795069</v>
      </c>
      <c r="AN852" s="78"/>
    </row>
    <row r="853" spans="1:40" x14ac:dyDescent="0.25">
      <c r="A853" t="s">
        <v>44</v>
      </c>
      <c r="B853" t="s">
        <v>45</v>
      </c>
      <c r="C853" s="121" t="s">
        <v>174</v>
      </c>
      <c r="D853" t="s">
        <v>193</v>
      </c>
      <c r="E853" t="s">
        <v>59</v>
      </c>
      <c r="F853">
        <v>3</v>
      </c>
      <c r="G853">
        <v>71</v>
      </c>
      <c r="H853" s="86">
        <v>45963.5969882176</v>
      </c>
      <c r="I853" s="86">
        <v>45963.669155196803</v>
      </c>
      <c r="J853" s="87">
        <v>1.7320074999999999</v>
      </c>
      <c r="K853" s="69" t="s">
        <v>274</v>
      </c>
      <c r="L853" s="69"/>
      <c r="M853" s="71"/>
      <c r="N853" s="71"/>
      <c r="O853" s="71"/>
      <c r="P853" s="71" t="s">
        <v>275</v>
      </c>
      <c r="Q853" s="88">
        <v>3.8384206800019999E-2</v>
      </c>
      <c r="R853" s="89" t="s">
        <v>276</v>
      </c>
      <c r="S853" s="89"/>
      <c r="T853">
        <v>12.2</v>
      </c>
      <c r="U853" s="76">
        <v>0.2</v>
      </c>
      <c r="V853">
        <v>9.9</v>
      </c>
      <c r="W853" s="90">
        <v>0.1</v>
      </c>
      <c r="X853" s="90"/>
      <c r="Y853" s="71"/>
      <c r="Z853" s="71"/>
      <c r="AA853" s="71"/>
      <c r="AB853" s="71"/>
      <c r="AC853" s="71"/>
      <c r="AD853" s="71"/>
      <c r="AE853" s="71"/>
      <c r="AF853" s="71"/>
      <c r="AG853" s="82">
        <v>0</v>
      </c>
      <c r="AH853" s="76"/>
      <c r="AI853" s="76"/>
      <c r="AJ853" s="76"/>
      <c r="AK853" s="71">
        <v>0.15</v>
      </c>
      <c r="AL853" s="88">
        <v>3.36214217426926E-2</v>
      </c>
      <c r="AM853" s="89">
        <f t="shared" si="13"/>
        <v>0.22414281161795069</v>
      </c>
      <c r="AN853" s="78"/>
    </row>
    <row r="854" spans="1:40" x14ac:dyDescent="0.25">
      <c r="A854" t="s">
        <v>44</v>
      </c>
      <c r="B854" t="s">
        <v>45</v>
      </c>
      <c r="C854" s="121" t="s">
        <v>174</v>
      </c>
      <c r="D854" t="s">
        <v>193</v>
      </c>
      <c r="E854" t="s">
        <v>59</v>
      </c>
      <c r="F854">
        <v>3</v>
      </c>
      <c r="G854">
        <v>72</v>
      </c>
      <c r="H854" s="86">
        <v>45963.669155196803</v>
      </c>
      <c r="I854" s="86">
        <v>45963.741345555602</v>
      </c>
      <c r="J854" s="87">
        <v>1.73256861111111</v>
      </c>
      <c r="K854" s="69" t="s">
        <v>274</v>
      </c>
      <c r="L854" s="69"/>
      <c r="M854" s="71"/>
      <c r="N854" s="71"/>
      <c r="O854" s="71"/>
      <c r="P854" s="71" t="s">
        <v>275</v>
      </c>
      <c r="Q854" s="88">
        <v>2.53641416924772E-2</v>
      </c>
      <c r="R854" s="89" t="s">
        <v>276</v>
      </c>
      <c r="S854" s="89"/>
      <c r="T854">
        <v>9.1999999999999993</v>
      </c>
      <c r="U854" s="76">
        <v>0.2</v>
      </c>
      <c r="V854">
        <v>10.1</v>
      </c>
      <c r="W854" s="90">
        <v>0.1</v>
      </c>
      <c r="X854" s="90"/>
      <c r="Y854" s="71"/>
      <c r="Z854" s="71"/>
      <c r="AA854" s="71"/>
      <c r="AB854" s="71"/>
      <c r="AC854" s="71"/>
      <c r="AD854" s="71"/>
      <c r="AE854" s="71"/>
      <c r="AF854" s="71"/>
      <c r="AG854" s="82">
        <v>0</v>
      </c>
      <c r="AH854" s="76"/>
      <c r="AI854" s="76"/>
      <c r="AJ854" s="76"/>
      <c r="AK854" s="71">
        <v>0.15</v>
      </c>
      <c r="AL854" s="88">
        <v>3.36214217426926E-2</v>
      </c>
      <c r="AM854" s="89">
        <f t="shared" si="13"/>
        <v>0.22414281161795069</v>
      </c>
      <c r="AN854" s="78"/>
    </row>
    <row r="855" spans="1:40" x14ac:dyDescent="0.25">
      <c r="A855" t="s">
        <v>44</v>
      </c>
      <c r="B855" t="s">
        <v>45</v>
      </c>
      <c r="C855" s="121" t="s">
        <v>174</v>
      </c>
      <c r="D855" t="s">
        <v>193</v>
      </c>
      <c r="E855" t="s">
        <v>59</v>
      </c>
      <c r="F855">
        <v>3</v>
      </c>
      <c r="G855">
        <v>73</v>
      </c>
      <c r="H855" s="86">
        <v>45963.741345555602</v>
      </c>
      <c r="I855" s="86">
        <v>45963.813526539401</v>
      </c>
      <c r="J855" s="87">
        <v>1.7323436111111099</v>
      </c>
      <c r="K855" s="69" t="s">
        <v>274</v>
      </c>
      <c r="L855" s="69"/>
      <c r="M855" s="71"/>
      <c r="N855" s="71"/>
      <c r="O855" s="71"/>
      <c r="P855" s="71" t="s">
        <v>275</v>
      </c>
      <c r="Q855" s="88">
        <v>1.0034999251601199E-2</v>
      </c>
      <c r="R855" s="89" t="s">
        <v>276</v>
      </c>
      <c r="S855" s="89"/>
      <c r="T855">
        <v>5</v>
      </c>
      <c r="U855" s="76">
        <v>0.2</v>
      </c>
      <c r="V855">
        <v>10.1</v>
      </c>
      <c r="W855" s="90">
        <v>0.1</v>
      </c>
      <c r="X855" s="90"/>
      <c r="Y855" s="71"/>
      <c r="Z855" s="71"/>
      <c r="AA855" s="71"/>
      <c r="AB855" s="71"/>
      <c r="AC855" s="71"/>
      <c r="AD855" s="71"/>
      <c r="AE855" s="71"/>
      <c r="AF855" s="71"/>
      <c r="AG855" s="82">
        <v>0</v>
      </c>
      <c r="AH855" s="76"/>
      <c r="AI855" s="76"/>
      <c r="AJ855" s="76"/>
      <c r="AK855" s="71">
        <v>0.15</v>
      </c>
      <c r="AL855" s="88">
        <v>3.36214217426926E-2</v>
      </c>
      <c r="AM855" s="89">
        <f t="shared" si="13"/>
        <v>0.22414281161795069</v>
      </c>
      <c r="AN855" s="78"/>
    </row>
    <row r="856" spans="1:40" x14ac:dyDescent="0.25">
      <c r="A856" t="s">
        <v>44</v>
      </c>
      <c r="B856" t="s">
        <v>45</v>
      </c>
      <c r="C856" s="121" t="s">
        <v>174</v>
      </c>
      <c r="D856" t="s">
        <v>193</v>
      </c>
      <c r="E856" t="s">
        <v>59</v>
      </c>
      <c r="F856">
        <v>3</v>
      </c>
      <c r="G856">
        <v>74</v>
      </c>
      <c r="H856" s="86">
        <v>45963.813526539401</v>
      </c>
      <c r="I856" s="86">
        <v>45963.885719525497</v>
      </c>
      <c r="J856" s="87">
        <v>1.7326316666666699</v>
      </c>
      <c r="K856" s="69" t="s">
        <v>274</v>
      </c>
      <c r="L856" s="69"/>
      <c r="M856" s="71"/>
      <c r="N856" s="71"/>
      <c r="O856" s="71"/>
      <c r="P856" s="71" t="s">
        <v>275</v>
      </c>
      <c r="Q856" s="88">
        <v>8.7170224047391203E-3</v>
      </c>
      <c r="R856" s="89" t="s">
        <v>276</v>
      </c>
      <c r="S856" s="89"/>
      <c r="T856">
        <v>6.4</v>
      </c>
      <c r="U856" s="76">
        <v>0.2</v>
      </c>
      <c r="V856">
        <v>9.9</v>
      </c>
      <c r="W856" s="90">
        <v>0.1</v>
      </c>
      <c r="X856" s="90"/>
      <c r="Y856" s="71"/>
      <c r="Z856" s="71"/>
      <c r="AA856" s="71"/>
      <c r="AB856" s="71"/>
      <c r="AC856" s="71"/>
      <c r="AD856" s="71"/>
      <c r="AE856" s="71"/>
      <c r="AF856" s="71"/>
      <c r="AG856" s="82">
        <v>0</v>
      </c>
      <c r="AH856" s="76"/>
      <c r="AI856" s="76"/>
      <c r="AJ856" s="76"/>
      <c r="AK856" s="71">
        <v>0.15</v>
      </c>
      <c r="AL856" s="88">
        <v>3.36214217426926E-2</v>
      </c>
      <c r="AM856" s="89">
        <f t="shared" si="13"/>
        <v>0.22414281161795069</v>
      </c>
      <c r="AN856" s="78"/>
    </row>
    <row r="857" spans="1:40" x14ac:dyDescent="0.25">
      <c r="A857" t="s">
        <v>44</v>
      </c>
      <c r="B857" t="s">
        <v>45</v>
      </c>
      <c r="C857" s="121" t="s">
        <v>174</v>
      </c>
      <c r="D857" t="s">
        <v>193</v>
      </c>
      <c r="E857" t="s">
        <v>59</v>
      </c>
      <c r="F857">
        <v>3</v>
      </c>
      <c r="G857">
        <v>75</v>
      </c>
      <c r="H857" s="86">
        <v>45963.885719525497</v>
      </c>
      <c r="I857" s="86">
        <v>45963.9579016551</v>
      </c>
      <c r="J857" s="87">
        <v>1.73237111111111</v>
      </c>
      <c r="K857" s="69" t="s">
        <v>274</v>
      </c>
      <c r="L857" s="69"/>
      <c r="M857" s="71"/>
      <c r="N857" s="71"/>
      <c r="O857" s="71"/>
      <c r="P857" s="71" t="s">
        <v>275</v>
      </c>
      <c r="Q857" s="88">
        <v>7.1179356685304798E-3</v>
      </c>
      <c r="R857" s="89" t="s">
        <v>276</v>
      </c>
      <c r="S857" s="89"/>
      <c r="T857">
        <v>7.2</v>
      </c>
      <c r="U857" s="76">
        <v>0.2</v>
      </c>
      <c r="V857">
        <v>9.8000000000000007</v>
      </c>
      <c r="W857" s="90">
        <v>0.1</v>
      </c>
      <c r="X857" s="90"/>
      <c r="Y857" s="71"/>
      <c r="Z857" s="71"/>
      <c r="AA857" s="71"/>
      <c r="AB857" s="71"/>
      <c r="AC857" s="71"/>
      <c r="AD857" s="71"/>
      <c r="AE857" s="71"/>
      <c r="AF857" s="71"/>
      <c r="AG857" s="82">
        <v>0</v>
      </c>
      <c r="AH857" s="76"/>
      <c r="AI857" s="76"/>
      <c r="AJ857" s="76"/>
      <c r="AK857" s="71">
        <v>0.15</v>
      </c>
      <c r="AL857" s="88">
        <v>3.36214217426926E-2</v>
      </c>
      <c r="AM857" s="89">
        <f t="shared" si="13"/>
        <v>0.22414281161795069</v>
      </c>
      <c r="AN857" s="78"/>
    </row>
    <row r="858" spans="1:40" x14ac:dyDescent="0.25">
      <c r="A858" t="s">
        <v>44</v>
      </c>
      <c r="B858" t="s">
        <v>45</v>
      </c>
      <c r="C858" s="121" t="s">
        <v>174</v>
      </c>
      <c r="D858" t="s">
        <v>193</v>
      </c>
      <c r="E858" t="s">
        <v>59</v>
      </c>
      <c r="F858">
        <v>3</v>
      </c>
      <c r="G858">
        <v>76</v>
      </c>
      <c r="H858" s="86">
        <v>45963.9579016551</v>
      </c>
      <c r="I858" s="86">
        <v>45964.030083831</v>
      </c>
      <c r="J858" s="87">
        <v>1.73237222222222</v>
      </c>
      <c r="K858" s="69" t="s">
        <v>274</v>
      </c>
      <c r="L858" s="69"/>
      <c r="M858" s="71"/>
      <c r="N858" s="71"/>
      <c r="O858" s="71"/>
      <c r="P858" s="71" t="s">
        <v>275</v>
      </c>
      <c r="Q858" s="88">
        <v>7.42374737018361E-3</v>
      </c>
      <c r="R858" s="89" t="s">
        <v>276</v>
      </c>
      <c r="S858" s="89"/>
      <c r="T858">
        <v>6.6</v>
      </c>
      <c r="U858" s="76">
        <v>0.2</v>
      </c>
      <c r="V858">
        <v>9.6999999999999993</v>
      </c>
      <c r="W858" s="90">
        <v>0.1</v>
      </c>
      <c r="X858" s="90"/>
      <c r="Y858" s="71"/>
      <c r="Z858" s="71"/>
      <c r="AA858" s="71"/>
      <c r="AB858" s="71"/>
      <c r="AC858" s="71"/>
      <c r="AD858" s="71"/>
      <c r="AE858" s="71"/>
      <c r="AF858" s="71"/>
      <c r="AG858" s="82">
        <v>0</v>
      </c>
      <c r="AH858" s="76"/>
      <c r="AI858" s="76"/>
      <c r="AJ858" s="76"/>
      <c r="AK858" s="71">
        <v>0.15</v>
      </c>
      <c r="AL858" s="88">
        <v>3.36214217426926E-2</v>
      </c>
      <c r="AM858" s="89">
        <f t="shared" si="13"/>
        <v>0.22414281161795069</v>
      </c>
      <c r="AN858" s="78"/>
    </row>
    <row r="859" spans="1:40" x14ac:dyDescent="0.25">
      <c r="A859" t="s">
        <v>44</v>
      </c>
      <c r="B859" t="s">
        <v>45</v>
      </c>
      <c r="C859" s="121" t="s">
        <v>174</v>
      </c>
      <c r="D859" t="s">
        <v>193</v>
      </c>
      <c r="E859" t="s">
        <v>59</v>
      </c>
      <c r="F859">
        <v>3</v>
      </c>
      <c r="G859">
        <v>77</v>
      </c>
      <c r="H859" s="86">
        <v>45964.030083831</v>
      </c>
      <c r="I859" s="86">
        <v>45964.102256365702</v>
      </c>
      <c r="J859" s="87">
        <v>1.7321408333333299</v>
      </c>
      <c r="K859" s="69" t="s">
        <v>274</v>
      </c>
      <c r="L859" s="69"/>
      <c r="M859" s="71"/>
      <c r="N859" s="71"/>
      <c r="O859" s="71"/>
      <c r="P859" s="71" t="s">
        <v>275</v>
      </c>
      <c r="Q859" s="88">
        <v>9.3933955100338196E-3</v>
      </c>
      <c r="R859" s="89" t="s">
        <v>276</v>
      </c>
      <c r="S859" s="89"/>
      <c r="T859">
        <v>6.9</v>
      </c>
      <c r="U859" s="76">
        <v>0.2</v>
      </c>
      <c r="V859">
        <v>9.5</v>
      </c>
      <c r="W859" s="90">
        <v>0.1</v>
      </c>
      <c r="X859" s="90"/>
      <c r="Y859" s="71"/>
      <c r="Z859" s="71"/>
      <c r="AA859" s="71"/>
      <c r="AB859" s="71"/>
      <c r="AC859" s="71"/>
      <c r="AD859" s="71"/>
      <c r="AE859" s="71"/>
      <c r="AF859" s="71"/>
      <c r="AG859" s="82">
        <v>0</v>
      </c>
      <c r="AH859" s="76"/>
      <c r="AI859" s="76"/>
      <c r="AJ859" s="76"/>
      <c r="AK859" s="71">
        <v>0.15</v>
      </c>
      <c r="AL859" s="88">
        <v>3.36214217426926E-2</v>
      </c>
      <c r="AM859" s="89">
        <f t="shared" si="13"/>
        <v>0.22414281161795069</v>
      </c>
      <c r="AN859" s="78"/>
    </row>
    <row r="860" spans="1:40" x14ac:dyDescent="0.25">
      <c r="A860" t="s">
        <v>44</v>
      </c>
      <c r="B860" t="s">
        <v>45</v>
      </c>
      <c r="C860" s="121" t="s">
        <v>174</v>
      </c>
      <c r="D860" t="s">
        <v>193</v>
      </c>
      <c r="E860" t="s">
        <v>59</v>
      </c>
      <c r="F860">
        <v>3</v>
      </c>
      <c r="G860">
        <v>78</v>
      </c>
      <c r="H860" s="86">
        <v>45964.102256365702</v>
      </c>
      <c r="I860" s="86">
        <v>45964.174447094898</v>
      </c>
      <c r="J860" s="87">
        <v>1.7325775000000001</v>
      </c>
      <c r="K860" s="69" t="s">
        <v>274</v>
      </c>
      <c r="L860" s="69"/>
      <c r="M860" s="71"/>
      <c r="N860" s="71"/>
      <c r="O860" s="71"/>
      <c r="P860" s="71" t="s">
        <v>275</v>
      </c>
      <c r="Q860" s="88">
        <v>1.0777546462297101E-2</v>
      </c>
      <c r="R860" s="89" t="s">
        <v>276</v>
      </c>
      <c r="S860" s="89"/>
      <c r="T860">
        <v>6.7</v>
      </c>
      <c r="U860" s="76">
        <v>0.2</v>
      </c>
      <c r="V860">
        <v>9.5</v>
      </c>
      <c r="W860" s="90">
        <v>0.1</v>
      </c>
      <c r="X860" s="90"/>
      <c r="Y860" s="71"/>
      <c r="Z860" s="71"/>
      <c r="AA860" s="71"/>
      <c r="AB860" s="71"/>
      <c r="AC860" s="71"/>
      <c r="AD860" s="71"/>
      <c r="AE860" s="71"/>
      <c r="AF860" s="71"/>
      <c r="AG860" s="82">
        <v>0</v>
      </c>
      <c r="AH860" s="76"/>
      <c r="AI860" s="76"/>
      <c r="AJ860" s="76"/>
      <c r="AK860" s="71">
        <v>0.15</v>
      </c>
      <c r="AL860" s="88">
        <v>3.36214217426926E-2</v>
      </c>
      <c r="AM860" s="89">
        <f t="shared" si="13"/>
        <v>0.22414281161795069</v>
      </c>
      <c r="AN860" s="78"/>
    </row>
    <row r="861" spans="1:40" x14ac:dyDescent="0.25">
      <c r="A861" t="s">
        <v>44</v>
      </c>
      <c r="B861" t="s">
        <v>45</v>
      </c>
      <c r="C861" s="121" t="s">
        <v>174</v>
      </c>
      <c r="D861" t="s">
        <v>193</v>
      </c>
      <c r="E861" t="s">
        <v>59</v>
      </c>
      <c r="F861">
        <v>3</v>
      </c>
      <c r="G861">
        <v>79</v>
      </c>
      <c r="H861" s="86">
        <v>45964.174447094898</v>
      </c>
      <c r="I861" s="86">
        <v>45964.246634525502</v>
      </c>
      <c r="J861" s="87">
        <v>1.7324983333333299</v>
      </c>
      <c r="K861" s="69" t="s">
        <v>274</v>
      </c>
      <c r="L861" s="69"/>
      <c r="M861" s="71"/>
      <c r="N861" s="71"/>
      <c r="O861" s="71"/>
      <c r="P861" s="71" t="s">
        <v>275</v>
      </c>
      <c r="Q861" s="88">
        <v>1.0076208561488E-2</v>
      </c>
      <c r="R861" s="89" t="s">
        <v>276</v>
      </c>
      <c r="S861" s="89"/>
      <c r="T861">
        <v>6.1</v>
      </c>
      <c r="U861" s="76">
        <v>0.2</v>
      </c>
      <c r="V861">
        <v>9.4</v>
      </c>
      <c r="W861" s="90">
        <v>0.1</v>
      </c>
      <c r="X861" s="90"/>
      <c r="Y861" s="71"/>
      <c r="Z861" s="71"/>
      <c r="AA861" s="71"/>
      <c r="AB861" s="71"/>
      <c r="AC861" s="71"/>
      <c r="AD861" s="71"/>
      <c r="AE861" s="71"/>
      <c r="AF861" s="71"/>
      <c r="AG861" s="82">
        <v>0</v>
      </c>
      <c r="AH861" s="76"/>
      <c r="AI861" s="76"/>
      <c r="AJ861" s="76"/>
      <c r="AK861" s="71">
        <v>0.15</v>
      </c>
      <c r="AL861" s="88">
        <v>3.36214217426926E-2</v>
      </c>
      <c r="AM861" s="89">
        <f t="shared" si="13"/>
        <v>0.22414281161795069</v>
      </c>
      <c r="AN861" s="78"/>
    </row>
    <row r="862" spans="1:40" x14ac:dyDescent="0.25">
      <c r="A862" t="s">
        <v>44</v>
      </c>
      <c r="B862" t="s">
        <v>45</v>
      </c>
      <c r="C862" s="121" t="s">
        <v>174</v>
      </c>
      <c r="D862" t="s">
        <v>193</v>
      </c>
      <c r="E862" t="s">
        <v>59</v>
      </c>
      <c r="F862">
        <v>3</v>
      </c>
      <c r="G862">
        <v>80</v>
      </c>
      <c r="H862" s="86">
        <v>45964.246634525502</v>
      </c>
      <c r="I862" s="86">
        <v>45964.318813009297</v>
      </c>
      <c r="J862" s="87">
        <v>1.73228361111111</v>
      </c>
      <c r="K862" s="69" t="s">
        <v>274</v>
      </c>
      <c r="L862" s="69"/>
      <c r="M862" s="71"/>
      <c r="N862" s="71"/>
      <c r="O862" s="71"/>
      <c r="P862" s="71" t="s">
        <v>275</v>
      </c>
      <c r="Q862" s="88">
        <v>1.18206461968117E-2</v>
      </c>
      <c r="R862" s="89" t="s">
        <v>276</v>
      </c>
      <c r="S862" s="89"/>
      <c r="T862">
        <v>6.6</v>
      </c>
      <c r="U862" s="76">
        <v>0.2</v>
      </c>
      <c r="V862">
        <v>9.3000000000000007</v>
      </c>
      <c r="W862" s="90">
        <v>0.1</v>
      </c>
      <c r="X862" s="90"/>
      <c r="Y862" s="71"/>
      <c r="Z862" s="71"/>
      <c r="AA862" s="71"/>
      <c r="AB862" s="71"/>
      <c r="AC862" s="71"/>
      <c r="AD862" s="71"/>
      <c r="AE862" s="71"/>
      <c r="AF862" s="71"/>
      <c r="AG862" s="82">
        <v>0</v>
      </c>
      <c r="AH862" s="76"/>
      <c r="AI862" s="76"/>
      <c r="AJ862" s="76"/>
      <c r="AK862" s="71">
        <v>0.15</v>
      </c>
      <c r="AL862" s="88">
        <v>3.36214217426926E-2</v>
      </c>
      <c r="AM862" s="89">
        <f t="shared" si="13"/>
        <v>0.22414281161795069</v>
      </c>
      <c r="AN862" s="78"/>
    </row>
    <row r="863" spans="1:40" x14ac:dyDescent="0.25">
      <c r="A863" t="s">
        <v>44</v>
      </c>
      <c r="B863" t="s">
        <v>45</v>
      </c>
      <c r="C863" s="121" t="s">
        <v>174</v>
      </c>
      <c r="D863" t="s">
        <v>193</v>
      </c>
      <c r="E863" t="s">
        <v>59</v>
      </c>
      <c r="F863">
        <v>3</v>
      </c>
      <c r="G863">
        <v>81</v>
      </c>
      <c r="H863" s="86">
        <v>45964.318813009297</v>
      </c>
      <c r="I863" s="86">
        <v>45964.390996539398</v>
      </c>
      <c r="J863" s="87">
        <v>1.7324047222222201</v>
      </c>
      <c r="K863" s="69" t="s">
        <v>274</v>
      </c>
      <c r="L863" s="69"/>
      <c r="M863" s="71"/>
      <c r="N863" s="71"/>
      <c r="O863" s="71"/>
      <c r="P863" s="71" t="s">
        <v>275</v>
      </c>
      <c r="Q863" s="88">
        <v>8.1402258670457001E-3</v>
      </c>
      <c r="R863" s="89" t="s">
        <v>276</v>
      </c>
      <c r="S863" s="89"/>
      <c r="T863">
        <v>6</v>
      </c>
      <c r="U863" s="76">
        <v>0.2</v>
      </c>
      <c r="V863">
        <v>9.1999999999999993</v>
      </c>
      <c r="W863" s="90">
        <v>0.1</v>
      </c>
      <c r="X863" s="90"/>
      <c r="Y863" s="71"/>
      <c r="Z863" s="71"/>
      <c r="AA863" s="71"/>
      <c r="AB863" s="71"/>
      <c r="AC863" s="71"/>
      <c r="AD863" s="71"/>
      <c r="AE863" s="71"/>
      <c r="AF863" s="71"/>
      <c r="AG863" s="82">
        <v>0</v>
      </c>
      <c r="AH863" s="76"/>
      <c r="AI863" s="76"/>
      <c r="AJ863" s="76"/>
      <c r="AK863" s="71">
        <v>0.15</v>
      </c>
      <c r="AL863" s="88">
        <v>3.36214217426926E-2</v>
      </c>
      <c r="AM863" s="89">
        <f t="shared" si="13"/>
        <v>0.22414281161795069</v>
      </c>
      <c r="AN863" s="78"/>
    </row>
    <row r="864" spans="1:40" x14ac:dyDescent="0.25">
      <c r="A864" t="s">
        <v>44</v>
      </c>
      <c r="B864" t="s">
        <v>45</v>
      </c>
      <c r="C864" s="121" t="s">
        <v>174</v>
      </c>
      <c r="D864" t="s">
        <v>193</v>
      </c>
      <c r="E864" t="s">
        <v>59</v>
      </c>
      <c r="F864">
        <v>3</v>
      </c>
      <c r="G864">
        <v>82</v>
      </c>
      <c r="H864" s="86">
        <v>45964.390996539398</v>
      </c>
      <c r="I864" s="86">
        <v>45964.463188680602</v>
      </c>
      <c r="J864" s="87">
        <v>1.7326113888888901</v>
      </c>
      <c r="K864" s="69" t="s">
        <v>274</v>
      </c>
      <c r="L864" s="69"/>
      <c r="M864" s="71"/>
      <c r="N864" s="71"/>
      <c r="O864" s="71"/>
      <c r="P864" s="71" t="s">
        <v>275</v>
      </c>
      <c r="Q864" s="88">
        <v>4.33850436524136E-2</v>
      </c>
      <c r="R864" s="89" t="s">
        <v>276</v>
      </c>
      <c r="S864" s="89"/>
      <c r="T864">
        <v>7.9</v>
      </c>
      <c r="U864" s="76">
        <v>0.2</v>
      </c>
      <c r="V864">
        <v>9.1999999999999993</v>
      </c>
      <c r="W864" s="90">
        <v>0.1</v>
      </c>
      <c r="X864" s="90"/>
      <c r="Y864" s="71"/>
      <c r="Z864" s="71"/>
      <c r="AA864" s="71"/>
      <c r="AB864" s="71"/>
      <c r="AC864" s="71"/>
      <c r="AD864" s="71"/>
      <c r="AE864" s="71"/>
      <c r="AF864" s="71"/>
      <c r="AG864" s="82">
        <v>0</v>
      </c>
      <c r="AH864" s="76"/>
      <c r="AI864" s="76"/>
      <c r="AJ864" s="76"/>
      <c r="AK864" s="71">
        <v>0.15</v>
      </c>
      <c r="AL864" s="88">
        <v>3.36214217426926E-2</v>
      </c>
      <c r="AM864" s="89">
        <f t="shared" si="13"/>
        <v>0.22414281161795069</v>
      </c>
      <c r="AN864" s="78"/>
    </row>
    <row r="865" spans="1:40" x14ac:dyDescent="0.25">
      <c r="A865" t="s">
        <v>44</v>
      </c>
      <c r="B865" t="s">
        <v>45</v>
      </c>
      <c r="C865" s="121" t="s">
        <v>174</v>
      </c>
      <c r="D865" t="s">
        <v>193</v>
      </c>
      <c r="E865" t="s">
        <v>59</v>
      </c>
      <c r="F865">
        <v>3</v>
      </c>
      <c r="G865">
        <v>83</v>
      </c>
      <c r="H865" s="86">
        <v>45964.463188680602</v>
      </c>
      <c r="I865" s="86">
        <v>45964.535366782402</v>
      </c>
      <c r="J865" s="87">
        <v>1.73227444444444</v>
      </c>
      <c r="K865" s="69" t="s">
        <v>274</v>
      </c>
      <c r="L865" s="69"/>
      <c r="M865" s="71"/>
      <c r="N865" s="71"/>
      <c r="O865" s="71"/>
      <c r="P865" s="71" t="s">
        <v>275</v>
      </c>
      <c r="Q865" s="88">
        <v>3.9320044262067998E-2</v>
      </c>
      <c r="R865" s="89" t="s">
        <v>276</v>
      </c>
      <c r="S865" s="89"/>
      <c r="T865">
        <v>10.4</v>
      </c>
      <c r="U865" s="76">
        <v>0.2</v>
      </c>
      <c r="V865">
        <v>9.1999999999999993</v>
      </c>
      <c r="W865" s="90">
        <v>0.1</v>
      </c>
      <c r="X865" s="90"/>
      <c r="Y865" s="71"/>
      <c r="Z865" s="71"/>
      <c r="AA865" s="71"/>
      <c r="AB865" s="71"/>
      <c r="AC865" s="71"/>
      <c r="AD865" s="71"/>
      <c r="AE865" s="71"/>
      <c r="AF865" s="71"/>
      <c r="AG865" s="82">
        <v>0</v>
      </c>
      <c r="AH865" s="76"/>
      <c r="AI865" s="76"/>
      <c r="AJ865" s="76"/>
      <c r="AK865" s="71">
        <v>0.15</v>
      </c>
      <c r="AL865" s="88">
        <v>3.36214217426926E-2</v>
      </c>
      <c r="AM865" s="89">
        <f t="shared" si="13"/>
        <v>0.22414281161795069</v>
      </c>
      <c r="AN865" s="78"/>
    </row>
    <row r="866" spans="1:40" x14ac:dyDescent="0.25">
      <c r="A866" t="s">
        <v>44</v>
      </c>
      <c r="B866" t="s">
        <v>45</v>
      </c>
      <c r="C866" s="121" t="s">
        <v>174</v>
      </c>
      <c r="D866" t="s">
        <v>193</v>
      </c>
      <c r="E866" t="s">
        <v>59</v>
      </c>
      <c r="F866">
        <v>3</v>
      </c>
      <c r="G866">
        <v>84</v>
      </c>
      <c r="H866" s="86">
        <v>45964.535366782402</v>
      </c>
      <c r="I866" s="86">
        <v>45964.607547696804</v>
      </c>
      <c r="J866" s="87">
        <v>1.7323419444444399</v>
      </c>
      <c r="K866" s="69" t="s">
        <v>274</v>
      </c>
      <c r="L866" s="69"/>
      <c r="M866" s="71"/>
      <c r="N866" s="71"/>
      <c r="O866" s="71"/>
      <c r="P866" s="71" t="s">
        <v>275</v>
      </c>
      <c r="Q866" s="88">
        <v>3.81784543385979E-2</v>
      </c>
      <c r="R866" s="89" t="s">
        <v>276</v>
      </c>
      <c r="S866" s="89"/>
      <c r="T866">
        <v>10.6</v>
      </c>
      <c r="U866" s="76">
        <v>0.2</v>
      </c>
      <c r="V866">
        <v>9.3000000000000007</v>
      </c>
      <c r="W866" s="90">
        <v>0.1</v>
      </c>
      <c r="X866" s="90"/>
      <c r="Y866" s="71"/>
      <c r="Z866" s="71"/>
      <c r="AA866" s="71"/>
      <c r="AB866" s="71"/>
      <c r="AC866" s="71"/>
      <c r="AD866" s="71"/>
      <c r="AE866" s="71"/>
      <c r="AF866" s="71"/>
      <c r="AG866" s="82">
        <v>0</v>
      </c>
      <c r="AH866" s="76"/>
      <c r="AI866" s="76"/>
      <c r="AJ866" s="76"/>
      <c r="AK866" s="71">
        <v>0.15</v>
      </c>
      <c r="AL866" s="88">
        <v>3.36214217426926E-2</v>
      </c>
      <c r="AM866" s="89">
        <f t="shared" si="13"/>
        <v>0.22414281161795069</v>
      </c>
      <c r="AN866" s="78"/>
    </row>
    <row r="867" spans="1:40" x14ac:dyDescent="0.25">
      <c r="A867" t="s">
        <v>44</v>
      </c>
      <c r="B867" t="s">
        <v>45</v>
      </c>
      <c r="C867" s="121" t="s">
        <v>174</v>
      </c>
      <c r="D867" t="s">
        <v>193</v>
      </c>
      <c r="E867" t="s">
        <v>59</v>
      </c>
      <c r="F867">
        <v>3</v>
      </c>
      <c r="G867">
        <v>85</v>
      </c>
      <c r="H867" s="86">
        <v>45964.607547696804</v>
      </c>
      <c r="I867" s="86">
        <v>45964.679729919</v>
      </c>
      <c r="J867" s="87">
        <v>1.73237333333333</v>
      </c>
      <c r="K867" s="69" t="s">
        <v>274</v>
      </c>
      <c r="L867" s="69"/>
      <c r="M867" s="71"/>
      <c r="N867" s="71"/>
      <c r="O867" s="71"/>
      <c r="P867" s="71" t="s">
        <v>275</v>
      </c>
      <c r="Q867" s="88">
        <v>1.7746845922509798E-2</v>
      </c>
      <c r="R867" s="89" t="s">
        <v>276</v>
      </c>
      <c r="S867" s="89"/>
      <c r="T867">
        <v>9.6</v>
      </c>
      <c r="U867" s="76">
        <v>0.2</v>
      </c>
      <c r="V867">
        <v>9.5</v>
      </c>
      <c r="W867" s="90">
        <v>0.1</v>
      </c>
      <c r="X867" s="90"/>
      <c r="Y867" s="71"/>
      <c r="Z867" s="71"/>
      <c r="AA867" s="71"/>
      <c r="AB867" s="71"/>
      <c r="AC867" s="71"/>
      <c r="AD867" s="71"/>
      <c r="AE867" s="71"/>
      <c r="AF867" s="71"/>
      <c r="AG867" s="82">
        <v>1</v>
      </c>
      <c r="AH867" s="76"/>
      <c r="AI867" s="76"/>
      <c r="AJ867" s="76"/>
      <c r="AK867" s="71">
        <v>0.15</v>
      </c>
      <c r="AL867" s="88">
        <v>3.36214217426926E-2</v>
      </c>
      <c r="AM867" s="89">
        <f t="shared" si="13"/>
        <v>0.22414281161795069</v>
      </c>
      <c r="AN867" s="78"/>
    </row>
    <row r="868" spans="1:40" x14ac:dyDescent="0.25">
      <c r="A868" t="s">
        <v>44</v>
      </c>
      <c r="B868" t="s">
        <v>45</v>
      </c>
      <c r="C868" s="121" t="s">
        <v>174</v>
      </c>
      <c r="D868" t="s">
        <v>193</v>
      </c>
      <c r="E868" t="s">
        <v>59</v>
      </c>
      <c r="F868">
        <v>3</v>
      </c>
      <c r="G868">
        <v>86</v>
      </c>
      <c r="H868" s="86">
        <v>45964.679729919</v>
      </c>
      <c r="I868" s="86">
        <v>45964.751915092602</v>
      </c>
      <c r="J868" s="87">
        <v>1.7324441666666699</v>
      </c>
      <c r="K868" s="69" t="s">
        <v>274</v>
      </c>
      <c r="L868" s="69"/>
      <c r="M868" s="71"/>
      <c r="N868" s="71"/>
      <c r="O868" s="71"/>
      <c r="P868" s="71" t="s">
        <v>275</v>
      </c>
      <c r="Q868" s="88">
        <v>9.9915107136474193E-3</v>
      </c>
      <c r="R868" s="89" t="s">
        <v>276</v>
      </c>
      <c r="S868" s="89"/>
      <c r="T868">
        <v>9.3000000000000007</v>
      </c>
      <c r="U868" s="76">
        <v>0.2</v>
      </c>
      <c r="V868">
        <v>9.6</v>
      </c>
      <c r="W868" s="90">
        <v>0.1</v>
      </c>
      <c r="X868" s="90"/>
      <c r="Y868" s="71"/>
      <c r="Z868" s="71"/>
      <c r="AA868" s="71"/>
      <c r="AB868" s="71"/>
      <c r="AC868" s="71"/>
      <c r="AD868" s="71"/>
      <c r="AE868" s="71"/>
      <c r="AF868" s="71"/>
      <c r="AG868" s="82">
        <v>0.3</v>
      </c>
      <c r="AH868" s="76"/>
      <c r="AI868" s="76"/>
      <c r="AJ868" s="76"/>
      <c r="AK868" s="71">
        <v>0.15</v>
      </c>
      <c r="AL868" s="88">
        <v>3.36214217426926E-2</v>
      </c>
      <c r="AM868" s="89">
        <f t="shared" si="13"/>
        <v>0.22414281161795069</v>
      </c>
      <c r="AN868" s="78"/>
    </row>
    <row r="869" spans="1:40" x14ac:dyDescent="0.25">
      <c r="A869" t="s">
        <v>44</v>
      </c>
      <c r="B869" t="s">
        <v>45</v>
      </c>
      <c r="C869" s="121" t="s">
        <v>174</v>
      </c>
      <c r="D869" t="s">
        <v>193</v>
      </c>
      <c r="E869" t="s">
        <v>59</v>
      </c>
      <c r="F869">
        <v>3</v>
      </c>
      <c r="G869">
        <v>87</v>
      </c>
      <c r="H869" s="86">
        <v>45964.751915092602</v>
      </c>
      <c r="I869" s="86">
        <v>45964.824104455998</v>
      </c>
      <c r="J869" s="87">
        <v>1.7325447222222199</v>
      </c>
      <c r="K869" s="69" t="s">
        <v>274</v>
      </c>
      <c r="L869" s="69"/>
      <c r="M869" s="71"/>
      <c r="N869" s="71"/>
      <c r="O869" s="71"/>
      <c r="P869" s="71" t="s">
        <v>275</v>
      </c>
      <c r="Q869" s="88">
        <v>8.2667216376944592E-3</v>
      </c>
      <c r="R869" s="89" t="s">
        <v>276</v>
      </c>
      <c r="S869" s="89"/>
      <c r="T869">
        <v>9.8000000000000007</v>
      </c>
      <c r="U869" s="76">
        <v>0.2</v>
      </c>
      <c r="V869">
        <v>9.6</v>
      </c>
      <c r="W869" s="90">
        <v>0.1</v>
      </c>
      <c r="X869" s="90"/>
      <c r="Y869" s="71"/>
      <c r="Z869" s="71"/>
      <c r="AA869" s="71"/>
      <c r="AB869" s="71"/>
      <c r="AC869" s="71"/>
      <c r="AD869" s="71"/>
      <c r="AE869" s="71"/>
      <c r="AF869" s="71"/>
      <c r="AG869" s="82">
        <v>0.1</v>
      </c>
      <c r="AH869" s="76"/>
      <c r="AI869" s="76"/>
      <c r="AJ869" s="76"/>
      <c r="AK869" s="71">
        <v>0.15</v>
      </c>
      <c r="AL869" s="88">
        <v>3.36214217426926E-2</v>
      </c>
      <c r="AM869" s="89">
        <f t="shared" si="13"/>
        <v>0.22414281161795069</v>
      </c>
      <c r="AN869" s="78"/>
    </row>
    <row r="870" spans="1:40" x14ac:dyDescent="0.25">
      <c r="A870" t="s">
        <v>44</v>
      </c>
      <c r="B870" t="s">
        <v>45</v>
      </c>
      <c r="C870" s="121" t="s">
        <v>174</v>
      </c>
      <c r="D870" t="s">
        <v>193</v>
      </c>
      <c r="E870" t="s">
        <v>59</v>
      </c>
      <c r="F870">
        <v>3</v>
      </c>
      <c r="G870">
        <v>88</v>
      </c>
      <c r="H870" s="86">
        <v>45964.824104455998</v>
      </c>
      <c r="I870" s="86">
        <v>45964.896273831</v>
      </c>
      <c r="J870" s="87">
        <v>1.732065</v>
      </c>
      <c r="K870" s="69" t="s">
        <v>274</v>
      </c>
      <c r="L870" s="69"/>
      <c r="M870" s="71"/>
      <c r="N870" s="71"/>
      <c r="O870" s="71"/>
      <c r="P870" s="71" t="s">
        <v>275</v>
      </c>
      <c r="Q870" s="88">
        <v>8.2352607164389198E-3</v>
      </c>
      <c r="R870" s="89" t="s">
        <v>276</v>
      </c>
      <c r="S870" s="89"/>
      <c r="T870">
        <v>10.9</v>
      </c>
      <c r="U870" s="76">
        <v>0.2</v>
      </c>
      <c r="V870">
        <v>9.6999999999999993</v>
      </c>
      <c r="W870" s="90">
        <v>0.1</v>
      </c>
      <c r="X870" s="90"/>
      <c r="Y870" s="71"/>
      <c r="Z870" s="71"/>
      <c r="AA870" s="71"/>
      <c r="AB870" s="71"/>
      <c r="AC870" s="71"/>
      <c r="AD870" s="71"/>
      <c r="AE870" s="71"/>
      <c r="AF870" s="71"/>
      <c r="AG870" s="82">
        <v>0.1</v>
      </c>
      <c r="AH870" s="76"/>
      <c r="AI870" s="76"/>
      <c r="AJ870" s="76"/>
      <c r="AK870" s="71">
        <v>0.15</v>
      </c>
      <c r="AL870" s="88">
        <v>3.36214217426926E-2</v>
      </c>
      <c r="AM870" s="89">
        <f t="shared" si="13"/>
        <v>0.22414281161795069</v>
      </c>
      <c r="AN870" s="78"/>
    </row>
    <row r="871" spans="1:40" x14ac:dyDescent="0.25">
      <c r="A871" t="s">
        <v>44</v>
      </c>
      <c r="B871" t="s">
        <v>45</v>
      </c>
      <c r="C871" s="121" t="s">
        <v>174</v>
      </c>
      <c r="D871" t="s">
        <v>193</v>
      </c>
      <c r="E871" t="s">
        <v>59</v>
      </c>
      <c r="F871">
        <v>3</v>
      </c>
      <c r="G871">
        <v>89</v>
      </c>
      <c r="H871" s="86">
        <v>45964.896273831</v>
      </c>
      <c r="I871" s="86">
        <v>45964.968479155097</v>
      </c>
      <c r="J871" s="87">
        <v>1.7329277777777801</v>
      </c>
      <c r="K871" s="69" t="s">
        <v>274</v>
      </c>
      <c r="L871" s="69"/>
      <c r="M871" s="71"/>
      <c r="N871" s="71"/>
      <c r="O871" s="71"/>
      <c r="P871" s="71" t="s">
        <v>275</v>
      </c>
      <c r="Q871" s="88">
        <v>9.9157811827694804E-3</v>
      </c>
      <c r="R871" s="89" t="s">
        <v>276</v>
      </c>
      <c r="S871" s="89"/>
      <c r="T871">
        <v>12</v>
      </c>
      <c r="U871" s="76">
        <v>0.2</v>
      </c>
      <c r="V871">
        <v>9.8000000000000007</v>
      </c>
      <c r="W871" s="90">
        <v>0.1</v>
      </c>
      <c r="X871" s="90"/>
      <c r="Y871" s="71"/>
      <c r="Z871" s="71"/>
      <c r="AA871" s="71"/>
      <c r="AB871" s="71"/>
      <c r="AC871" s="71"/>
      <c r="AD871" s="71"/>
      <c r="AE871" s="71"/>
      <c r="AF871" s="71"/>
      <c r="AG871" s="82">
        <v>0.3</v>
      </c>
      <c r="AH871" s="76"/>
      <c r="AI871" s="76"/>
      <c r="AJ871" s="76"/>
      <c r="AK871" s="71">
        <v>0.15</v>
      </c>
      <c r="AL871" s="88">
        <v>3.36214217426926E-2</v>
      </c>
      <c r="AM871" s="89">
        <f t="shared" si="13"/>
        <v>0.22414281161795069</v>
      </c>
      <c r="AN871" s="78"/>
    </row>
    <row r="872" spans="1:40" x14ac:dyDescent="0.25">
      <c r="A872" t="s">
        <v>44</v>
      </c>
      <c r="B872" t="s">
        <v>45</v>
      </c>
      <c r="C872" s="121" t="s">
        <v>174</v>
      </c>
      <c r="D872" t="s">
        <v>193</v>
      </c>
      <c r="E872" t="s">
        <v>59</v>
      </c>
      <c r="F872">
        <v>3</v>
      </c>
      <c r="G872">
        <v>90</v>
      </c>
      <c r="H872" s="86">
        <v>45964.968479155097</v>
      </c>
      <c r="I872" s="86">
        <v>45965.040660335697</v>
      </c>
      <c r="J872" s="87">
        <v>1.73234833333333</v>
      </c>
      <c r="K872" s="69" t="s">
        <v>274</v>
      </c>
      <c r="L872" s="69"/>
      <c r="M872" s="71"/>
      <c r="N872" s="71"/>
      <c r="O872" s="71"/>
      <c r="P872" s="71" t="s">
        <v>275</v>
      </c>
      <c r="Q872" s="88">
        <v>1.37953351612647E-2</v>
      </c>
      <c r="R872" s="89" t="s">
        <v>276</v>
      </c>
      <c r="S872" s="89"/>
      <c r="T872">
        <v>12.3</v>
      </c>
      <c r="U872" s="76">
        <v>0.2</v>
      </c>
      <c r="V872">
        <v>9.8000000000000007</v>
      </c>
      <c r="W872" s="90">
        <v>0.1</v>
      </c>
      <c r="X872" s="90"/>
      <c r="Y872" s="71"/>
      <c r="Z872" s="71"/>
      <c r="AA872" s="71"/>
      <c r="AB872" s="71"/>
      <c r="AC872" s="71"/>
      <c r="AD872" s="71"/>
      <c r="AE872" s="71"/>
      <c r="AF872" s="71"/>
      <c r="AG872" s="82">
        <v>0.2</v>
      </c>
      <c r="AH872" s="76"/>
      <c r="AI872" s="76"/>
      <c r="AJ872" s="76"/>
      <c r="AK872" s="71">
        <v>0.15</v>
      </c>
      <c r="AL872" s="88">
        <v>3.36214217426926E-2</v>
      </c>
      <c r="AM872" s="89">
        <f t="shared" si="13"/>
        <v>0.22414281161795069</v>
      </c>
      <c r="AN872" s="78"/>
    </row>
    <row r="873" spans="1:40" x14ac:dyDescent="0.25">
      <c r="A873" t="s">
        <v>44</v>
      </c>
      <c r="B873" t="s">
        <v>45</v>
      </c>
      <c r="C873" s="121" t="s">
        <v>174</v>
      </c>
      <c r="D873" t="s">
        <v>193</v>
      </c>
      <c r="E873" t="s">
        <v>59</v>
      </c>
      <c r="F873">
        <v>3</v>
      </c>
      <c r="G873">
        <v>91</v>
      </c>
      <c r="H873" s="86">
        <v>45965.040660335697</v>
      </c>
      <c r="I873" s="86">
        <v>45965.112845613403</v>
      </c>
      <c r="J873" s="87">
        <v>1.73244666666667</v>
      </c>
      <c r="K873" s="69" t="s">
        <v>274</v>
      </c>
      <c r="L873" s="69"/>
      <c r="M873" s="71"/>
      <c r="N873" s="71"/>
      <c r="O873" s="71"/>
      <c r="P873" s="71" t="s">
        <v>275</v>
      </c>
      <c r="Q873" s="88">
        <v>1.5915587475934499E-2</v>
      </c>
      <c r="R873" s="89" t="s">
        <v>276</v>
      </c>
      <c r="S873" s="89"/>
      <c r="T873">
        <v>12.5</v>
      </c>
      <c r="U873" s="76">
        <v>0.2</v>
      </c>
      <c r="V873">
        <v>10</v>
      </c>
      <c r="W873" s="90">
        <v>0.1</v>
      </c>
      <c r="X873" s="90"/>
      <c r="Y873" s="71"/>
      <c r="Z873" s="71"/>
      <c r="AA873" s="71"/>
      <c r="AB873" s="71"/>
      <c r="AC873" s="71"/>
      <c r="AD873" s="71"/>
      <c r="AE873" s="71"/>
      <c r="AF873" s="71"/>
      <c r="AG873" s="82">
        <v>0.1</v>
      </c>
      <c r="AH873" s="76"/>
      <c r="AI873" s="76"/>
      <c r="AJ873" s="76"/>
      <c r="AK873" s="71">
        <v>0.15</v>
      </c>
      <c r="AL873" s="88">
        <v>3.36214217426926E-2</v>
      </c>
      <c r="AM873" s="89">
        <f t="shared" si="13"/>
        <v>0.22414281161795069</v>
      </c>
      <c r="AN873" s="78"/>
    </row>
    <row r="874" spans="1:40" x14ac:dyDescent="0.25">
      <c r="A874" t="s">
        <v>44</v>
      </c>
      <c r="B874" t="s">
        <v>45</v>
      </c>
      <c r="C874" s="121" t="s">
        <v>174</v>
      </c>
      <c r="D874" t="s">
        <v>193</v>
      </c>
      <c r="E874" t="s">
        <v>59</v>
      </c>
      <c r="F874">
        <v>3</v>
      </c>
      <c r="G874">
        <v>92</v>
      </c>
      <c r="H874" s="86">
        <v>45965.112845613403</v>
      </c>
      <c r="I874" s="86">
        <v>45965.1850284838</v>
      </c>
      <c r="J874" s="87">
        <v>1.7323888888888901</v>
      </c>
      <c r="K874" s="69" t="s">
        <v>274</v>
      </c>
      <c r="L874" s="69"/>
      <c r="M874" s="71"/>
      <c r="N874" s="71"/>
      <c r="O874" s="71"/>
      <c r="P874" s="71" t="s">
        <v>275</v>
      </c>
      <c r="Q874" s="88">
        <v>2.50434106170574E-2</v>
      </c>
      <c r="R874" s="89" t="s">
        <v>276</v>
      </c>
      <c r="S874" s="89"/>
      <c r="T874">
        <v>12.6</v>
      </c>
      <c r="U874" s="76">
        <v>0.2</v>
      </c>
      <c r="V874">
        <v>10.1</v>
      </c>
      <c r="W874" s="90">
        <v>0.1</v>
      </c>
      <c r="X874" s="90"/>
      <c r="Y874" s="71"/>
      <c r="Z874" s="71"/>
      <c r="AA874" s="71"/>
      <c r="AB874" s="71"/>
      <c r="AC874" s="71"/>
      <c r="AD874" s="71"/>
      <c r="AE874" s="71"/>
      <c r="AF874" s="71"/>
      <c r="AG874" s="82">
        <v>0</v>
      </c>
      <c r="AH874" s="76"/>
      <c r="AI874" s="76"/>
      <c r="AJ874" s="76"/>
      <c r="AK874" s="71">
        <v>0.15</v>
      </c>
      <c r="AL874" s="88">
        <v>3.36214217426926E-2</v>
      </c>
      <c r="AM874" s="89">
        <f t="shared" si="13"/>
        <v>0.22414281161795069</v>
      </c>
      <c r="AN874" s="78"/>
    </row>
    <row r="875" spans="1:40" x14ac:dyDescent="0.25">
      <c r="A875" t="s">
        <v>44</v>
      </c>
      <c r="B875" t="s">
        <v>45</v>
      </c>
      <c r="C875" s="121" t="s">
        <v>174</v>
      </c>
      <c r="D875" t="s">
        <v>193</v>
      </c>
      <c r="E875" t="s">
        <v>59</v>
      </c>
      <c r="F875">
        <v>3</v>
      </c>
      <c r="G875">
        <v>93</v>
      </c>
      <c r="H875" s="86">
        <v>45965.1850284838</v>
      </c>
      <c r="I875" s="86">
        <v>45965.257206192102</v>
      </c>
      <c r="J875" s="87">
        <v>1.7322649999999999</v>
      </c>
      <c r="K875" s="69" t="s">
        <v>274</v>
      </c>
      <c r="L875" s="69"/>
      <c r="M875" s="71"/>
      <c r="N875" s="71"/>
      <c r="O875" s="71"/>
      <c r="P875" s="71" t="s">
        <v>275</v>
      </c>
      <c r="Q875" s="88">
        <v>1.85789589396359E-2</v>
      </c>
      <c r="R875" s="89" t="s">
        <v>276</v>
      </c>
      <c r="S875" s="89"/>
      <c r="T875">
        <v>12.6</v>
      </c>
      <c r="U875" s="76">
        <v>0.2</v>
      </c>
      <c r="V875">
        <v>10.199999999999999</v>
      </c>
      <c r="W875" s="90">
        <v>0.1</v>
      </c>
      <c r="X875" s="90"/>
      <c r="Y875" s="71"/>
      <c r="Z875" s="71"/>
      <c r="AA875" s="71"/>
      <c r="AB875" s="71"/>
      <c r="AC875" s="71"/>
      <c r="AD875" s="71"/>
      <c r="AE875" s="71"/>
      <c r="AF875" s="71"/>
      <c r="AG875" s="82">
        <v>0.2</v>
      </c>
      <c r="AH875" s="76"/>
      <c r="AI875" s="76"/>
      <c r="AJ875" s="76"/>
      <c r="AK875" s="71">
        <v>0.15</v>
      </c>
      <c r="AL875" s="88">
        <v>3.36214217426926E-2</v>
      </c>
      <c r="AM875" s="89">
        <f t="shared" si="13"/>
        <v>0.22414281161795069</v>
      </c>
      <c r="AN875" s="78"/>
    </row>
    <row r="876" spans="1:40" x14ac:dyDescent="0.25">
      <c r="A876" t="s">
        <v>44</v>
      </c>
      <c r="B876" t="s">
        <v>45</v>
      </c>
      <c r="C876" s="121" t="s">
        <v>174</v>
      </c>
      <c r="D876" t="s">
        <v>193</v>
      </c>
      <c r="E876" t="s">
        <v>59</v>
      </c>
      <c r="F876">
        <v>3</v>
      </c>
      <c r="G876">
        <v>94</v>
      </c>
      <c r="H876" s="86">
        <v>45965.257206192102</v>
      </c>
      <c r="I876" s="86">
        <v>45965.3293974884</v>
      </c>
      <c r="J876" s="87">
        <v>1.7325911111111101</v>
      </c>
      <c r="K876" s="69" t="s">
        <v>274</v>
      </c>
      <c r="L876" s="69"/>
      <c r="M876" s="71"/>
      <c r="N876" s="71"/>
      <c r="O876" s="71"/>
      <c r="P876" s="71" t="s">
        <v>275</v>
      </c>
      <c r="Q876" s="88">
        <v>1.75903094243634E-2</v>
      </c>
      <c r="R876" s="89" t="s">
        <v>276</v>
      </c>
      <c r="S876" s="89"/>
      <c r="T876">
        <v>12.5</v>
      </c>
      <c r="U876" s="76">
        <v>0.2</v>
      </c>
      <c r="V876">
        <v>10.3</v>
      </c>
      <c r="W876" s="90">
        <v>0.1</v>
      </c>
      <c r="X876" s="90"/>
      <c r="Y876" s="71"/>
      <c r="Z876" s="71"/>
      <c r="AA876" s="71"/>
      <c r="AB876" s="71"/>
      <c r="AC876" s="71"/>
      <c r="AD876" s="71"/>
      <c r="AE876" s="71"/>
      <c r="AF876" s="71"/>
      <c r="AG876" s="82">
        <v>0.4</v>
      </c>
      <c r="AH876" s="76"/>
      <c r="AI876" s="76"/>
      <c r="AJ876" s="76"/>
      <c r="AK876" s="71">
        <v>0.15</v>
      </c>
      <c r="AL876" s="88">
        <v>3.36214217426926E-2</v>
      </c>
      <c r="AM876" s="89">
        <f t="shared" si="13"/>
        <v>0.22414281161795069</v>
      </c>
      <c r="AN876" s="78"/>
    </row>
    <row r="877" spans="1:40" x14ac:dyDescent="0.25">
      <c r="A877" t="s">
        <v>44</v>
      </c>
      <c r="B877" t="s">
        <v>45</v>
      </c>
      <c r="C877" s="121" t="s">
        <v>174</v>
      </c>
      <c r="D877" t="s">
        <v>193</v>
      </c>
      <c r="E877" t="s">
        <v>59</v>
      </c>
      <c r="F877">
        <v>3</v>
      </c>
      <c r="G877">
        <v>95</v>
      </c>
      <c r="H877" s="86">
        <v>45965.3293974884</v>
      </c>
      <c r="I877" s="86">
        <v>45965.4016035764</v>
      </c>
      <c r="J877" s="87">
        <v>1.73294611111111</v>
      </c>
      <c r="K877" s="69" t="s">
        <v>274</v>
      </c>
      <c r="L877" s="69"/>
      <c r="M877" s="71"/>
      <c r="N877" s="71"/>
      <c r="O877" s="71"/>
      <c r="P877" s="71" t="s">
        <v>275</v>
      </c>
      <c r="Q877" s="88">
        <v>2.4290275800157302E-2</v>
      </c>
      <c r="R877" s="89" t="s">
        <v>276</v>
      </c>
      <c r="S877" s="89"/>
      <c r="T877">
        <v>12.4</v>
      </c>
      <c r="U877" s="76">
        <v>0.2</v>
      </c>
      <c r="V877">
        <v>10.4</v>
      </c>
      <c r="W877" s="90">
        <v>0.1</v>
      </c>
      <c r="X877" s="90"/>
      <c r="Y877" s="71"/>
      <c r="Z877" s="71"/>
      <c r="AA877" s="71"/>
      <c r="AB877" s="71"/>
      <c r="AC877" s="71"/>
      <c r="AD877" s="71"/>
      <c r="AE877" s="71"/>
      <c r="AF877" s="71"/>
      <c r="AG877" s="82">
        <v>0</v>
      </c>
      <c r="AH877" s="76"/>
      <c r="AI877" s="76"/>
      <c r="AJ877" s="76"/>
      <c r="AK877" s="71">
        <v>0.15</v>
      </c>
      <c r="AL877" s="88">
        <v>3.36214217426926E-2</v>
      </c>
      <c r="AM877" s="89">
        <f t="shared" si="13"/>
        <v>0.22414281161795069</v>
      </c>
      <c r="AN877" s="78"/>
    </row>
    <row r="878" spans="1:40" x14ac:dyDescent="0.25">
      <c r="A878" t="s">
        <v>44</v>
      </c>
      <c r="B878" t="s">
        <v>45</v>
      </c>
      <c r="C878" s="121" t="s">
        <v>174</v>
      </c>
      <c r="D878" t="s">
        <v>193</v>
      </c>
      <c r="E878" t="s">
        <v>59</v>
      </c>
      <c r="F878">
        <v>3</v>
      </c>
      <c r="G878">
        <v>96</v>
      </c>
      <c r="H878" s="86">
        <v>45965.4016035764</v>
      </c>
      <c r="I878" s="86">
        <v>45965.473797129598</v>
      </c>
      <c r="J878" s="87">
        <v>1.7326452777777801</v>
      </c>
      <c r="K878" s="69" t="s">
        <v>274</v>
      </c>
      <c r="L878" s="69"/>
      <c r="M878" s="71"/>
      <c r="N878" s="71"/>
      <c r="O878" s="71"/>
      <c r="P878" s="71" t="s">
        <v>275</v>
      </c>
      <c r="Q878" s="88">
        <v>2.13684518820851E-2</v>
      </c>
      <c r="R878" s="89" t="s">
        <v>276</v>
      </c>
      <c r="S878" s="89"/>
      <c r="T878">
        <v>12.9</v>
      </c>
      <c r="U878" s="76">
        <v>0.2</v>
      </c>
      <c r="V878">
        <v>10.5</v>
      </c>
      <c r="W878" s="90">
        <v>0.1</v>
      </c>
      <c r="X878" s="90"/>
      <c r="Y878" s="71"/>
      <c r="Z878" s="71"/>
      <c r="AA878" s="71"/>
      <c r="AB878" s="71"/>
      <c r="AC878" s="71"/>
      <c r="AD878" s="71"/>
      <c r="AE878" s="71"/>
      <c r="AF878" s="71"/>
      <c r="AG878" s="82">
        <v>0</v>
      </c>
      <c r="AH878" s="76"/>
      <c r="AI878" s="76"/>
      <c r="AJ878" s="76"/>
      <c r="AK878" s="71">
        <v>0.15</v>
      </c>
      <c r="AL878" s="88">
        <v>3.36214217426926E-2</v>
      </c>
      <c r="AM878" s="89">
        <f t="shared" si="13"/>
        <v>0.22414281161795069</v>
      </c>
      <c r="AN878" s="78"/>
    </row>
    <row r="879" spans="1:40" x14ac:dyDescent="0.25">
      <c r="A879" t="s">
        <v>44</v>
      </c>
      <c r="B879" t="s">
        <v>45</v>
      </c>
      <c r="C879" s="121" t="s">
        <v>174</v>
      </c>
      <c r="D879" t="s">
        <v>193</v>
      </c>
      <c r="E879" t="s">
        <v>59</v>
      </c>
      <c r="F879">
        <v>3</v>
      </c>
      <c r="G879">
        <v>97</v>
      </c>
      <c r="H879" s="86">
        <v>45965.473797129598</v>
      </c>
      <c r="I879" s="86">
        <v>45965.545983414399</v>
      </c>
      <c r="J879" s="87">
        <v>1.7324708333333301</v>
      </c>
      <c r="K879" s="69" t="s">
        <v>274</v>
      </c>
      <c r="L879" s="69"/>
      <c r="M879" s="71"/>
      <c r="N879" s="71"/>
      <c r="O879" s="71"/>
      <c r="P879" s="71" t="s">
        <v>275</v>
      </c>
      <c r="Q879" s="88">
        <v>2.2161531939917701E-2</v>
      </c>
      <c r="R879" s="89" t="s">
        <v>276</v>
      </c>
      <c r="S879" s="89"/>
      <c r="T879">
        <v>12.8</v>
      </c>
      <c r="U879" s="76">
        <v>0.2</v>
      </c>
      <c r="V879">
        <v>10.6</v>
      </c>
      <c r="W879" s="90">
        <v>0.1</v>
      </c>
      <c r="X879" s="90"/>
      <c r="Y879" s="71"/>
      <c r="Z879" s="71"/>
      <c r="AA879" s="71"/>
      <c r="AB879" s="71"/>
      <c r="AC879" s="71"/>
      <c r="AD879" s="71"/>
      <c r="AE879" s="71"/>
      <c r="AF879" s="71"/>
      <c r="AG879" s="82">
        <v>0.2</v>
      </c>
      <c r="AH879" s="76"/>
      <c r="AI879" s="76"/>
      <c r="AJ879" s="76"/>
      <c r="AK879" s="71">
        <v>0.15</v>
      </c>
      <c r="AL879" s="88">
        <v>3.36214217426926E-2</v>
      </c>
      <c r="AM879" s="89">
        <f t="shared" si="13"/>
        <v>0.22414281161795069</v>
      </c>
      <c r="AN879" s="78"/>
    </row>
    <row r="880" spans="1:40" x14ac:dyDescent="0.25">
      <c r="A880" t="s">
        <v>44</v>
      </c>
      <c r="B880" t="s">
        <v>52</v>
      </c>
      <c r="C880" s="121" t="s">
        <v>174</v>
      </c>
      <c r="D880" t="s">
        <v>197</v>
      </c>
      <c r="E880" t="s">
        <v>63</v>
      </c>
      <c r="F880">
        <v>1</v>
      </c>
      <c r="G880">
        <v>1</v>
      </c>
      <c r="H880" s="86">
        <v>45966.4918227546</v>
      </c>
      <c r="I880" s="86">
        <v>45966.534686203697</v>
      </c>
      <c r="J880" s="87">
        <v>1.0287227777777801</v>
      </c>
      <c r="K880" s="69" t="s">
        <v>274</v>
      </c>
      <c r="L880" s="69"/>
      <c r="M880" s="71"/>
      <c r="N880" s="71"/>
      <c r="O880" s="71"/>
      <c r="P880" s="71" t="s">
        <v>275</v>
      </c>
      <c r="Q880" s="88">
        <v>1.63189678313838E-3</v>
      </c>
      <c r="R880" s="89" t="s">
        <v>276</v>
      </c>
      <c r="S880" s="89"/>
      <c r="T880">
        <v>12.8</v>
      </c>
      <c r="U880" s="76">
        <v>0.2</v>
      </c>
      <c r="V880">
        <v>10.8</v>
      </c>
      <c r="W880" s="90">
        <v>0.1</v>
      </c>
      <c r="X880" s="90"/>
      <c r="Y880" s="71"/>
      <c r="Z880" s="71"/>
      <c r="AA880" s="71"/>
      <c r="AB880" s="71"/>
      <c r="AC880" s="71"/>
      <c r="AD880" s="71"/>
      <c r="AE880" s="71"/>
      <c r="AF880" s="71"/>
      <c r="AG880" s="91">
        <v>0</v>
      </c>
      <c r="AH880" s="76"/>
      <c r="AI880" s="76"/>
      <c r="AJ880" s="76"/>
      <c r="AK880" s="71">
        <v>0.15</v>
      </c>
      <c r="AL880" s="88">
        <v>3.4571664698130999E-2</v>
      </c>
      <c r="AM880" s="89">
        <f t="shared" si="13"/>
        <v>0.23047776465420666</v>
      </c>
      <c r="AN880" s="78"/>
    </row>
    <row r="881" spans="1:40" x14ac:dyDescent="0.25">
      <c r="A881" t="s">
        <v>44</v>
      </c>
      <c r="B881" t="s">
        <v>52</v>
      </c>
      <c r="C881" s="121" t="s">
        <v>174</v>
      </c>
      <c r="D881" t="s">
        <v>197</v>
      </c>
      <c r="E881" t="s">
        <v>63</v>
      </c>
      <c r="F881">
        <v>1</v>
      </c>
      <c r="G881">
        <v>2</v>
      </c>
      <c r="H881" s="86">
        <v>45966.534686203697</v>
      </c>
      <c r="I881" s="86">
        <v>45966.645246354201</v>
      </c>
      <c r="J881" s="87">
        <v>2.6534436111111099</v>
      </c>
      <c r="K881" s="69" t="s">
        <v>274</v>
      </c>
      <c r="L881" s="69"/>
      <c r="M881" s="71"/>
      <c r="N881" s="71"/>
      <c r="O881" s="71"/>
      <c r="P881" s="71" t="s">
        <v>275</v>
      </c>
      <c r="Q881" s="88">
        <v>4.4319481465045002E-3</v>
      </c>
      <c r="R881" s="89" t="s">
        <v>276</v>
      </c>
      <c r="S881" s="89"/>
      <c r="T881">
        <v>13</v>
      </c>
      <c r="U881" s="76">
        <v>0.2</v>
      </c>
      <c r="V881">
        <v>10.9</v>
      </c>
      <c r="W881" s="90">
        <v>0.1</v>
      </c>
      <c r="X881" s="90"/>
      <c r="Y881" s="71"/>
      <c r="Z881" s="71"/>
      <c r="AA881" s="71"/>
      <c r="AB881" s="71"/>
      <c r="AC881" s="71"/>
      <c r="AD881" s="71"/>
      <c r="AE881" s="71"/>
      <c r="AF881" s="71"/>
      <c r="AG881" s="91">
        <v>0</v>
      </c>
      <c r="AH881" s="76"/>
      <c r="AI881" s="76"/>
      <c r="AJ881" s="76"/>
      <c r="AK881" s="71">
        <v>0.15</v>
      </c>
      <c r="AL881" s="88">
        <v>3.4571664698130999E-2</v>
      </c>
      <c r="AM881" s="89">
        <f t="shared" si="13"/>
        <v>0.23047776465420666</v>
      </c>
      <c r="AN881" s="78"/>
    </row>
    <row r="882" spans="1:40" x14ac:dyDescent="0.25">
      <c r="A882" t="s">
        <v>44</v>
      </c>
      <c r="B882" t="s">
        <v>52</v>
      </c>
      <c r="C882" s="121" t="s">
        <v>174</v>
      </c>
      <c r="D882" t="s">
        <v>197</v>
      </c>
      <c r="E882" t="s">
        <v>63</v>
      </c>
      <c r="F882">
        <v>1</v>
      </c>
      <c r="G882">
        <v>3</v>
      </c>
      <c r="H882" s="86">
        <v>45966.645246354201</v>
      </c>
      <c r="I882" s="86">
        <v>45966.750771076397</v>
      </c>
      <c r="J882" s="87">
        <v>2.5325933333333301</v>
      </c>
      <c r="K882" s="69" t="s">
        <v>274</v>
      </c>
      <c r="L882" s="69"/>
      <c r="M882" s="71"/>
      <c r="N882" s="71"/>
      <c r="O882" s="71"/>
      <c r="P882" s="71" t="s">
        <v>275</v>
      </c>
      <c r="Q882" s="88">
        <v>-5.03737285231445E-3</v>
      </c>
      <c r="R882" s="89" t="s">
        <v>276</v>
      </c>
      <c r="S882" s="89"/>
      <c r="T882">
        <v>12.8</v>
      </c>
      <c r="U882" s="76">
        <v>0.2</v>
      </c>
      <c r="V882">
        <v>11</v>
      </c>
      <c r="W882" s="90">
        <v>0.1</v>
      </c>
      <c r="X882" s="90"/>
      <c r="Y882" s="71"/>
      <c r="Z882" s="71"/>
      <c r="AA882" s="71"/>
      <c r="AB882" s="71"/>
      <c r="AC882" s="71"/>
      <c r="AD882" s="71"/>
      <c r="AE882" s="71"/>
      <c r="AF882" s="71"/>
      <c r="AG882" s="91">
        <v>0</v>
      </c>
      <c r="AH882" s="76"/>
      <c r="AI882" s="76"/>
      <c r="AJ882" s="76"/>
      <c r="AK882" s="71">
        <v>0.15</v>
      </c>
      <c r="AL882" s="88">
        <v>3.4571664698130999E-2</v>
      </c>
      <c r="AM882" s="89">
        <f t="shared" si="13"/>
        <v>0.23047776465420666</v>
      </c>
      <c r="AN882" s="78"/>
    </row>
    <row r="883" spans="1:40" x14ac:dyDescent="0.25">
      <c r="A883" t="s">
        <v>44</v>
      </c>
      <c r="B883" t="s">
        <v>52</v>
      </c>
      <c r="C883" s="121" t="s">
        <v>174</v>
      </c>
      <c r="D883" t="s">
        <v>197</v>
      </c>
      <c r="E883" t="s">
        <v>63</v>
      </c>
      <c r="F883">
        <v>1</v>
      </c>
      <c r="G883">
        <v>4</v>
      </c>
      <c r="H883" s="86">
        <v>45966.750771076397</v>
      </c>
      <c r="I883" s="86">
        <v>45966.856293391204</v>
      </c>
      <c r="J883" s="87">
        <v>2.53253555555556</v>
      </c>
      <c r="K883" s="69" t="s">
        <v>274</v>
      </c>
      <c r="L883" s="69"/>
      <c r="M883" s="71"/>
      <c r="N883" s="71"/>
      <c r="O883" s="71"/>
      <c r="P883" s="71" t="s">
        <v>275</v>
      </c>
      <c r="Q883" s="88">
        <v>-2.1975737294170601E-3</v>
      </c>
      <c r="R883" s="89" t="s">
        <v>276</v>
      </c>
      <c r="S883" s="89"/>
      <c r="T883">
        <v>10.6</v>
      </c>
      <c r="U883" s="76">
        <v>0.2</v>
      </c>
      <c r="V883">
        <v>11.1</v>
      </c>
      <c r="W883" s="90">
        <v>0.1</v>
      </c>
      <c r="X883" s="90"/>
      <c r="Y883" s="71"/>
      <c r="Z883" s="71"/>
      <c r="AA883" s="71"/>
      <c r="AB883" s="71"/>
      <c r="AC883" s="71"/>
      <c r="AD883" s="71"/>
      <c r="AE883" s="71"/>
      <c r="AF883" s="71"/>
      <c r="AG883" s="91">
        <v>0</v>
      </c>
      <c r="AH883" s="76"/>
      <c r="AI883" s="76"/>
      <c r="AJ883" s="76"/>
      <c r="AK883" s="71">
        <v>0.15</v>
      </c>
      <c r="AL883" s="88">
        <v>3.4571664698130999E-2</v>
      </c>
      <c r="AM883" s="89">
        <f t="shared" si="13"/>
        <v>0.23047776465420666</v>
      </c>
      <c r="AN883" s="78"/>
    </row>
    <row r="884" spans="1:40" x14ac:dyDescent="0.25">
      <c r="A884" t="s">
        <v>44</v>
      </c>
      <c r="B884" t="s">
        <v>52</v>
      </c>
      <c r="C884" s="121" t="s">
        <v>174</v>
      </c>
      <c r="D884" t="s">
        <v>197</v>
      </c>
      <c r="E884" t="s">
        <v>63</v>
      </c>
      <c r="F884">
        <v>1</v>
      </c>
      <c r="G884">
        <v>5</v>
      </c>
      <c r="H884" s="86">
        <v>45966.856293391204</v>
      </c>
      <c r="I884" s="86">
        <v>45966.961826446801</v>
      </c>
      <c r="J884" s="87">
        <v>2.5327933333333301</v>
      </c>
      <c r="K884" s="69" t="s">
        <v>274</v>
      </c>
      <c r="L884" s="69"/>
      <c r="M884" s="71"/>
      <c r="N884" s="71"/>
      <c r="O884" s="71"/>
      <c r="P884" s="71" t="s">
        <v>275</v>
      </c>
      <c r="Q884" s="88">
        <v>-2.1317169566006499E-3</v>
      </c>
      <c r="R884" s="89" t="s">
        <v>276</v>
      </c>
      <c r="S884" s="89"/>
      <c r="T884">
        <v>10.7</v>
      </c>
      <c r="U884" s="76">
        <v>0.2</v>
      </c>
      <c r="V884">
        <v>11</v>
      </c>
      <c r="W884" s="90">
        <v>0.1</v>
      </c>
      <c r="X884" s="90"/>
      <c r="Y884" s="71"/>
      <c r="Z884" s="71"/>
      <c r="AA884" s="71"/>
      <c r="AB884" s="71"/>
      <c r="AC884" s="71"/>
      <c r="AD884" s="71"/>
      <c r="AE884" s="71"/>
      <c r="AF884" s="71"/>
      <c r="AG884" s="91">
        <v>0</v>
      </c>
      <c r="AH884" s="76"/>
      <c r="AI884" s="76"/>
      <c r="AJ884" s="76"/>
      <c r="AK884" s="71">
        <v>0.15</v>
      </c>
      <c r="AL884" s="88">
        <v>3.4571664698130999E-2</v>
      </c>
      <c r="AM884" s="89">
        <f t="shared" si="13"/>
        <v>0.23047776465420666</v>
      </c>
      <c r="AN884" s="78"/>
    </row>
    <row r="885" spans="1:40" x14ac:dyDescent="0.25">
      <c r="A885" t="s">
        <v>44</v>
      </c>
      <c r="B885" t="s">
        <v>52</v>
      </c>
      <c r="C885" s="121" t="s">
        <v>174</v>
      </c>
      <c r="D885" t="s">
        <v>197</v>
      </c>
      <c r="E885" t="s">
        <v>63</v>
      </c>
      <c r="F885">
        <v>1</v>
      </c>
      <c r="G885">
        <v>6</v>
      </c>
      <c r="H885" s="86">
        <v>45966.961826446801</v>
      </c>
      <c r="I885" s="86">
        <v>45967.067359155102</v>
      </c>
      <c r="J885" s="87">
        <v>2.5327850000000001</v>
      </c>
      <c r="K885" s="69" t="s">
        <v>274</v>
      </c>
      <c r="L885" s="69"/>
      <c r="M885" s="71"/>
      <c r="N885" s="71"/>
      <c r="O885" s="71"/>
      <c r="P885" s="71" t="s">
        <v>275</v>
      </c>
      <c r="Q885" s="88">
        <v>-2.1147532379530102E-3</v>
      </c>
      <c r="R885" s="89" t="s">
        <v>276</v>
      </c>
      <c r="S885" s="89"/>
      <c r="T885">
        <v>10.7</v>
      </c>
      <c r="U885" s="76">
        <v>0.2</v>
      </c>
      <c r="V885">
        <v>11</v>
      </c>
      <c r="W885" s="90">
        <v>0.1</v>
      </c>
      <c r="X885" s="90"/>
      <c r="Y885" s="71"/>
      <c r="Z885" s="71"/>
      <c r="AA885" s="71"/>
      <c r="AB885" s="71"/>
      <c r="AC885" s="71"/>
      <c r="AD885" s="71"/>
      <c r="AE885" s="71"/>
      <c r="AF885" s="71"/>
      <c r="AG885" s="91">
        <v>0</v>
      </c>
      <c r="AH885" s="76"/>
      <c r="AI885" s="76"/>
      <c r="AJ885" s="76"/>
      <c r="AK885" s="71">
        <v>0.15</v>
      </c>
      <c r="AL885" s="88">
        <v>3.4571664698130999E-2</v>
      </c>
      <c r="AM885" s="89">
        <f t="shared" si="13"/>
        <v>0.23047776465420666</v>
      </c>
      <c r="AN885" s="78"/>
    </row>
    <row r="886" spans="1:40" x14ac:dyDescent="0.25">
      <c r="A886" t="s">
        <v>44</v>
      </c>
      <c r="B886" t="s">
        <v>52</v>
      </c>
      <c r="C886" s="121" t="s">
        <v>174</v>
      </c>
      <c r="D886" t="s">
        <v>197</v>
      </c>
      <c r="E886" t="s">
        <v>63</v>
      </c>
      <c r="F886">
        <v>1</v>
      </c>
      <c r="G886">
        <v>7</v>
      </c>
      <c r="H886" s="86">
        <v>45967.067359155102</v>
      </c>
      <c r="I886" s="86">
        <v>45967.172885821798</v>
      </c>
      <c r="J886" s="87">
        <v>2.5326399999999998</v>
      </c>
      <c r="K886" s="69" t="s">
        <v>274</v>
      </c>
      <c r="L886" s="69"/>
      <c r="M886" s="71"/>
      <c r="N886" s="71"/>
      <c r="O886" s="71"/>
      <c r="P886" s="71" t="s">
        <v>275</v>
      </c>
      <c r="Q886" s="88">
        <v>-1.86823083521666E-3</v>
      </c>
      <c r="R886" s="89" t="s">
        <v>276</v>
      </c>
      <c r="S886" s="89"/>
      <c r="T886">
        <v>10.4</v>
      </c>
      <c r="U886" s="76">
        <v>0.2</v>
      </c>
      <c r="V886">
        <v>11</v>
      </c>
      <c r="W886" s="90">
        <v>0.1</v>
      </c>
      <c r="X886" s="90"/>
      <c r="Y886" s="71"/>
      <c r="Z886" s="71"/>
      <c r="AA886" s="71"/>
      <c r="AB886" s="71"/>
      <c r="AC886" s="71"/>
      <c r="AD886" s="71"/>
      <c r="AE886" s="71"/>
      <c r="AF886" s="71"/>
      <c r="AG886" s="91">
        <v>0</v>
      </c>
      <c r="AH886" s="76"/>
      <c r="AI886" s="76"/>
      <c r="AJ886" s="76"/>
      <c r="AK886" s="71">
        <v>0.15</v>
      </c>
      <c r="AL886" s="88">
        <v>3.4571664698130999E-2</v>
      </c>
      <c r="AM886" s="89">
        <f t="shared" si="13"/>
        <v>0.23047776465420666</v>
      </c>
      <c r="AN886" s="78"/>
    </row>
    <row r="887" spans="1:40" x14ac:dyDescent="0.25">
      <c r="A887" t="s">
        <v>44</v>
      </c>
      <c r="B887" t="s">
        <v>52</v>
      </c>
      <c r="C887" s="121" t="s">
        <v>174</v>
      </c>
      <c r="D887" t="s">
        <v>197</v>
      </c>
      <c r="E887" t="s">
        <v>63</v>
      </c>
      <c r="F887">
        <v>1</v>
      </c>
      <c r="G887">
        <v>8</v>
      </c>
      <c r="H887" s="86">
        <v>45967.172885821798</v>
      </c>
      <c r="I887" s="86">
        <v>45967.278398275499</v>
      </c>
      <c r="J887" s="87">
        <v>2.53229888888889</v>
      </c>
      <c r="K887" s="69" t="s">
        <v>274</v>
      </c>
      <c r="L887" s="69"/>
      <c r="M887" s="71"/>
      <c r="N887" s="71"/>
      <c r="O887" s="71"/>
      <c r="P887" s="71" t="s">
        <v>275</v>
      </c>
      <c r="Q887" s="88">
        <v>-2.24160633702793E-3</v>
      </c>
      <c r="R887" s="89" t="s">
        <v>276</v>
      </c>
      <c r="S887" s="89"/>
      <c r="T887">
        <v>10.5</v>
      </c>
      <c r="U887" s="76">
        <v>0.2</v>
      </c>
      <c r="V887">
        <v>10.9</v>
      </c>
      <c r="W887" s="90">
        <v>0.1</v>
      </c>
      <c r="X887" s="90"/>
      <c r="Y887" s="71"/>
      <c r="Z887" s="71"/>
      <c r="AA887" s="71"/>
      <c r="AB887" s="71"/>
      <c r="AC887" s="71"/>
      <c r="AD887" s="71"/>
      <c r="AE887" s="71"/>
      <c r="AF887" s="71"/>
      <c r="AG887" s="91">
        <v>0</v>
      </c>
      <c r="AH887" s="76"/>
      <c r="AI887" s="76"/>
      <c r="AJ887" s="76"/>
      <c r="AK887" s="71">
        <v>0.15</v>
      </c>
      <c r="AL887" s="88">
        <v>3.4571664698130999E-2</v>
      </c>
      <c r="AM887" s="89">
        <f t="shared" si="13"/>
        <v>0.23047776465420666</v>
      </c>
      <c r="AN887" s="78"/>
    </row>
    <row r="888" spans="1:40" x14ac:dyDescent="0.25">
      <c r="A888" t="s">
        <v>44</v>
      </c>
      <c r="B888" t="s">
        <v>52</v>
      </c>
      <c r="C888" s="121" t="s">
        <v>174</v>
      </c>
      <c r="D888" t="s">
        <v>197</v>
      </c>
      <c r="E888" t="s">
        <v>63</v>
      </c>
      <c r="F888">
        <v>1</v>
      </c>
      <c r="G888">
        <v>9</v>
      </c>
      <c r="H888" s="86">
        <v>45967.278398275499</v>
      </c>
      <c r="I888" s="86">
        <v>45967.383936666702</v>
      </c>
      <c r="J888" s="87">
        <v>2.53292138888889</v>
      </c>
      <c r="K888" s="69" t="s">
        <v>274</v>
      </c>
      <c r="L888" s="69"/>
      <c r="M888" s="71"/>
      <c r="N888" s="71"/>
      <c r="O888" s="71"/>
      <c r="P888" s="71" t="s">
        <v>275</v>
      </c>
      <c r="Q888" s="88">
        <v>-2.04381433104093E-3</v>
      </c>
      <c r="R888" s="89" t="s">
        <v>276</v>
      </c>
      <c r="S888" s="89"/>
      <c r="T888">
        <v>9.5</v>
      </c>
      <c r="U888" s="76">
        <v>0.2</v>
      </c>
      <c r="V888">
        <v>10.9</v>
      </c>
      <c r="W888" s="90">
        <v>0.1</v>
      </c>
      <c r="X888" s="90"/>
      <c r="Y888" s="71"/>
      <c r="Z888" s="71"/>
      <c r="AA888" s="71"/>
      <c r="AB888" s="71"/>
      <c r="AC888" s="71"/>
      <c r="AD888" s="71"/>
      <c r="AE888" s="71"/>
      <c r="AF888" s="71"/>
      <c r="AG888" s="91">
        <v>0</v>
      </c>
      <c r="AH888" s="76"/>
      <c r="AI888" s="76"/>
      <c r="AJ888" s="76"/>
      <c r="AK888" s="71">
        <v>0.15</v>
      </c>
      <c r="AL888" s="88">
        <v>3.4571664698130999E-2</v>
      </c>
      <c r="AM888" s="89">
        <f t="shared" si="13"/>
        <v>0.23047776465420666</v>
      </c>
      <c r="AN888" s="78"/>
    </row>
    <row r="889" spans="1:40" x14ac:dyDescent="0.25">
      <c r="A889" t="s">
        <v>44</v>
      </c>
      <c r="B889" t="s">
        <v>52</v>
      </c>
      <c r="C889" s="121" t="s">
        <v>174</v>
      </c>
      <c r="D889" t="s">
        <v>197</v>
      </c>
      <c r="E889" t="s">
        <v>63</v>
      </c>
      <c r="F889">
        <v>1</v>
      </c>
      <c r="G889">
        <v>10</v>
      </c>
      <c r="H889" s="86">
        <v>45967.383936666702</v>
      </c>
      <c r="I889" s="86">
        <v>45967.4894605093</v>
      </c>
      <c r="J889" s="87">
        <v>2.5325722222222198</v>
      </c>
      <c r="K889" s="69" t="s">
        <v>274</v>
      </c>
      <c r="L889" s="69"/>
      <c r="M889" s="71"/>
      <c r="N889" s="71"/>
      <c r="O889" s="71"/>
      <c r="P889" s="71" t="s">
        <v>275</v>
      </c>
      <c r="Q889" s="88">
        <v>-2.7775151683335502E-3</v>
      </c>
      <c r="R889" s="89" t="s">
        <v>276</v>
      </c>
      <c r="S889" s="89"/>
      <c r="T889">
        <v>11.6</v>
      </c>
      <c r="U889" s="76">
        <v>0.2</v>
      </c>
      <c r="V889">
        <v>10.8</v>
      </c>
      <c r="W889" s="90">
        <v>0.1</v>
      </c>
      <c r="X889" s="90"/>
      <c r="Y889" s="71"/>
      <c r="Z889" s="71"/>
      <c r="AA889" s="71"/>
      <c r="AB889" s="71"/>
      <c r="AC889" s="71"/>
      <c r="AD889" s="71"/>
      <c r="AE889" s="71"/>
      <c r="AF889" s="71"/>
      <c r="AG889" s="91">
        <v>0</v>
      </c>
      <c r="AH889" s="76"/>
      <c r="AI889" s="76"/>
      <c r="AJ889" s="76"/>
      <c r="AK889" s="71">
        <v>0.15</v>
      </c>
      <c r="AL889" s="88">
        <v>3.4571664698130999E-2</v>
      </c>
      <c r="AM889" s="89">
        <f t="shared" si="13"/>
        <v>0.23047776465420666</v>
      </c>
      <c r="AN889" s="78"/>
    </row>
    <row r="890" spans="1:40" x14ac:dyDescent="0.25">
      <c r="A890" t="s">
        <v>44</v>
      </c>
      <c r="B890" t="s">
        <v>52</v>
      </c>
      <c r="C890" s="121" t="s">
        <v>174</v>
      </c>
      <c r="D890" t="s">
        <v>197</v>
      </c>
      <c r="E890" t="s">
        <v>63</v>
      </c>
      <c r="F890">
        <v>1</v>
      </c>
      <c r="G890">
        <v>11</v>
      </c>
      <c r="H890" s="86">
        <v>45967.4894605093</v>
      </c>
      <c r="I890" s="86">
        <v>45967.594984236101</v>
      </c>
      <c r="J890" s="87">
        <v>2.53256944444444</v>
      </c>
      <c r="K890" s="69" t="s">
        <v>274</v>
      </c>
      <c r="L890" s="69"/>
      <c r="M890" s="71"/>
      <c r="N890" s="71"/>
      <c r="O890" s="71"/>
      <c r="P890" s="71" t="s">
        <v>275</v>
      </c>
      <c r="Q890" s="88">
        <v>-5.9510120076846197E-3</v>
      </c>
      <c r="R890" s="89" t="s">
        <v>276</v>
      </c>
      <c r="S890" s="89"/>
      <c r="T890">
        <v>14.4</v>
      </c>
      <c r="U890" s="76">
        <v>0.2</v>
      </c>
      <c r="V890">
        <v>10.9</v>
      </c>
      <c r="W890" s="90">
        <v>0.1</v>
      </c>
      <c r="X890" s="90"/>
      <c r="Y890" s="71"/>
      <c r="Z890" s="71"/>
      <c r="AA890" s="71"/>
      <c r="AB890" s="71"/>
      <c r="AC890" s="71"/>
      <c r="AD890" s="71"/>
      <c r="AE890" s="71"/>
      <c r="AF890" s="71"/>
      <c r="AG890" s="91">
        <v>0</v>
      </c>
      <c r="AH890" s="76"/>
      <c r="AI890" s="76"/>
      <c r="AJ890" s="76"/>
      <c r="AK890" s="71">
        <v>0.15</v>
      </c>
      <c r="AL890" s="88">
        <v>3.4571664698130999E-2</v>
      </c>
      <c r="AM890" s="89">
        <f t="shared" si="13"/>
        <v>0.23047776465420666</v>
      </c>
      <c r="AN890" s="78"/>
    </row>
    <row r="891" spans="1:40" x14ac:dyDescent="0.25">
      <c r="A891" t="s">
        <v>44</v>
      </c>
      <c r="B891" t="s">
        <v>52</v>
      </c>
      <c r="C891" s="121" t="s">
        <v>174</v>
      </c>
      <c r="D891" t="s">
        <v>197</v>
      </c>
      <c r="E891" t="s">
        <v>63</v>
      </c>
      <c r="F891">
        <v>1</v>
      </c>
      <c r="G891">
        <v>12</v>
      </c>
      <c r="H891" s="86">
        <v>45967.594984236101</v>
      </c>
      <c r="I891" s="86">
        <v>45967.700506400499</v>
      </c>
      <c r="J891" s="87">
        <v>2.5325319444444498</v>
      </c>
      <c r="K891" s="69" t="s">
        <v>274</v>
      </c>
      <c r="L891" s="69"/>
      <c r="M891" s="71"/>
      <c r="N891" s="71"/>
      <c r="O891" s="71"/>
      <c r="P891" s="71" t="s">
        <v>275</v>
      </c>
      <c r="Q891" s="88">
        <v>-6.8616978557651297E-3</v>
      </c>
      <c r="R891" s="89" t="s">
        <v>276</v>
      </c>
      <c r="S891" s="89"/>
      <c r="T891">
        <v>15.6</v>
      </c>
      <c r="U891" s="76">
        <v>0.2</v>
      </c>
      <c r="V891">
        <v>11.1</v>
      </c>
      <c r="W891" s="90">
        <v>0.1</v>
      </c>
      <c r="X891" s="90"/>
      <c r="Y891" s="71"/>
      <c r="Z891" s="71"/>
      <c r="AA891" s="71"/>
      <c r="AB891" s="71"/>
      <c r="AC891" s="71"/>
      <c r="AD891" s="71"/>
      <c r="AE891" s="71"/>
      <c r="AF891" s="71"/>
      <c r="AG891" s="91">
        <v>0</v>
      </c>
      <c r="AH891" s="76"/>
      <c r="AI891" s="76"/>
      <c r="AJ891" s="76"/>
      <c r="AK891" s="71">
        <v>0.15</v>
      </c>
      <c r="AL891" s="88">
        <v>3.4571664698130999E-2</v>
      </c>
      <c r="AM891" s="89">
        <f t="shared" si="13"/>
        <v>0.23047776465420666</v>
      </c>
      <c r="AN891" s="78"/>
    </row>
    <row r="892" spans="1:40" x14ac:dyDescent="0.25">
      <c r="A892" t="s">
        <v>44</v>
      </c>
      <c r="B892" t="s">
        <v>52</v>
      </c>
      <c r="C892" s="121" t="s">
        <v>174</v>
      </c>
      <c r="D892" t="s">
        <v>197</v>
      </c>
      <c r="E892" t="s">
        <v>63</v>
      </c>
      <c r="F892">
        <v>1</v>
      </c>
      <c r="G892">
        <v>13</v>
      </c>
      <c r="H892" s="86">
        <v>45967.700506400499</v>
      </c>
      <c r="I892" s="86">
        <v>45967.806029143503</v>
      </c>
      <c r="J892" s="87">
        <v>2.5325458333333302</v>
      </c>
      <c r="K892" s="69" t="s">
        <v>274</v>
      </c>
      <c r="L892" s="69"/>
      <c r="M892" s="71"/>
      <c r="N892" s="71"/>
      <c r="O892" s="71"/>
      <c r="P892" s="71" t="s">
        <v>275</v>
      </c>
      <c r="Q892" s="88">
        <v>-2.3995634696204302E-3</v>
      </c>
      <c r="R892" s="89" t="s">
        <v>276</v>
      </c>
      <c r="S892" s="89"/>
      <c r="T892">
        <v>9.8000000000000007</v>
      </c>
      <c r="U892" s="76">
        <v>0.2</v>
      </c>
      <c r="V892">
        <v>11.2</v>
      </c>
      <c r="W892" s="90">
        <v>0.1</v>
      </c>
      <c r="X892" s="90"/>
      <c r="Y892" s="71"/>
      <c r="Z892" s="71"/>
      <c r="AA892" s="71"/>
      <c r="AB892" s="71"/>
      <c r="AC892" s="71"/>
      <c r="AD892" s="71"/>
      <c r="AE892" s="71"/>
      <c r="AF892" s="71"/>
      <c r="AG892" s="91">
        <v>0</v>
      </c>
      <c r="AH892" s="76"/>
      <c r="AI892" s="76"/>
      <c r="AJ892" s="76"/>
      <c r="AK892" s="71">
        <v>0.15</v>
      </c>
      <c r="AL892" s="88">
        <v>3.4571664698130999E-2</v>
      </c>
      <c r="AM892" s="89">
        <f t="shared" si="13"/>
        <v>0.23047776465420666</v>
      </c>
      <c r="AN892" s="78"/>
    </row>
    <row r="893" spans="1:40" x14ac:dyDescent="0.25">
      <c r="A893" t="s">
        <v>44</v>
      </c>
      <c r="B893" t="s">
        <v>52</v>
      </c>
      <c r="C893" s="121" t="s">
        <v>174</v>
      </c>
      <c r="D893" t="s">
        <v>197</v>
      </c>
      <c r="E893" t="s">
        <v>63</v>
      </c>
      <c r="F893">
        <v>1</v>
      </c>
      <c r="G893">
        <v>14</v>
      </c>
      <c r="H893" s="86">
        <v>45967.806029143503</v>
      </c>
      <c r="I893" s="86">
        <v>45967.911560451401</v>
      </c>
      <c r="J893" s="87">
        <v>2.5327513888888902</v>
      </c>
      <c r="K893" s="69" t="s">
        <v>274</v>
      </c>
      <c r="L893" s="69"/>
      <c r="M893" s="71"/>
      <c r="N893" s="71"/>
      <c r="O893" s="71"/>
      <c r="P893" s="71" t="s">
        <v>275</v>
      </c>
      <c r="Q893" s="88">
        <v>-2.50287920139947E-3</v>
      </c>
      <c r="R893" s="89" t="s">
        <v>276</v>
      </c>
      <c r="S893" s="89"/>
      <c r="T893">
        <v>7</v>
      </c>
      <c r="U893" s="76">
        <v>0.2</v>
      </c>
      <c r="V893">
        <v>11.1</v>
      </c>
      <c r="W893" s="90">
        <v>0.1</v>
      </c>
      <c r="X893" s="90"/>
      <c r="Y893" s="71"/>
      <c r="Z893" s="71"/>
      <c r="AA893" s="71"/>
      <c r="AB893" s="71"/>
      <c r="AC893" s="71"/>
      <c r="AD893" s="71"/>
      <c r="AE893" s="71"/>
      <c r="AF893" s="71"/>
      <c r="AG893" s="91">
        <v>0</v>
      </c>
      <c r="AH893" s="76"/>
      <c r="AI893" s="76"/>
      <c r="AJ893" s="76"/>
      <c r="AK893" s="71">
        <v>0.15</v>
      </c>
      <c r="AL893" s="88">
        <v>3.4571664698130999E-2</v>
      </c>
      <c r="AM893" s="89">
        <f t="shared" si="13"/>
        <v>0.23047776465420666</v>
      </c>
      <c r="AN893" s="78"/>
    </row>
    <row r="894" spans="1:40" x14ac:dyDescent="0.25">
      <c r="A894" t="s">
        <v>44</v>
      </c>
      <c r="B894" t="s">
        <v>52</v>
      </c>
      <c r="C894" s="121" t="s">
        <v>174</v>
      </c>
      <c r="D894" t="s">
        <v>197</v>
      </c>
      <c r="E894" t="s">
        <v>63</v>
      </c>
      <c r="F894">
        <v>1</v>
      </c>
      <c r="G894">
        <v>15</v>
      </c>
      <c r="H894" s="86">
        <v>45967.911560451401</v>
      </c>
      <c r="I894" s="86">
        <v>45968.0170674537</v>
      </c>
      <c r="J894" s="87">
        <v>2.5321680555555601</v>
      </c>
      <c r="K894" s="69" t="s">
        <v>274</v>
      </c>
      <c r="L894" s="69"/>
      <c r="M894" s="71"/>
      <c r="N894" s="71"/>
      <c r="O894" s="71"/>
      <c r="P894" s="71" t="s">
        <v>275</v>
      </c>
      <c r="Q894" s="88">
        <v>-1.7415816813539701E-3</v>
      </c>
      <c r="R894" s="89" t="s">
        <v>276</v>
      </c>
      <c r="S894" s="89"/>
      <c r="T894">
        <v>7.4</v>
      </c>
      <c r="U894" s="76">
        <v>0.2</v>
      </c>
      <c r="V894">
        <v>10.8</v>
      </c>
      <c r="W894" s="90">
        <v>0.1</v>
      </c>
      <c r="X894" s="90"/>
      <c r="Y894" s="71"/>
      <c r="Z894" s="71"/>
      <c r="AA894" s="71"/>
      <c r="AB894" s="71"/>
      <c r="AC894" s="71"/>
      <c r="AD894" s="71"/>
      <c r="AE894" s="71"/>
      <c r="AF894" s="71"/>
      <c r="AG894" s="91">
        <v>0</v>
      </c>
      <c r="AH894" s="76"/>
      <c r="AI894" s="76"/>
      <c r="AJ894" s="76"/>
      <c r="AK894" s="71">
        <v>0.15</v>
      </c>
      <c r="AL894" s="88">
        <v>3.4571664698130999E-2</v>
      </c>
      <c r="AM894" s="89">
        <f t="shared" si="13"/>
        <v>0.23047776465420666</v>
      </c>
      <c r="AN894" s="78"/>
    </row>
    <row r="895" spans="1:40" x14ac:dyDescent="0.25">
      <c r="A895" t="s">
        <v>44</v>
      </c>
      <c r="B895" t="s">
        <v>52</v>
      </c>
      <c r="C895" s="121" t="s">
        <v>174</v>
      </c>
      <c r="D895" t="s">
        <v>197</v>
      </c>
      <c r="E895" t="s">
        <v>63</v>
      </c>
      <c r="F895">
        <v>1</v>
      </c>
      <c r="G895">
        <v>16</v>
      </c>
      <c r="H895" s="86">
        <v>45968.0170674537</v>
      </c>
      <c r="I895" s="86">
        <v>45968.122609768499</v>
      </c>
      <c r="J895" s="87">
        <v>2.53301555555556</v>
      </c>
      <c r="K895" s="69" t="s">
        <v>274</v>
      </c>
      <c r="L895" s="69"/>
      <c r="M895" s="71"/>
      <c r="N895" s="71"/>
      <c r="O895" s="71"/>
      <c r="P895" s="71" t="s">
        <v>275</v>
      </c>
      <c r="Q895" s="88">
        <v>-1.4553006637891999E-3</v>
      </c>
      <c r="R895" s="89" t="s">
        <v>276</v>
      </c>
      <c r="S895" s="89"/>
      <c r="T895">
        <v>6.8</v>
      </c>
      <c r="U895" s="76">
        <v>0.2</v>
      </c>
      <c r="V895">
        <v>10.6</v>
      </c>
      <c r="W895" s="90">
        <v>0.1</v>
      </c>
      <c r="X895" s="90"/>
      <c r="Y895" s="71"/>
      <c r="Z895" s="71"/>
      <c r="AA895" s="71"/>
      <c r="AB895" s="71"/>
      <c r="AC895" s="71"/>
      <c r="AD895" s="71"/>
      <c r="AE895" s="71"/>
      <c r="AF895" s="71"/>
      <c r="AG895" s="91">
        <v>0</v>
      </c>
      <c r="AH895" s="76"/>
      <c r="AI895" s="76"/>
      <c r="AJ895" s="76"/>
      <c r="AK895" s="71">
        <v>0.15</v>
      </c>
      <c r="AL895" s="88">
        <v>3.4571664698130999E-2</v>
      </c>
      <c r="AM895" s="89">
        <f t="shared" si="13"/>
        <v>0.23047776465420666</v>
      </c>
      <c r="AN895" s="78"/>
    </row>
    <row r="896" spans="1:40" x14ac:dyDescent="0.25">
      <c r="A896" t="s">
        <v>44</v>
      </c>
      <c r="B896" t="s">
        <v>52</v>
      </c>
      <c r="C896" s="121" t="s">
        <v>174</v>
      </c>
      <c r="D896" t="s">
        <v>197</v>
      </c>
      <c r="E896" t="s">
        <v>63</v>
      </c>
      <c r="F896">
        <v>1</v>
      </c>
      <c r="G896">
        <v>17</v>
      </c>
      <c r="H896" s="86">
        <v>45968.122609768499</v>
      </c>
      <c r="I896" s="86">
        <v>45968.228127083297</v>
      </c>
      <c r="J896" s="87">
        <v>2.5324155555555601</v>
      </c>
      <c r="K896" s="69" t="s">
        <v>274</v>
      </c>
      <c r="L896" s="69"/>
      <c r="M896" s="71"/>
      <c r="N896" s="71"/>
      <c r="O896" s="71"/>
      <c r="P896" s="71" t="s">
        <v>275</v>
      </c>
      <c r="Q896" s="88">
        <v>-1.8233541800069799E-3</v>
      </c>
      <c r="R896" s="89" t="s">
        <v>276</v>
      </c>
      <c r="S896" s="89"/>
      <c r="T896">
        <v>4.4000000000000004</v>
      </c>
      <c r="U896" s="76">
        <v>0.2</v>
      </c>
      <c r="V896">
        <v>10.4</v>
      </c>
      <c r="W896" s="90">
        <v>0.1</v>
      </c>
      <c r="X896" s="90"/>
      <c r="Y896" s="71"/>
      <c r="Z896" s="71"/>
      <c r="AA896" s="71"/>
      <c r="AB896" s="71"/>
      <c r="AC896" s="71"/>
      <c r="AD896" s="71"/>
      <c r="AE896" s="71"/>
      <c r="AF896" s="71"/>
      <c r="AG896" s="91">
        <v>0</v>
      </c>
      <c r="AH896" s="76"/>
      <c r="AI896" s="76"/>
      <c r="AJ896" s="76"/>
      <c r="AK896" s="71">
        <v>0.15</v>
      </c>
      <c r="AL896" s="88">
        <v>3.4571664698130999E-2</v>
      </c>
      <c r="AM896" s="89">
        <f t="shared" si="13"/>
        <v>0.23047776465420666</v>
      </c>
      <c r="AN896" s="78"/>
    </row>
    <row r="897" spans="1:40" x14ac:dyDescent="0.25">
      <c r="A897" t="s">
        <v>44</v>
      </c>
      <c r="B897" t="s">
        <v>52</v>
      </c>
      <c r="C897" s="121" t="s">
        <v>174</v>
      </c>
      <c r="D897" t="s">
        <v>197</v>
      </c>
      <c r="E897" t="s">
        <v>63</v>
      </c>
      <c r="F897">
        <v>1</v>
      </c>
      <c r="G897">
        <v>18</v>
      </c>
      <c r="H897" s="86">
        <v>45968.228127083297</v>
      </c>
      <c r="I897" s="86">
        <v>45968.333647314801</v>
      </c>
      <c r="J897" s="87">
        <v>2.5324855555555601</v>
      </c>
      <c r="K897" s="69" t="s">
        <v>274</v>
      </c>
      <c r="L897" s="69"/>
      <c r="M897" s="71"/>
      <c r="N897" s="71"/>
      <c r="O897" s="71"/>
      <c r="P897" s="71" t="s">
        <v>275</v>
      </c>
      <c r="Q897" s="88">
        <v>-1.2316684071949E-3</v>
      </c>
      <c r="R897" s="89" t="s">
        <v>276</v>
      </c>
      <c r="S897" s="89"/>
      <c r="T897">
        <v>5.0999999999999996</v>
      </c>
      <c r="U897" s="76">
        <v>0.2</v>
      </c>
      <c r="V897">
        <v>10.1</v>
      </c>
      <c r="W897" s="90">
        <v>0.1</v>
      </c>
      <c r="X897" s="90"/>
      <c r="Y897" s="71"/>
      <c r="Z897" s="71"/>
      <c r="AA897" s="71"/>
      <c r="AB897" s="71"/>
      <c r="AC897" s="71"/>
      <c r="AD897" s="71"/>
      <c r="AE897" s="71"/>
      <c r="AF897" s="71"/>
      <c r="AG897" s="91">
        <v>0</v>
      </c>
      <c r="AH897" s="76"/>
      <c r="AI897" s="76"/>
      <c r="AJ897" s="76"/>
      <c r="AK897" s="71">
        <v>0.15</v>
      </c>
      <c r="AL897" s="88">
        <v>3.4571664698130999E-2</v>
      </c>
      <c r="AM897" s="89">
        <f t="shared" si="13"/>
        <v>0.23047776465420666</v>
      </c>
      <c r="AN897" s="78"/>
    </row>
    <row r="898" spans="1:40" x14ac:dyDescent="0.25">
      <c r="A898" t="s">
        <v>44</v>
      </c>
      <c r="B898" t="s">
        <v>52</v>
      </c>
      <c r="C898" s="121" t="s">
        <v>174</v>
      </c>
      <c r="D898" t="s">
        <v>197</v>
      </c>
      <c r="E898" t="s">
        <v>63</v>
      </c>
      <c r="F898">
        <v>1</v>
      </c>
      <c r="G898">
        <v>19</v>
      </c>
      <c r="H898" s="86">
        <v>45968.333647314801</v>
      </c>
      <c r="I898" s="86">
        <v>45968.439187187498</v>
      </c>
      <c r="J898" s="87">
        <v>2.53295694444444</v>
      </c>
      <c r="K898" s="69" t="s">
        <v>274</v>
      </c>
      <c r="L898" s="69"/>
      <c r="M898" s="71"/>
      <c r="N898" s="71"/>
      <c r="O898" s="71"/>
      <c r="P898" s="71" t="s">
        <v>275</v>
      </c>
      <c r="Q898" s="88">
        <v>-8.7040280734807798E-4</v>
      </c>
      <c r="R898" s="89" t="s">
        <v>276</v>
      </c>
      <c r="S898" s="89"/>
      <c r="T898">
        <v>7.3</v>
      </c>
      <c r="U898" s="76">
        <v>0.2</v>
      </c>
      <c r="V898">
        <v>9.8000000000000007</v>
      </c>
      <c r="W898" s="90">
        <v>0.1</v>
      </c>
      <c r="X898" s="90"/>
      <c r="Y898" s="71"/>
      <c r="Z898" s="71"/>
      <c r="AA898" s="71"/>
      <c r="AB898" s="71"/>
      <c r="AC898" s="71"/>
      <c r="AD898" s="71"/>
      <c r="AE898" s="71"/>
      <c r="AF898" s="71"/>
      <c r="AG898" s="91">
        <v>0</v>
      </c>
      <c r="AH898" s="76"/>
      <c r="AI898" s="76"/>
      <c r="AJ898" s="76"/>
      <c r="AK898" s="71">
        <v>0.15</v>
      </c>
      <c r="AL898" s="88">
        <v>3.4571664698130999E-2</v>
      </c>
      <c r="AM898" s="89">
        <f t="shared" si="13"/>
        <v>0.23047776465420666</v>
      </c>
      <c r="AN898" s="78"/>
    </row>
    <row r="899" spans="1:40" x14ac:dyDescent="0.25">
      <c r="A899" t="s">
        <v>44</v>
      </c>
      <c r="B899" t="s">
        <v>52</v>
      </c>
      <c r="C899" s="121" t="s">
        <v>174</v>
      </c>
      <c r="D899" t="s">
        <v>197</v>
      </c>
      <c r="E899" t="s">
        <v>63</v>
      </c>
      <c r="F899">
        <v>1</v>
      </c>
      <c r="G899">
        <v>20</v>
      </c>
      <c r="H899" s="86">
        <v>45968.439187187498</v>
      </c>
      <c r="I899" s="86">
        <v>45968.5446955671</v>
      </c>
      <c r="J899" s="87">
        <v>2.5322011111111098</v>
      </c>
      <c r="K899" s="69" t="s">
        <v>274</v>
      </c>
      <c r="L899" s="69"/>
      <c r="M899" s="71"/>
      <c r="N899" s="71"/>
      <c r="O899" s="71"/>
      <c r="P899" s="71" t="s">
        <v>275</v>
      </c>
      <c r="Q899" s="88">
        <v>-2.2293810619236202E-3</v>
      </c>
      <c r="R899" s="89" t="s">
        <v>276</v>
      </c>
      <c r="S899" s="89"/>
      <c r="T899">
        <v>8.9</v>
      </c>
      <c r="U899" s="76">
        <v>0.2</v>
      </c>
      <c r="V899">
        <v>9.8000000000000007</v>
      </c>
      <c r="W899" s="90">
        <v>0.1</v>
      </c>
      <c r="X899" s="90"/>
      <c r="Y899" s="71"/>
      <c r="Z899" s="71"/>
      <c r="AA899" s="71"/>
      <c r="AB899" s="71"/>
      <c r="AC899" s="71"/>
      <c r="AD899" s="71"/>
      <c r="AE899" s="71"/>
      <c r="AF899" s="71"/>
      <c r="AG899" s="91">
        <v>0</v>
      </c>
      <c r="AH899" s="76"/>
      <c r="AI899" s="76"/>
      <c r="AJ899" s="76"/>
      <c r="AK899" s="71">
        <v>0.15</v>
      </c>
      <c r="AL899" s="88">
        <v>3.4571664698130999E-2</v>
      </c>
      <c r="AM899" s="89">
        <f t="shared" si="13"/>
        <v>0.23047776465420666</v>
      </c>
      <c r="AN899" s="78"/>
    </row>
    <row r="900" spans="1:40" x14ac:dyDescent="0.25">
      <c r="A900" t="s">
        <v>44</v>
      </c>
      <c r="B900" t="s">
        <v>52</v>
      </c>
      <c r="C900" s="121" t="s">
        <v>174</v>
      </c>
      <c r="D900" t="s">
        <v>197</v>
      </c>
      <c r="E900" t="s">
        <v>63</v>
      </c>
      <c r="F900">
        <v>1</v>
      </c>
      <c r="G900">
        <v>21</v>
      </c>
      <c r="H900" s="86">
        <v>45968.5446955671</v>
      </c>
      <c r="I900" s="86">
        <v>45968.650194629598</v>
      </c>
      <c r="J900" s="87">
        <v>2.5319775</v>
      </c>
      <c r="K900" s="69" t="s">
        <v>274</v>
      </c>
      <c r="L900" s="69"/>
      <c r="M900" s="71"/>
      <c r="N900" s="71"/>
      <c r="O900" s="71"/>
      <c r="P900" s="71" t="s">
        <v>275</v>
      </c>
      <c r="Q900" s="88">
        <v>-3.4904536621690701E-3</v>
      </c>
      <c r="R900" s="89" t="s">
        <v>276</v>
      </c>
      <c r="S900" s="89"/>
      <c r="T900">
        <v>9.6</v>
      </c>
      <c r="U900" s="76">
        <v>0.2</v>
      </c>
      <c r="V900">
        <v>9.9</v>
      </c>
      <c r="W900" s="90">
        <v>0.1</v>
      </c>
      <c r="X900" s="90"/>
      <c r="Y900" s="71"/>
      <c r="Z900" s="71"/>
      <c r="AA900" s="71"/>
      <c r="AB900" s="71"/>
      <c r="AC900" s="71"/>
      <c r="AD900" s="71"/>
      <c r="AE900" s="71"/>
      <c r="AF900" s="71"/>
      <c r="AG900" s="91">
        <v>0</v>
      </c>
      <c r="AH900" s="76"/>
      <c r="AI900" s="76"/>
      <c r="AJ900" s="76"/>
      <c r="AK900" s="71">
        <v>0.15</v>
      </c>
      <c r="AL900" s="88">
        <v>3.4571664698130999E-2</v>
      </c>
      <c r="AM900" s="89">
        <f t="shared" si="13"/>
        <v>0.23047776465420666</v>
      </c>
      <c r="AN900" s="78"/>
    </row>
    <row r="901" spans="1:40" x14ac:dyDescent="0.25">
      <c r="A901" t="s">
        <v>44</v>
      </c>
      <c r="B901" t="s">
        <v>52</v>
      </c>
      <c r="C901" s="121" t="s">
        <v>174</v>
      </c>
      <c r="D901" t="s">
        <v>197</v>
      </c>
      <c r="E901" t="s">
        <v>63</v>
      </c>
      <c r="F901">
        <v>1</v>
      </c>
      <c r="G901">
        <v>22</v>
      </c>
      <c r="H901" s="86">
        <v>45968.650194629598</v>
      </c>
      <c r="I901" s="86">
        <v>45968.755696307897</v>
      </c>
      <c r="J901" s="87">
        <v>2.5320402777777802</v>
      </c>
      <c r="K901" s="69" t="s">
        <v>274</v>
      </c>
      <c r="L901" s="69"/>
      <c r="M901" s="71"/>
      <c r="N901" s="71"/>
      <c r="O901" s="71"/>
      <c r="P901" s="71" t="s">
        <v>275</v>
      </c>
      <c r="Q901" s="88">
        <v>-2.1714128978167799E-3</v>
      </c>
      <c r="R901" s="89" t="s">
        <v>276</v>
      </c>
      <c r="S901" s="89"/>
      <c r="T901">
        <v>8.1</v>
      </c>
      <c r="U901" s="76">
        <v>0.2</v>
      </c>
      <c r="V901">
        <v>10.1</v>
      </c>
      <c r="W901" s="90">
        <v>0.1</v>
      </c>
      <c r="X901" s="90"/>
      <c r="Y901" s="71"/>
      <c r="Z901" s="71"/>
      <c r="AA901" s="71"/>
      <c r="AB901" s="71"/>
      <c r="AC901" s="71"/>
      <c r="AD901" s="71"/>
      <c r="AE901" s="71"/>
      <c r="AF901" s="71"/>
      <c r="AG901" s="91">
        <v>0</v>
      </c>
      <c r="AH901" s="76"/>
      <c r="AI901" s="76"/>
      <c r="AJ901" s="76"/>
      <c r="AK901" s="71">
        <v>0.15</v>
      </c>
      <c r="AL901" s="88">
        <v>3.4571664698130999E-2</v>
      </c>
      <c r="AM901" s="89">
        <f t="shared" ref="AM901:AM964" si="14">AL901/AK901</f>
        <v>0.23047776465420666</v>
      </c>
      <c r="AN901" s="78"/>
    </row>
    <row r="902" spans="1:40" x14ac:dyDescent="0.25">
      <c r="A902" t="s">
        <v>44</v>
      </c>
      <c r="B902" t="s">
        <v>52</v>
      </c>
      <c r="C902" s="121" t="s">
        <v>174</v>
      </c>
      <c r="D902" t="s">
        <v>197</v>
      </c>
      <c r="E902" t="s">
        <v>63</v>
      </c>
      <c r="F902">
        <v>1</v>
      </c>
      <c r="G902">
        <v>23</v>
      </c>
      <c r="H902" s="86">
        <v>45968.755696307897</v>
      </c>
      <c r="I902" s="86">
        <v>45968.861185463</v>
      </c>
      <c r="J902" s="87">
        <v>2.5317397222222202</v>
      </c>
      <c r="K902" s="69" t="s">
        <v>274</v>
      </c>
      <c r="L902" s="69"/>
      <c r="M902" s="71"/>
      <c r="N902" s="71"/>
      <c r="O902" s="71"/>
      <c r="P902" s="71" t="s">
        <v>275</v>
      </c>
      <c r="Q902" s="88">
        <v>-2.0683411584167298E-3</v>
      </c>
      <c r="R902" s="89" t="s">
        <v>276</v>
      </c>
      <c r="S902" s="89"/>
      <c r="T902">
        <v>7.9</v>
      </c>
      <c r="U902" s="76">
        <v>0.2</v>
      </c>
      <c r="V902">
        <v>10.199999999999999</v>
      </c>
      <c r="W902" s="90">
        <v>0.1</v>
      </c>
      <c r="X902" s="90"/>
      <c r="Y902" s="71"/>
      <c r="Z902" s="71"/>
      <c r="AA902" s="71"/>
      <c r="AB902" s="71"/>
      <c r="AC902" s="71"/>
      <c r="AD902" s="71"/>
      <c r="AE902" s="71"/>
      <c r="AF902" s="71"/>
      <c r="AG902" s="91">
        <v>0</v>
      </c>
      <c r="AH902" s="76"/>
      <c r="AI902" s="76"/>
      <c r="AJ902" s="76"/>
      <c r="AK902" s="71">
        <v>0.15</v>
      </c>
      <c r="AL902" s="88">
        <v>3.4571664698130999E-2</v>
      </c>
      <c r="AM902" s="89">
        <f t="shared" si="14"/>
        <v>0.23047776465420666</v>
      </c>
      <c r="AN902" s="78"/>
    </row>
    <row r="903" spans="1:40" x14ac:dyDescent="0.25">
      <c r="A903" t="s">
        <v>44</v>
      </c>
      <c r="B903" t="s">
        <v>52</v>
      </c>
      <c r="C903" s="121" t="s">
        <v>174</v>
      </c>
      <c r="D903" t="s">
        <v>197</v>
      </c>
      <c r="E903" t="s">
        <v>63</v>
      </c>
      <c r="F903">
        <v>1</v>
      </c>
      <c r="G903">
        <v>24</v>
      </c>
      <c r="H903" s="86">
        <v>45968.861185463</v>
      </c>
      <c r="I903" s="86">
        <v>45968.966693969902</v>
      </c>
      <c r="J903" s="87">
        <v>2.5322041666666699</v>
      </c>
      <c r="K903" s="69" t="s">
        <v>274</v>
      </c>
      <c r="L903" s="69"/>
      <c r="M903" s="71"/>
      <c r="N903" s="71"/>
      <c r="O903" s="71"/>
      <c r="P903" s="71" t="s">
        <v>275</v>
      </c>
      <c r="Q903" s="88">
        <v>-1.6343342561083E-3</v>
      </c>
      <c r="R903" s="89" t="s">
        <v>276</v>
      </c>
      <c r="S903" s="89"/>
      <c r="T903">
        <v>7.9</v>
      </c>
      <c r="U903" s="76">
        <v>0.2</v>
      </c>
      <c r="V903">
        <v>10.199999999999999</v>
      </c>
      <c r="W903" s="90">
        <v>0.1</v>
      </c>
      <c r="X903" s="90"/>
      <c r="Y903" s="71"/>
      <c r="Z903" s="71"/>
      <c r="AA903" s="71"/>
      <c r="AB903" s="71"/>
      <c r="AC903" s="71"/>
      <c r="AD903" s="71"/>
      <c r="AE903" s="71"/>
      <c r="AF903" s="71"/>
      <c r="AG903" s="91">
        <v>0</v>
      </c>
      <c r="AH903" s="76"/>
      <c r="AI903" s="76"/>
      <c r="AJ903" s="76"/>
      <c r="AK903" s="71">
        <v>0.15</v>
      </c>
      <c r="AL903" s="88">
        <v>3.4571664698130999E-2</v>
      </c>
      <c r="AM903" s="89">
        <f t="shared" si="14"/>
        <v>0.23047776465420666</v>
      </c>
      <c r="AN903" s="78"/>
    </row>
    <row r="904" spans="1:40" x14ac:dyDescent="0.25">
      <c r="A904" t="s">
        <v>44</v>
      </c>
      <c r="B904" t="s">
        <v>52</v>
      </c>
      <c r="C904" s="121" t="s">
        <v>174</v>
      </c>
      <c r="D904" t="s">
        <v>197</v>
      </c>
      <c r="E904" t="s">
        <v>63</v>
      </c>
      <c r="F904">
        <v>1</v>
      </c>
      <c r="G904">
        <v>25</v>
      </c>
      <c r="H904" s="86">
        <v>45968.966693969902</v>
      </c>
      <c r="I904" s="86">
        <v>45969.072195138899</v>
      </c>
      <c r="J904" s="87">
        <v>2.5320280555555601</v>
      </c>
      <c r="K904" s="69" t="s">
        <v>274</v>
      </c>
      <c r="L904" s="69"/>
      <c r="M904" s="71"/>
      <c r="N904" s="71"/>
      <c r="O904" s="71"/>
      <c r="P904" s="71" t="s">
        <v>275</v>
      </c>
      <c r="Q904" s="88">
        <v>-1.5530123662535901E-3</v>
      </c>
      <c r="R904" s="89" t="s">
        <v>276</v>
      </c>
      <c r="S904" s="89"/>
      <c r="T904">
        <v>8</v>
      </c>
      <c r="U904" s="76">
        <v>0.2</v>
      </c>
      <c r="V904">
        <v>10.1</v>
      </c>
      <c r="W904" s="90">
        <v>0.1</v>
      </c>
      <c r="X904" s="90"/>
      <c r="Y904" s="71"/>
      <c r="Z904" s="71"/>
      <c r="AA904" s="71"/>
      <c r="AB904" s="71"/>
      <c r="AC904" s="71"/>
      <c r="AD904" s="71"/>
      <c r="AE904" s="71"/>
      <c r="AF904" s="71"/>
      <c r="AG904" s="91">
        <v>0</v>
      </c>
      <c r="AH904" s="76"/>
      <c r="AI904" s="76"/>
      <c r="AJ904" s="76"/>
      <c r="AK904" s="71">
        <v>0.15</v>
      </c>
      <c r="AL904" s="88">
        <v>3.4571664698130999E-2</v>
      </c>
      <c r="AM904" s="89">
        <f t="shared" si="14"/>
        <v>0.23047776465420666</v>
      </c>
      <c r="AN904" s="78"/>
    </row>
    <row r="905" spans="1:40" x14ac:dyDescent="0.25">
      <c r="A905" t="s">
        <v>44</v>
      </c>
      <c r="B905" t="s">
        <v>52</v>
      </c>
      <c r="C905" s="121" t="s">
        <v>174</v>
      </c>
      <c r="D905" t="s">
        <v>197</v>
      </c>
      <c r="E905" t="s">
        <v>63</v>
      </c>
      <c r="F905">
        <v>1</v>
      </c>
      <c r="G905">
        <v>26</v>
      </c>
      <c r="H905" s="86">
        <v>45969.072195138899</v>
      </c>
      <c r="I905" s="86">
        <v>45969.177691840297</v>
      </c>
      <c r="J905" s="87">
        <v>2.5319208333333298</v>
      </c>
      <c r="K905" s="69" t="s">
        <v>274</v>
      </c>
      <c r="L905" s="69"/>
      <c r="M905" s="71"/>
      <c r="N905" s="71"/>
      <c r="O905" s="71"/>
      <c r="P905" s="71" t="s">
        <v>275</v>
      </c>
      <c r="Q905" s="88">
        <v>-2.03576851310645E-3</v>
      </c>
      <c r="R905" s="89" t="s">
        <v>276</v>
      </c>
      <c r="S905" s="89"/>
      <c r="T905">
        <v>8.1999999999999993</v>
      </c>
      <c r="U905" s="76">
        <v>0.2</v>
      </c>
      <c r="V905">
        <v>10.1</v>
      </c>
      <c r="W905" s="90">
        <v>0.1</v>
      </c>
      <c r="X905" s="90"/>
      <c r="Y905" s="71"/>
      <c r="Z905" s="71"/>
      <c r="AA905" s="71"/>
      <c r="AB905" s="71"/>
      <c r="AC905" s="71"/>
      <c r="AD905" s="71"/>
      <c r="AE905" s="71"/>
      <c r="AF905" s="71"/>
      <c r="AG905" s="91">
        <v>0</v>
      </c>
      <c r="AH905" s="76"/>
      <c r="AI905" s="76"/>
      <c r="AJ905" s="76"/>
      <c r="AK905" s="71">
        <v>0.15</v>
      </c>
      <c r="AL905" s="88">
        <v>3.4571664698130999E-2</v>
      </c>
      <c r="AM905" s="89">
        <f t="shared" si="14"/>
        <v>0.23047776465420666</v>
      </c>
      <c r="AN905" s="78"/>
    </row>
    <row r="906" spans="1:40" x14ac:dyDescent="0.25">
      <c r="A906" t="s">
        <v>44</v>
      </c>
      <c r="B906" t="s">
        <v>52</v>
      </c>
      <c r="C906" s="121" t="s">
        <v>174</v>
      </c>
      <c r="D906" t="s">
        <v>197</v>
      </c>
      <c r="E906" t="s">
        <v>63</v>
      </c>
      <c r="F906">
        <v>1</v>
      </c>
      <c r="G906">
        <v>27</v>
      </c>
      <c r="H906" s="86">
        <v>45969.177691840297</v>
      </c>
      <c r="I906" s="86">
        <v>45969.2831908218</v>
      </c>
      <c r="J906" s="87">
        <v>2.5319755555555599</v>
      </c>
      <c r="K906" s="69" t="s">
        <v>274</v>
      </c>
      <c r="L906" s="69"/>
      <c r="M906" s="71"/>
      <c r="N906" s="71"/>
      <c r="O906" s="71"/>
      <c r="P906" s="71" t="s">
        <v>275</v>
      </c>
      <c r="Q906" s="88">
        <v>-2.0365828708755699E-3</v>
      </c>
      <c r="R906" s="89" t="s">
        <v>276</v>
      </c>
      <c r="S906" s="89"/>
      <c r="T906">
        <v>8.1</v>
      </c>
      <c r="U906" s="76">
        <v>0.2</v>
      </c>
      <c r="V906">
        <v>10.1</v>
      </c>
      <c r="W906" s="90">
        <v>0.1</v>
      </c>
      <c r="X906" s="90"/>
      <c r="Y906" s="71"/>
      <c r="Z906" s="71"/>
      <c r="AA906" s="71"/>
      <c r="AB906" s="71"/>
      <c r="AC906" s="71"/>
      <c r="AD906" s="71"/>
      <c r="AE906" s="71"/>
      <c r="AF906" s="71"/>
      <c r="AG906" s="91">
        <v>0</v>
      </c>
      <c r="AH906" s="76"/>
      <c r="AI906" s="76"/>
      <c r="AJ906" s="76"/>
      <c r="AK906" s="71">
        <v>0.15</v>
      </c>
      <c r="AL906" s="88">
        <v>3.4571664698130999E-2</v>
      </c>
      <c r="AM906" s="89">
        <f t="shared" si="14"/>
        <v>0.23047776465420666</v>
      </c>
      <c r="AN906" s="78"/>
    </row>
    <row r="907" spans="1:40" x14ac:dyDescent="0.25">
      <c r="A907" t="s">
        <v>44</v>
      </c>
      <c r="B907" t="s">
        <v>52</v>
      </c>
      <c r="C907" s="121" t="s">
        <v>174</v>
      </c>
      <c r="D907" t="s">
        <v>197</v>
      </c>
      <c r="E907" t="s">
        <v>63</v>
      </c>
      <c r="F907">
        <v>1</v>
      </c>
      <c r="G907">
        <v>28</v>
      </c>
      <c r="H907" s="86">
        <v>45969.2831908218</v>
      </c>
      <c r="I907" s="86">
        <v>45969.388691145803</v>
      </c>
      <c r="J907" s="87">
        <v>2.5320077777777801</v>
      </c>
      <c r="K907" s="69" t="s">
        <v>274</v>
      </c>
      <c r="L907" s="69"/>
      <c r="M907" s="71"/>
      <c r="N907" s="71"/>
      <c r="O907" s="71"/>
      <c r="P907" s="71" t="s">
        <v>275</v>
      </c>
      <c r="Q907" s="88">
        <v>-2.0070599608616201E-3</v>
      </c>
      <c r="R907" s="89" t="s">
        <v>276</v>
      </c>
      <c r="S907" s="89"/>
      <c r="T907">
        <v>8</v>
      </c>
      <c r="U907" s="76">
        <v>0.2</v>
      </c>
      <c r="V907">
        <v>10.1</v>
      </c>
      <c r="W907" s="90">
        <v>0.1</v>
      </c>
      <c r="X907" s="90"/>
      <c r="Y907" s="71"/>
      <c r="Z907" s="71"/>
      <c r="AA907" s="71"/>
      <c r="AB907" s="71"/>
      <c r="AC907" s="71"/>
      <c r="AD907" s="71"/>
      <c r="AE907" s="71"/>
      <c r="AF907" s="71"/>
      <c r="AG907" s="91">
        <v>0</v>
      </c>
      <c r="AH907" s="76"/>
      <c r="AI907" s="76"/>
      <c r="AJ907" s="76"/>
      <c r="AK907" s="71">
        <v>0.15</v>
      </c>
      <c r="AL907" s="88">
        <v>3.4571664698130999E-2</v>
      </c>
      <c r="AM907" s="89">
        <f t="shared" si="14"/>
        <v>0.23047776465420666</v>
      </c>
      <c r="AN907" s="78"/>
    </row>
    <row r="908" spans="1:40" x14ac:dyDescent="0.25">
      <c r="A908" t="s">
        <v>44</v>
      </c>
      <c r="B908" t="s">
        <v>52</v>
      </c>
      <c r="C908" s="121" t="s">
        <v>174</v>
      </c>
      <c r="D908" t="s">
        <v>197</v>
      </c>
      <c r="E908" t="s">
        <v>63</v>
      </c>
      <c r="F908">
        <v>1</v>
      </c>
      <c r="G908">
        <v>29</v>
      </c>
      <c r="H908" s="86">
        <v>45969.388691145803</v>
      </c>
      <c r="I908" s="86">
        <v>45969.494197916698</v>
      </c>
      <c r="J908" s="87">
        <v>2.5321625000000001</v>
      </c>
      <c r="K908" s="69" t="s">
        <v>274</v>
      </c>
      <c r="L908" s="69"/>
      <c r="M908" s="71"/>
      <c r="N908" s="71"/>
      <c r="O908" s="71"/>
      <c r="P908" s="71" t="s">
        <v>275</v>
      </c>
      <c r="Q908" s="88">
        <v>-2.2665042952463802E-3</v>
      </c>
      <c r="R908" s="89" t="s">
        <v>276</v>
      </c>
      <c r="S908" s="89"/>
      <c r="T908">
        <v>8.1999999999999993</v>
      </c>
      <c r="U908" s="76">
        <v>0.2</v>
      </c>
      <c r="V908">
        <v>10.1</v>
      </c>
      <c r="W908" s="90">
        <v>0.1</v>
      </c>
      <c r="X908" s="90"/>
      <c r="Y908" s="71"/>
      <c r="Z908" s="71"/>
      <c r="AA908" s="71"/>
      <c r="AB908" s="71"/>
      <c r="AC908" s="71"/>
      <c r="AD908" s="71"/>
      <c r="AE908" s="71"/>
      <c r="AF908" s="71"/>
      <c r="AG908" s="91">
        <v>0</v>
      </c>
      <c r="AH908" s="76"/>
      <c r="AI908" s="76"/>
      <c r="AJ908" s="76"/>
      <c r="AK908" s="71">
        <v>0.15</v>
      </c>
      <c r="AL908" s="88">
        <v>3.4571664698130999E-2</v>
      </c>
      <c r="AM908" s="89">
        <f t="shared" si="14"/>
        <v>0.23047776465420666</v>
      </c>
      <c r="AN908" s="78"/>
    </row>
    <row r="909" spans="1:40" x14ac:dyDescent="0.25">
      <c r="A909" t="s">
        <v>44</v>
      </c>
      <c r="B909" t="s">
        <v>52</v>
      </c>
      <c r="C909" s="121" t="s">
        <v>174</v>
      </c>
      <c r="D909" t="s">
        <v>197</v>
      </c>
      <c r="E909" t="s">
        <v>63</v>
      </c>
      <c r="F909">
        <v>1</v>
      </c>
      <c r="G909">
        <v>30</v>
      </c>
      <c r="H909" s="86">
        <v>45969.494197916698</v>
      </c>
      <c r="I909" s="86">
        <v>45969.599706643501</v>
      </c>
      <c r="J909" s="87">
        <v>2.5322094444444398</v>
      </c>
      <c r="K909" s="69" t="s">
        <v>274</v>
      </c>
      <c r="L909" s="69"/>
      <c r="M909" s="71"/>
      <c r="N909" s="71"/>
      <c r="O909" s="71"/>
      <c r="P909" s="71" t="s">
        <v>275</v>
      </c>
      <c r="Q909" s="88">
        <v>-2.5831065979554499E-3</v>
      </c>
      <c r="R909" s="89" t="s">
        <v>276</v>
      </c>
      <c r="S909" s="89"/>
      <c r="T909">
        <v>8.6</v>
      </c>
      <c r="U909" s="76">
        <v>0.2</v>
      </c>
      <c r="V909">
        <v>10.1</v>
      </c>
      <c r="W909" s="90">
        <v>0.1</v>
      </c>
      <c r="X909" s="90"/>
      <c r="Y909" s="71"/>
      <c r="Z909" s="71"/>
      <c r="AA909" s="71"/>
      <c r="AB909" s="71"/>
      <c r="AC909" s="71"/>
      <c r="AD909" s="71"/>
      <c r="AE909" s="71"/>
      <c r="AF909" s="71"/>
      <c r="AG909" s="91">
        <v>0</v>
      </c>
      <c r="AH909" s="76"/>
      <c r="AI909" s="76"/>
      <c r="AJ909" s="76"/>
      <c r="AK909" s="71">
        <v>0.15</v>
      </c>
      <c r="AL909" s="88">
        <v>3.4571664698130999E-2</v>
      </c>
      <c r="AM909" s="89">
        <f t="shared" si="14"/>
        <v>0.23047776465420666</v>
      </c>
      <c r="AN909" s="78"/>
    </row>
    <row r="910" spans="1:40" x14ac:dyDescent="0.25">
      <c r="A910" t="s">
        <v>44</v>
      </c>
      <c r="B910" t="s">
        <v>52</v>
      </c>
      <c r="C910" s="121" t="s">
        <v>174</v>
      </c>
      <c r="D910" t="s">
        <v>197</v>
      </c>
      <c r="E910" t="s">
        <v>63</v>
      </c>
      <c r="F910">
        <v>1</v>
      </c>
      <c r="G910">
        <v>31</v>
      </c>
      <c r="H910" s="86">
        <v>45969.599706643501</v>
      </c>
      <c r="I910" s="86">
        <v>45969.705200520802</v>
      </c>
      <c r="J910" s="87">
        <v>2.5318530555555601</v>
      </c>
      <c r="K910" s="69" t="s">
        <v>274</v>
      </c>
      <c r="L910" s="69"/>
      <c r="M910" s="71"/>
      <c r="N910" s="71"/>
      <c r="O910" s="71"/>
      <c r="P910" s="71" t="s">
        <v>275</v>
      </c>
      <c r="Q910" s="88">
        <v>-2.0976096680022701E-3</v>
      </c>
      <c r="R910" s="89" t="s">
        <v>276</v>
      </c>
      <c r="S910" s="89"/>
      <c r="T910">
        <v>8.6</v>
      </c>
      <c r="U910" s="76">
        <v>0.2</v>
      </c>
      <c r="V910">
        <v>10.199999999999999</v>
      </c>
      <c r="W910" s="90">
        <v>0.1</v>
      </c>
      <c r="X910" s="90"/>
      <c r="Y910" s="71"/>
      <c r="Z910" s="71"/>
      <c r="AA910" s="71"/>
      <c r="AB910" s="71"/>
      <c r="AC910" s="71"/>
      <c r="AD910" s="71"/>
      <c r="AE910" s="71"/>
      <c r="AF910" s="71"/>
      <c r="AG910" s="91">
        <v>0</v>
      </c>
      <c r="AH910" s="76"/>
      <c r="AI910" s="76"/>
      <c r="AJ910" s="76"/>
      <c r="AK910" s="71">
        <v>0.15</v>
      </c>
      <c r="AL910" s="88">
        <v>3.4571664698130999E-2</v>
      </c>
      <c r="AM910" s="89">
        <f t="shared" si="14"/>
        <v>0.23047776465420666</v>
      </c>
      <c r="AN910" s="78"/>
    </row>
    <row r="911" spans="1:40" x14ac:dyDescent="0.25">
      <c r="A911" t="s">
        <v>44</v>
      </c>
      <c r="B911" t="s">
        <v>52</v>
      </c>
      <c r="C911" s="121" t="s">
        <v>174</v>
      </c>
      <c r="D911" t="s">
        <v>197</v>
      </c>
      <c r="E911" t="s">
        <v>63</v>
      </c>
      <c r="F911">
        <v>1</v>
      </c>
      <c r="G911">
        <v>32</v>
      </c>
      <c r="H911" s="86">
        <v>45969.705200520802</v>
      </c>
      <c r="I911" s="86">
        <v>45969.810703645802</v>
      </c>
      <c r="J911" s="87">
        <v>2.5320749999999999</v>
      </c>
      <c r="K911" s="69" t="s">
        <v>274</v>
      </c>
      <c r="L911" s="69"/>
      <c r="M911" s="71"/>
      <c r="N911" s="71"/>
      <c r="O911" s="71"/>
      <c r="P911" s="71" t="s">
        <v>275</v>
      </c>
      <c r="Q911" s="88">
        <v>-1.7924968808372701E-3</v>
      </c>
      <c r="R911" s="89" t="s">
        <v>276</v>
      </c>
      <c r="S911" s="89"/>
      <c r="T911">
        <v>8</v>
      </c>
      <c r="U911" s="76">
        <v>0.2</v>
      </c>
      <c r="V911">
        <v>10.199999999999999</v>
      </c>
      <c r="W911" s="90">
        <v>0.1</v>
      </c>
      <c r="X911" s="90"/>
      <c r="Y911" s="71"/>
      <c r="Z911" s="71"/>
      <c r="AA911" s="71"/>
      <c r="AB911" s="71"/>
      <c r="AC911" s="71"/>
      <c r="AD911" s="71"/>
      <c r="AE911" s="71"/>
      <c r="AF911" s="71"/>
      <c r="AG911" s="91">
        <v>0</v>
      </c>
      <c r="AH911" s="76"/>
      <c r="AI911" s="76"/>
      <c r="AJ911" s="76"/>
      <c r="AK911" s="71">
        <v>0.15</v>
      </c>
      <c r="AL911" s="88">
        <v>3.4571664698130999E-2</v>
      </c>
      <c r="AM911" s="89">
        <f t="shared" si="14"/>
        <v>0.23047776465420666</v>
      </c>
      <c r="AN911" s="78"/>
    </row>
    <row r="912" spans="1:40" x14ac:dyDescent="0.25">
      <c r="A912" t="s">
        <v>44</v>
      </c>
      <c r="B912" t="s">
        <v>52</v>
      </c>
      <c r="C912" s="121" t="s">
        <v>174</v>
      </c>
      <c r="D912" t="s">
        <v>197</v>
      </c>
      <c r="E912" t="s">
        <v>63</v>
      </c>
      <c r="F912">
        <v>1</v>
      </c>
      <c r="G912">
        <v>33</v>
      </c>
      <c r="H912" s="86">
        <v>45969.810703645802</v>
      </c>
      <c r="I912" s="86">
        <v>45969.9162087269</v>
      </c>
      <c r="J912" s="87">
        <v>2.5321219444444401</v>
      </c>
      <c r="K912" s="69" t="s">
        <v>274</v>
      </c>
      <c r="L912" s="69"/>
      <c r="M912" s="71"/>
      <c r="N912" s="71"/>
      <c r="O912" s="71"/>
      <c r="P912" s="71" t="s">
        <v>275</v>
      </c>
      <c r="Q912" s="88">
        <v>-1.8350674699738501E-3</v>
      </c>
      <c r="R912" s="89" t="s">
        <v>276</v>
      </c>
      <c r="S912" s="89"/>
      <c r="T912">
        <v>7.9</v>
      </c>
      <c r="U912" s="76">
        <v>0.2</v>
      </c>
      <c r="V912">
        <v>10.199999999999999</v>
      </c>
      <c r="W912" s="90">
        <v>0.1</v>
      </c>
      <c r="X912" s="90"/>
      <c r="Y912" s="71"/>
      <c r="Z912" s="71"/>
      <c r="AA912" s="71"/>
      <c r="AB912" s="71"/>
      <c r="AC912" s="71"/>
      <c r="AD912" s="71"/>
      <c r="AE912" s="71"/>
      <c r="AF912" s="71"/>
      <c r="AG912" s="91">
        <v>0</v>
      </c>
      <c r="AH912" s="76"/>
      <c r="AI912" s="76"/>
      <c r="AJ912" s="76"/>
      <c r="AK912" s="71">
        <v>0.15</v>
      </c>
      <c r="AL912" s="88">
        <v>3.4571664698130999E-2</v>
      </c>
      <c r="AM912" s="89">
        <f t="shared" si="14"/>
        <v>0.23047776465420666</v>
      </c>
      <c r="AN912" s="78"/>
    </row>
    <row r="913" spans="1:40" x14ac:dyDescent="0.25">
      <c r="A913" t="s">
        <v>44</v>
      </c>
      <c r="B913" t="s">
        <v>52</v>
      </c>
      <c r="C913" s="121" t="s">
        <v>174</v>
      </c>
      <c r="D913" t="s">
        <v>197</v>
      </c>
      <c r="E913" t="s">
        <v>63</v>
      </c>
      <c r="F913">
        <v>1</v>
      </c>
      <c r="G913">
        <v>34</v>
      </c>
      <c r="H913" s="86">
        <v>45969.9162087269</v>
      </c>
      <c r="I913" s="86">
        <v>45970.021711932903</v>
      </c>
      <c r="J913" s="87">
        <v>2.5320769444444502</v>
      </c>
      <c r="K913" s="69" t="s">
        <v>274</v>
      </c>
      <c r="L913" s="69"/>
      <c r="M913" s="71"/>
      <c r="N913" s="71"/>
      <c r="O913" s="71"/>
      <c r="P913" s="71" t="s">
        <v>275</v>
      </c>
      <c r="Q913" s="88">
        <v>-1.6945533565991299E-3</v>
      </c>
      <c r="R913" s="89" t="s">
        <v>276</v>
      </c>
      <c r="S913" s="89"/>
      <c r="T913">
        <v>7.8</v>
      </c>
      <c r="U913" s="76">
        <v>0.2</v>
      </c>
      <c r="V913">
        <v>10.199999999999999</v>
      </c>
      <c r="W913" s="90">
        <v>0.1</v>
      </c>
      <c r="X913" s="90"/>
      <c r="Y913" s="71"/>
      <c r="Z913" s="71"/>
      <c r="AA913" s="71"/>
      <c r="AB913" s="71"/>
      <c r="AC913" s="71"/>
      <c r="AD913" s="71"/>
      <c r="AE913" s="71"/>
      <c r="AF913" s="71"/>
      <c r="AG913" s="91">
        <v>0</v>
      </c>
      <c r="AH913" s="76"/>
      <c r="AI913" s="76"/>
      <c r="AJ913" s="76"/>
      <c r="AK913" s="71">
        <v>0.15</v>
      </c>
      <c r="AL913" s="88">
        <v>3.4571664698130999E-2</v>
      </c>
      <c r="AM913" s="89">
        <f t="shared" si="14"/>
        <v>0.23047776465420666</v>
      </c>
      <c r="AN913" s="78"/>
    </row>
    <row r="914" spans="1:40" x14ac:dyDescent="0.25">
      <c r="A914" t="s">
        <v>44</v>
      </c>
      <c r="B914" t="s">
        <v>52</v>
      </c>
      <c r="C914" s="121" t="s">
        <v>174</v>
      </c>
      <c r="D914" t="s">
        <v>197</v>
      </c>
      <c r="E914" t="s">
        <v>63</v>
      </c>
      <c r="F914">
        <v>1</v>
      </c>
      <c r="G914">
        <v>35</v>
      </c>
      <c r="H914" s="86">
        <v>45970.021711932903</v>
      </c>
      <c r="I914" s="86">
        <v>45970.127206863399</v>
      </c>
      <c r="J914" s="87">
        <v>2.5318783333333301</v>
      </c>
      <c r="K914" s="69" t="s">
        <v>274</v>
      </c>
      <c r="L914" s="69"/>
      <c r="M914" s="71"/>
      <c r="N914" s="71"/>
      <c r="O914" s="71"/>
      <c r="P914" s="71" t="s">
        <v>275</v>
      </c>
      <c r="Q914" s="88">
        <v>-1.4116292658972599E-3</v>
      </c>
      <c r="R914" s="89" t="s">
        <v>276</v>
      </c>
      <c r="S914" s="89"/>
      <c r="T914">
        <v>7.4</v>
      </c>
      <c r="U914" s="76">
        <v>0.2</v>
      </c>
      <c r="V914">
        <v>10.1</v>
      </c>
      <c r="W914" s="90">
        <v>0.1</v>
      </c>
      <c r="X914" s="90"/>
      <c r="Y914" s="71"/>
      <c r="Z914" s="71"/>
      <c r="AA914" s="71"/>
      <c r="AB914" s="71"/>
      <c r="AC914" s="71"/>
      <c r="AD914" s="71"/>
      <c r="AE914" s="71"/>
      <c r="AF914" s="71"/>
      <c r="AG914" s="91">
        <v>0.1</v>
      </c>
      <c r="AH914" s="76"/>
      <c r="AI914" s="76"/>
      <c r="AJ914" s="76"/>
      <c r="AK914" s="71">
        <v>0.15</v>
      </c>
      <c r="AL914" s="88">
        <v>3.4571664698130999E-2</v>
      </c>
      <c r="AM914" s="89">
        <f t="shared" si="14"/>
        <v>0.23047776465420666</v>
      </c>
      <c r="AN914" s="78"/>
    </row>
    <row r="915" spans="1:40" x14ac:dyDescent="0.25">
      <c r="A915" t="s">
        <v>44</v>
      </c>
      <c r="B915" t="s">
        <v>52</v>
      </c>
      <c r="C915" s="121" t="s">
        <v>174</v>
      </c>
      <c r="D915" t="s">
        <v>197</v>
      </c>
      <c r="E915" t="s">
        <v>63</v>
      </c>
      <c r="F915">
        <v>1</v>
      </c>
      <c r="G915">
        <v>36</v>
      </c>
      <c r="H915" s="86">
        <v>45970.127206863399</v>
      </c>
      <c r="I915" s="86">
        <v>45970.232707638897</v>
      </c>
      <c r="J915" s="87">
        <v>2.53201861111111</v>
      </c>
      <c r="K915" s="69" t="s">
        <v>274</v>
      </c>
      <c r="L915" s="69"/>
      <c r="M915" s="71"/>
      <c r="N915" s="71"/>
      <c r="O915" s="71"/>
      <c r="P915" s="71" t="s">
        <v>275</v>
      </c>
      <c r="Q915" s="88">
        <v>-1.5207273817573099E-3</v>
      </c>
      <c r="R915" s="89" t="s">
        <v>276</v>
      </c>
      <c r="S915" s="89"/>
      <c r="T915">
        <v>7.1</v>
      </c>
      <c r="U915" s="76">
        <v>0.2</v>
      </c>
      <c r="V915">
        <v>10.1</v>
      </c>
      <c r="W915" s="90">
        <v>0.1</v>
      </c>
      <c r="X915" s="90"/>
      <c r="Y915" s="71"/>
      <c r="Z915" s="71"/>
      <c r="AA915" s="71"/>
      <c r="AB915" s="71"/>
      <c r="AC915" s="71"/>
      <c r="AD915" s="71"/>
      <c r="AE915" s="71"/>
      <c r="AF915" s="71"/>
      <c r="AG915" s="91">
        <v>0</v>
      </c>
      <c r="AH915" s="76"/>
      <c r="AI915" s="76"/>
      <c r="AJ915" s="76"/>
      <c r="AK915" s="71">
        <v>0.15</v>
      </c>
      <c r="AL915" s="88">
        <v>3.4571664698130999E-2</v>
      </c>
      <c r="AM915" s="89">
        <f t="shared" si="14"/>
        <v>0.23047776465420666</v>
      </c>
      <c r="AN915" s="78"/>
    </row>
    <row r="916" spans="1:40" x14ac:dyDescent="0.25">
      <c r="A916" t="s">
        <v>44</v>
      </c>
      <c r="B916" t="s">
        <v>52</v>
      </c>
      <c r="C916" s="121" t="s">
        <v>174</v>
      </c>
      <c r="D916" t="s">
        <v>197</v>
      </c>
      <c r="E916" t="s">
        <v>63</v>
      </c>
      <c r="F916">
        <v>1</v>
      </c>
      <c r="G916">
        <v>37</v>
      </c>
      <c r="H916" s="86">
        <v>45970.232707638897</v>
      </c>
      <c r="I916" s="86">
        <v>45970.3382178588</v>
      </c>
      <c r="J916" s="87">
        <v>2.53224527777778</v>
      </c>
      <c r="K916" s="69" t="s">
        <v>274</v>
      </c>
      <c r="L916" s="69"/>
      <c r="M916" s="71"/>
      <c r="N916" s="71"/>
      <c r="O916" s="71"/>
      <c r="P916" s="71" t="s">
        <v>275</v>
      </c>
      <c r="Q916" s="88">
        <v>-1.52681200779762E-3</v>
      </c>
      <c r="R916" s="89" t="s">
        <v>276</v>
      </c>
      <c r="S916" s="89"/>
      <c r="T916">
        <v>6.8</v>
      </c>
      <c r="U916" s="76">
        <v>0.2</v>
      </c>
      <c r="V916">
        <v>10</v>
      </c>
      <c r="W916" s="90">
        <v>0.1</v>
      </c>
      <c r="X916" s="90"/>
      <c r="Y916" s="71"/>
      <c r="Z916" s="71"/>
      <c r="AA916" s="71"/>
      <c r="AB916" s="71"/>
      <c r="AC916" s="71"/>
      <c r="AD916" s="71"/>
      <c r="AE916" s="71"/>
      <c r="AF916" s="71"/>
      <c r="AG916" s="91">
        <v>0</v>
      </c>
      <c r="AH916" s="76"/>
      <c r="AI916" s="76"/>
      <c r="AJ916" s="76"/>
      <c r="AK916" s="71">
        <v>0.15</v>
      </c>
      <c r="AL916" s="88">
        <v>3.4571664698130999E-2</v>
      </c>
      <c r="AM916" s="89">
        <f t="shared" si="14"/>
        <v>0.23047776465420666</v>
      </c>
      <c r="AN916" s="78"/>
    </row>
    <row r="917" spans="1:40" x14ac:dyDescent="0.25">
      <c r="A917" t="s">
        <v>44</v>
      </c>
      <c r="B917" t="s">
        <v>52</v>
      </c>
      <c r="C917" s="121" t="s">
        <v>174</v>
      </c>
      <c r="D917" t="s">
        <v>197</v>
      </c>
      <c r="E917" t="s">
        <v>63</v>
      </c>
      <c r="F917">
        <v>1</v>
      </c>
      <c r="G917">
        <v>38</v>
      </c>
      <c r="H917" s="86">
        <v>45970.3382178588</v>
      </c>
      <c r="I917" s="86">
        <v>45970.443718009301</v>
      </c>
      <c r="J917" s="87">
        <v>2.5320036111111102</v>
      </c>
      <c r="K917" s="69" t="s">
        <v>274</v>
      </c>
      <c r="L917" s="69"/>
      <c r="M917" s="71"/>
      <c r="N917" s="71"/>
      <c r="O917" s="71"/>
      <c r="P917" s="71" t="s">
        <v>275</v>
      </c>
      <c r="Q917" s="88">
        <v>-1.2600175769541401E-3</v>
      </c>
      <c r="R917" s="89" t="s">
        <v>276</v>
      </c>
      <c r="S917" s="89"/>
      <c r="T917">
        <v>6.8</v>
      </c>
      <c r="U917" s="76">
        <v>0.2</v>
      </c>
      <c r="V917">
        <v>10</v>
      </c>
      <c r="W917" s="90">
        <v>0.1</v>
      </c>
      <c r="X917" s="90"/>
      <c r="Y917" s="71"/>
      <c r="Z917" s="71"/>
      <c r="AA917" s="71"/>
      <c r="AB917" s="71"/>
      <c r="AC917" s="71"/>
      <c r="AD917" s="71"/>
      <c r="AE917" s="71"/>
      <c r="AF917" s="71"/>
      <c r="AG917" s="91">
        <v>0</v>
      </c>
      <c r="AH917" s="76"/>
      <c r="AI917" s="76"/>
      <c r="AJ917" s="76"/>
      <c r="AK917" s="71">
        <v>0.15</v>
      </c>
      <c r="AL917" s="88">
        <v>3.4571664698130999E-2</v>
      </c>
      <c r="AM917" s="89">
        <f t="shared" si="14"/>
        <v>0.23047776465420666</v>
      </c>
      <c r="AN917" s="78"/>
    </row>
    <row r="918" spans="1:40" x14ac:dyDescent="0.25">
      <c r="A918" t="s">
        <v>44</v>
      </c>
      <c r="B918" t="s">
        <v>52</v>
      </c>
      <c r="C918" s="121" t="s">
        <v>174</v>
      </c>
      <c r="D918" t="s">
        <v>197</v>
      </c>
      <c r="E918" t="s">
        <v>63</v>
      </c>
      <c r="F918">
        <v>1</v>
      </c>
      <c r="G918">
        <v>39</v>
      </c>
      <c r="H918" s="86">
        <v>45970.443718009301</v>
      </c>
      <c r="I918" s="86">
        <v>45970.549219016197</v>
      </c>
      <c r="J918" s="87">
        <v>2.5320241666666701</v>
      </c>
      <c r="K918" s="69" t="s">
        <v>274</v>
      </c>
      <c r="L918" s="69"/>
      <c r="M918" s="71"/>
      <c r="N918" s="71"/>
      <c r="O918" s="71"/>
      <c r="P918" s="71" t="s">
        <v>275</v>
      </c>
      <c r="Q918" s="88">
        <v>-1.30068456417952E-3</v>
      </c>
      <c r="R918" s="89" t="s">
        <v>276</v>
      </c>
      <c r="S918" s="89"/>
      <c r="T918">
        <v>7.6</v>
      </c>
      <c r="U918" s="76">
        <v>0.2</v>
      </c>
      <c r="V918">
        <v>9.9</v>
      </c>
      <c r="W918" s="90">
        <v>0.1</v>
      </c>
      <c r="X918" s="90"/>
      <c r="Y918" s="71"/>
      <c r="Z918" s="71"/>
      <c r="AA918" s="71"/>
      <c r="AB918" s="71"/>
      <c r="AC918" s="71"/>
      <c r="AD918" s="71"/>
      <c r="AE918" s="71"/>
      <c r="AF918" s="71"/>
      <c r="AG918" s="91">
        <v>0</v>
      </c>
      <c r="AH918" s="76"/>
      <c r="AI918" s="76"/>
      <c r="AJ918" s="76"/>
      <c r="AK918" s="71">
        <v>0.15</v>
      </c>
      <c r="AL918" s="88">
        <v>3.4571664698130999E-2</v>
      </c>
      <c r="AM918" s="89">
        <f t="shared" si="14"/>
        <v>0.23047776465420666</v>
      </c>
      <c r="AN918" s="78"/>
    </row>
    <row r="919" spans="1:40" x14ac:dyDescent="0.25">
      <c r="A919" t="s">
        <v>44</v>
      </c>
      <c r="B919" t="s">
        <v>52</v>
      </c>
      <c r="C919" s="121" t="s">
        <v>174</v>
      </c>
      <c r="D919" t="s">
        <v>197</v>
      </c>
      <c r="E919" t="s">
        <v>63</v>
      </c>
      <c r="F919">
        <v>1</v>
      </c>
      <c r="G919">
        <v>40</v>
      </c>
      <c r="H919" s="86">
        <v>45970.549219016197</v>
      </c>
      <c r="I919" s="86">
        <v>45970.654711516203</v>
      </c>
      <c r="J919" s="87">
        <v>2.5318200000000002</v>
      </c>
      <c r="K919" s="69" t="s">
        <v>274</v>
      </c>
      <c r="L919" s="69"/>
      <c r="M919" s="71"/>
      <c r="N919" s="71"/>
      <c r="O919" s="71"/>
      <c r="P919" s="71" t="s">
        <v>275</v>
      </c>
      <c r="Q919" s="88">
        <v>-1.6597902644226101E-3</v>
      </c>
      <c r="R919" s="89" t="s">
        <v>276</v>
      </c>
      <c r="S919" s="89"/>
      <c r="T919">
        <v>7.5</v>
      </c>
      <c r="U919" s="76">
        <v>0.2</v>
      </c>
      <c r="V919">
        <v>10</v>
      </c>
      <c r="W919" s="90">
        <v>0.1</v>
      </c>
      <c r="X919" s="90"/>
      <c r="Y919" s="71"/>
      <c r="Z919" s="71"/>
      <c r="AA919" s="71"/>
      <c r="AB919" s="71"/>
      <c r="AC919" s="71"/>
      <c r="AD919" s="71"/>
      <c r="AE919" s="71"/>
      <c r="AF919" s="71"/>
      <c r="AG919" s="91">
        <v>0</v>
      </c>
      <c r="AH919" s="76"/>
      <c r="AI919" s="76"/>
      <c r="AJ919" s="76"/>
      <c r="AK919" s="71">
        <v>0.15</v>
      </c>
      <c r="AL919" s="88">
        <v>3.4571664698130999E-2</v>
      </c>
      <c r="AM919" s="89">
        <f t="shared" si="14"/>
        <v>0.23047776465420666</v>
      </c>
      <c r="AN919" s="78"/>
    </row>
    <row r="920" spans="1:40" x14ac:dyDescent="0.25">
      <c r="A920" t="s">
        <v>44</v>
      </c>
      <c r="B920" t="s">
        <v>52</v>
      </c>
      <c r="C920" s="121" t="s">
        <v>174</v>
      </c>
      <c r="D920" t="s">
        <v>197</v>
      </c>
      <c r="E920" t="s">
        <v>63</v>
      </c>
      <c r="F920">
        <v>1</v>
      </c>
      <c r="G920">
        <v>41</v>
      </c>
      <c r="H920" s="86">
        <v>45970.654711516203</v>
      </c>
      <c r="I920" s="86">
        <v>45970.7602129398</v>
      </c>
      <c r="J920" s="87">
        <v>2.5320341666666701</v>
      </c>
      <c r="K920" s="69" t="s">
        <v>274</v>
      </c>
      <c r="L920" s="69"/>
      <c r="M920" s="71"/>
      <c r="N920" s="71"/>
      <c r="O920" s="71"/>
      <c r="P920" s="71" t="s">
        <v>275</v>
      </c>
      <c r="Q920" s="88">
        <v>-1.5693043478138199E-3</v>
      </c>
      <c r="R920" s="89" t="s">
        <v>276</v>
      </c>
      <c r="S920" s="89"/>
      <c r="T920">
        <v>7</v>
      </c>
      <c r="U920" s="76">
        <v>0.2</v>
      </c>
      <c r="V920">
        <v>10.1</v>
      </c>
      <c r="W920" s="90">
        <v>0.1</v>
      </c>
      <c r="X920" s="90"/>
      <c r="Y920" s="71"/>
      <c r="Z920" s="71"/>
      <c r="AA920" s="71"/>
      <c r="AB920" s="71"/>
      <c r="AC920" s="71"/>
      <c r="AD920" s="71"/>
      <c r="AE920" s="71"/>
      <c r="AF920" s="71"/>
      <c r="AG920" s="91">
        <v>0</v>
      </c>
      <c r="AH920" s="76"/>
      <c r="AI920" s="76"/>
      <c r="AJ920" s="76"/>
      <c r="AK920" s="71">
        <v>0.15</v>
      </c>
      <c r="AL920" s="88">
        <v>3.4571664698130999E-2</v>
      </c>
      <c r="AM920" s="89">
        <f t="shared" si="14"/>
        <v>0.23047776465420666</v>
      </c>
      <c r="AN920" s="78"/>
    </row>
    <row r="921" spans="1:40" x14ac:dyDescent="0.25">
      <c r="A921" t="s">
        <v>44</v>
      </c>
      <c r="B921" t="s">
        <v>52</v>
      </c>
      <c r="C921" s="121" t="s">
        <v>174</v>
      </c>
      <c r="D921" t="s">
        <v>197</v>
      </c>
      <c r="E921" t="s">
        <v>63</v>
      </c>
      <c r="F921">
        <v>1</v>
      </c>
      <c r="G921">
        <v>42</v>
      </c>
      <c r="H921" s="86">
        <v>45970.7602129398</v>
      </c>
      <c r="I921" s="86">
        <v>45970.865732233797</v>
      </c>
      <c r="J921" s="87">
        <v>2.5324630555555601</v>
      </c>
      <c r="K921" s="69" t="s">
        <v>274</v>
      </c>
      <c r="L921" s="69"/>
      <c r="M921" s="71"/>
      <c r="N921" s="71"/>
      <c r="O921" s="71"/>
      <c r="P921" s="71" t="s">
        <v>275</v>
      </c>
      <c r="Q921" s="88">
        <v>-1.21628739557869E-3</v>
      </c>
      <c r="R921" s="89" t="s">
        <v>276</v>
      </c>
      <c r="S921" s="89"/>
      <c r="T921">
        <v>6.3</v>
      </c>
      <c r="U921" s="76">
        <v>0.2</v>
      </c>
      <c r="V921">
        <v>10.1</v>
      </c>
      <c r="W921" s="90">
        <v>0.1</v>
      </c>
      <c r="X921" s="90"/>
      <c r="Y921" s="71"/>
      <c r="Z921" s="71"/>
      <c r="AA921" s="71"/>
      <c r="AB921" s="71"/>
      <c r="AC921" s="71"/>
      <c r="AD921" s="71"/>
      <c r="AE921" s="71"/>
      <c r="AF921" s="71"/>
      <c r="AG921" s="91">
        <v>0</v>
      </c>
      <c r="AH921" s="76"/>
      <c r="AI921" s="76"/>
      <c r="AJ921" s="76"/>
      <c r="AK921" s="71">
        <v>0.15</v>
      </c>
      <c r="AL921" s="88">
        <v>3.4571664698130999E-2</v>
      </c>
      <c r="AM921" s="89">
        <f t="shared" si="14"/>
        <v>0.23047776465420666</v>
      </c>
      <c r="AN921" s="78"/>
    </row>
    <row r="922" spans="1:40" x14ac:dyDescent="0.25">
      <c r="A922" t="s">
        <v>44</v>
      </c>
      <c r="B922" t="s">
        <v>52</v>
      </c>
      <c r="C922" s="121" t="s">
        <v>174</v>
      </c>
      <c r="D922" t="s">
        <v>197</v>
      </c>
      <c r="E922" t="s">
        <v>63</v>
      </c>
      <c r="F922">
        <v>1</v>
      </c>
      <c r="G922">
        <v>43</v>
      </c>
      <c r="H922" s="86">
        <v>45970.865732233797</v>
      </c>
      <c r="I922" s="86">
        <v>45970.971232187498</v>
      </c>
      <c r="J922" s="87">
        <v>2.5319988888888898</v>
      </c>
      <c r="K922" s="69" t="s">
        <v>274</v>
      </c>
      <c r="L922" s="69"/>
      <c r="M922" s="71"/>
      <c r="N922" s="71"/>
      <c r="O922" s="71"/>
      <c r="P922" s="71" t="s">
        <v>275</v>
      </c>
      <c r="Q922" s="88">
        <v>-1.07781124702045E-3</v>
      </c>
      <c r="R922" s="89" t="s">
        <v>276</v>
      </c>
      <c r="S922" s="89"/>
      <c r="T922">
        <v>6.3</v>
      </c>
      <c r="U922" s="76">
        <v>0.2</v>
      </c>
      <c r="V922">
        <v>10</v>
      </c>
      <c r="W922" s="90">
        <v>0.1</v>
      </c>
      <c r="X922" s="90"/>
      <c r="Y922" s="71"/>
      <c r="Z922" s="71"/>
      <c r="AA922" s="71"/>
      <c r="AB922" s="71"/>
      <c r="AC922" s="71"/>
      <c r="AD922" s="71"/>
      <c r="AE922" s="71"/>
      <c r="AF922" s="71"/>
      <c r="AG922" s="91">
        <v>0</v>
      </c>
      <c r="AH922" s="76"/>
      <c r="AI922" s="76"/>
      <c r="AJ922" s="76"/>
      <c r="AK922" s="71">
        <v>0.15</v>
      </c>
      <c r="AL922" s="88">
        <v>3.4571664698130999E-2</v>
      </c>
      <c r="AM922" s="89">
        <f t="shared" si="14"/>
        <v>0.23047776465420666</v>
      </c>
      <c r="AN922" s="78"/>
    </row>
    <row r="923" spans="1:40" x14ac:dyDescent="0.25">
      <c r="A923" t="s">
        <v>44</v>
      </c>
      <c r="B923" t="s">
        <v>52</v>
      </c>
      <c r="C923" s="121" t="s">
        <v>174</v>
      </c>
      <c r="D923" t="s">
        <v>197</v>
      </c>
      <c r="E923" t="s">
        <v>63</v>
      </c>
      <c r="F923">
        <v>1</v>
      </c>
      <c r="G923">
        <v>44</v>
      </c>
      <c r="H923" s="86">
        <v>45970.971232187498</v>
      </c>
      <c r="I923" s="86">
        <v>45971.076735694398</v>
      </c>
      <c r="J923" s="87">
        <v>2.53208416666667</v>
      </c>
      <c r="K923" s="69" t="s">
        <v>274</v>
      </c>
      <c r="L923" s="69"/>
      <c r="M923" s="71"/>
      <c r="N923" s="71"/>
      <c r="O923" s="71"/>
      <c r="P923" s="71" t="s">
        <v>275</v>
      </c>
      <c r="Q923" s="88">
        <v>-1.19242451690337E-3</v>
      </c>
      <c r="R923" s="89" t="s">
        <v>276</v>
      </c>
      <c r="S923" s="89"/>
      <c r="T923">
        <v>5.0999999999999996</v>
      </c>
      <c r="U923" s="76">
        <v>0.2</v>
      </c>
      <c r="V923">
        <v>9.9</v>
      </c>
      <c r="W923" s="90">
        <v>0.1</v>
      </c>
      <c r="X923" s="90"/>
      <c r="Y923" s="71"/>
      <c r="Z923" s="71"/>
      <c r="AA923" s="71"/>
      <c r="AB923" s="71"/>
      <c r="AC923" s="71"/>
      <c r="AD923" s="71"/>
      <c r="AE923" s="71"/>
      <c r="AF923" s="71"/>
      <c r="AG923" s="91">
        <v>0</v>
      </c>
      <c r="AH923" s="76"/>
      <c r="AI923" s="76"/>
      <c r="AJ923" s="76"/>
      <c r="AK923" s="71">
        <v>0.15</v>
      </c>
      <c r="AL923" s="88">
        <v>3.4571664698130999E-2</v>
      </c>
      <c r="AM923" s="89">
        <f t="shared" si="14"/>
        <v>0.23047776465420666</v>
      </c>
      <c r="AN923" s="78"/>
    </row>
    <row r="924" spans="1:40" x14ac:dyDescent="0.25">
      <c r="A924" t="s">
        <v>44</v>
      </c>
      <c r="B924" t="s">
        <v>52</v>
      </c>
      <c r="C924" s="121" t="s">
        <v>174</v>
      </c>
      <c r="D924" t="s">
        <v>197</v>
      </c>
      <c r="E924" t="s">
        <v>63</v>
      </c>
      <c r="F924">
        <v>1</v>
      </c>
      <c r="G924">
        <v>45</v>
      </c>
      <c r="H924" s="86">
        <v>45971.076735694398</v>
      </c>
      <c r="I924" s="86">
        <v>45971.182236562498</v>
      </c>
      <c r="J924" s="87">
        <v>2.5320208333333301</v>
      </c>
      <c r="K924" s="69" t="s">
        <v>274</v>
      </c>
      <c r="L924" s="69"/>
      <c r="M924" s="71"/>
      <c r="N924" s="71"/>
      <c r="O924" s="71"/>
      <c r="P924" s="71" t="s">
        <v>275</v>
      </c>
      <c r="Q924" s="88">
        <v>-1.40597660678765E-3</v>
      </c>
      <c r="R924" s="89" t="s">
        <v>276</v>
      </c>
      <c r="S924" s="89"/>
      <c r="T924">
        <v>6.5</v>
      </c>
      <c r="U924" s="76">
        <v>0.2</v>
      </c>
      <c r="V924">
        <v>9.8000000000000007</v>
      </c>
      <c r="W924" s="90">
        <v>0.1</v>
      </c>
      <c r="X924" s="90"/>
      <c r="Y924" s="71"/>
      <c r="Z924" s="71"/>
      <c r="AA924" s="71"/>
      <c r="AB924" s="71"/>
      <c r="AC924" s="71"/>
      <c r="AD924" s="71"/>
      <c r="AE924" s="71"/>
      <c r="AF924" s="71"/>
      <c r="AG924" s="91">
        <v>0</v>
      </c>
      <c r="AH924" s="76"/>
      <c r="AI924" s="76"/>
      <c r="AJ924" s="76"/>
      <c r="AK924" s="71">
        <v>0.15</v>
      </c>
      <c r="AL924" s="88">
        <v>3.4571664698130999E-2</v>
      </c>
      <c r="AM924" s="89">
        <f t="shared" si="14"/>
        <v>0.23047776465420666</v>
      </c>
      <c r="AN924" s="78"/>
    </row>
    <row r="925" spans="1:40" x14ac:dyDescent="0.25">
      <c r="A925" t="s">
        <v>44</v>
      </c>
      <c r="B925" t="s">
        <v>52</v>
      </c>
      <c r="C925" s="121" t="s">
        <v>174</v>
      </c>
      <c r="D925" t="s">
        <v>197</v>
      </c>
      <c r="E925" t="s">
        <v>63</v>
      </c>
      <c r="F925">
        <v>1</v>
      </c>
      <c r="G925">
        <v>46</v>
      </c>
      <c r="H925" s="86">
        <v>45971.182236562498</v>
      </c>
      <c r="I925" s="86">
        <v>45971.287733900499</v>
      </c>
      <c r="J925" s="87">
        <v>2.5319361111111101</v>
      </c>
      <c r="K925" s="69" t="s">
        <v>274</v>
      </c>
      <c r="L925" s="69"/>
      <c r="M925" s="71"/>
      <c r="N925" s="71"/>
      <c r="O925" s="71"/>
      <c r="P925" s="71" t="s">
        <v>275</v>
      </c>
      <c r="Q925" s="88">
        <v>-1.5663664705599699E-3</v>
      </c>
      <c r="R925" s="89" t="s">
        <v>276</v>
      </c>
      <c r="S925" s="89"/>
      <c r="T925">
        <v>5.6</v>
      </c>
      <c r="U925" s="76">
        <v>0.2</v>
      </c>
      <c r="V925">
        <v>9.6999999999999993</v>
      </c>
      <c r="W925" s="90">
        <v>0.1</v>
      </c>
      <c r="X925" s="90"/>
      <c r="Y925" s="71"/>
      <c r="Z925" s="71"/>
      <c r="AA925" s="71"/>
      <c r="AB925" s="71"/>
      <c r="AC925" s="71"/>
      <c r="AD925" s="71"/>
      <c r="AE925" s="71"/>
      <c r="AF925" s="71"/>
      <c r="AG925" s="91">
        <v>0</v>
      </c>
      <c r="AH925" s="76"/>
      <c r="AI925" s="76"/>
      <c r="AJ925" s="76"/>
      <c r="AK925" s="71">
        <v>0.15</v>
      </c>
      <c r="AL925" s="88">
        <v>3.4571664698130999E-2</v>
      </c>
      <c r="AM925" s="89">
        <f t="shared" si="14"/>
        <v>0.23047776465420666</v>
      </c>
      <c r="AN925" s="78"/>
    </row>
    <row r="926" spans="1:40" x14ac:dyDescent="0.25">
      <c r="A926" t="s">
        <v>44</v>
      </c>
      <c r="B926" t="s">
        <v>52</v>
      </c>
      <c r="C926" s="121" t="s">
        <v>174</v>
      </c>
      <c r="D926" t="s">
        <v>197</v>
      </c>
      <c r="E926" t="s">
        <v>63</v>
      </c>
      <c r="F926">
        <v>1</v>
      </c>
      <c r="G926">
        <v>47</v>
      </c>
      <c r="H926" s="86">
        <v>45971.287733900499</v>
      </c>
      <c r="I926" s="86">
        <v>45971.393232893497</v>
      </c>
      <c r="J926" s="87">
        <v>2.53197583333333</v>
      </c>
      <c r="K926" s="69" t="s">
        <v>274</v>
      </c>
      <c r="L926" s="69"/>
      <c r="M926" s="71"/>
      <c r="N926" s="71"/>
      <c r="O926" s="71"/>
      <c r="P926" s="71" t="s">
        <v>275</v>
      </c>
      <c r="Q926" s="88">
        <v>-1.36882076661909E-3</v>
      </c>
      <c r="R926" s="89" t="s">
        <v>276</v>
      </c>
      <c r="S926" s="89"/>
      <c r="T926">
        <v>6</v>
      </c>
      <c r="U926" s="76">
        <v>0.2</v>
      </c>
      <c r="V926">
        <v>9.6</v>
      </c>
      <c r="W926" s="90">
        <v>0.1</v>
      </c>
      <c r="X926" s="90"/>
      <c r="Y926" s="71"/>
      <c r="Z926" s="71"/>
      <c r="AA926" s="71"/>
      <c r="AB926" s="71"/>
      <c r="AC926" s="71"/>
      <c r="AD926" s="71"/>
      <c r="AE926" s="71"/>
      <c r="AF926" s="71"/>
      <c r="AG926" s="91">
        <v>0</v>
      </c>
      <c r="AH926" s="76"/>
      <c r="AI926" s="76"/>
      <c r="AJ926" s="76"/>
      <c r="AK926" s="71">
        <v>0.15</v>
      </c>
      <c r="AL926" s="88">
        <v>3.4571664698130999E-2</v>
      </c>
      <c r="AM926" s="89">
        <f t="shared" si="14"/>
        <v>0.23047776465420666</v>
      </c>
      <c r="AN926" s="78"/>
    </row>
    <row r="927" spans="1:40" x14ac:dyDescent="0.25">
      <c r="A927" t="s">
        <v>44</v>
      </c>
      <c r="B927" t="s">
        <v>52</v>
      </c>
      <c r="C927" s="121" t="s">
        <v>174</v>
      </c>
      <c r="D927" t="s">
        <v>197</v>
      </c>
      <c r="E927" t="s">
        <v>63</v>
      </c>
      <c r="F927">
        <v>1</v>
      </c>
      <c r="G927">
        <v>48</v>
      </c>
      <c r="H927" s="86">
        <v>45971.393232893497</v>
      </c>
      <c r="I927" s="86">
        <v>45971.498734768502</v>
      </c>
      <c r="J927" s="87">
        <v>2.5320450000000001</v>
      </c>
      <c r="K927" s="69" t="s">
        <v>274</v>
      </c>
      <c r="L927" s="69"/>
      <c r="M927" s="71"/>
      <c r="N927" s="71"/>
      <c r="O927" s="71"/>
      <c r="P927" s="71" t="s">
        <v>275</v>
      </c>
      <c r="Q927" s="88">
        <v>-1.36259721855377E-3</v>
      </c>
      <c r="R927" s="89" t="s">
        <v>276</v>
      </c>
      <c r="S927" s="89"/>
      <c r="T927">
        <v>5.7</v>
      </c>
      <c r="U927" s="76">
        <v>0.2</v>
      </c>
      <c r="V927">
        <v>9.5</v>
      </c>
      <c r="W927" s="90">
        <v>0.1</v>
      </c>
      <c r="X927" s="90"/>
      <c r="Y927" s="71"/>
      <c r="Z927" s="71"/>
      <c r="AA927" s="71"/>
      <c r="AB927" s="71"/>
      <c r="AC927" s="71"/>
      <c r="AD927" s="71"/>
      <c r="AE927" s="71"/>
      <c r="AF927" s="71"/>
      <c r="AG927" s="91">
        <v>0</v>
      </c>
      <c r="AH927" s="76"/>
      <c r="AI927" s="76"/>
      <c r="AJ927" s="76"/>
      <c r="AK927" s="71">
        <v>0.15</v>
      </c>
      <c r="AL927" s="88">
        <v>3.4571664698130999E-2</v>
      </c>
      <c r="AM927" s="89">
        <f t="shared" si="14"/>
        <v>0.23047776465420666</v>
      </c>
      <c r="AN927" s="78"/>
    </row>
    <row r="928" spans="1:40" x14ac:dyDescent="0.25">
      <c r="A928" t="s">
        <v>44</v>
      </c>
      <c r="B928" t="s">
        <v>52</v>
      </c>
      <c r="C928" s="121" t="s">
        <v>174</v>
      </c>
      <c r="D928" t="s">
        <v>197</v>
      </c>
      <c r="E928" t="s">
        <v>63</v>
      </c>
      <c r="F928">
        <v>1</v>
      </c>
      <c r="G928">
        <v>49</v>
      </c>
      <c r="H928" s="86">
        <v>45971.498734768502</v>
      </c>
      <c r="I928" s="86">
        <v>45971.604243113397</v>
      </c>
      <c r="J928" s="87">
        <v>2.5322002777777799</v>
      </c>
      <c r="K928" s="69" t="s">
        <v>274</v>
      </c>
      <c r="L928" s="69"/>
      <c r="M928" s="71"/>
      <c r="N928" s="71"/>
      <c r="O928" s="71"/>
      <c r="P928" s="71" t="s">
        <v>275</v>
      </c>
      <c r="Q928" s="88">
        <v>-2.4671268835621501E-3</v>
      </c>
      <c r="R928" s="89" t="s">
        <v>276</v>
      </c>
      <c r="S928" s="89"/>
      <c r="T928">
        <v>10</v>
      </c>
      <c r="U928" s="76">
        <v>0.2</v>
      </c>
      <c r="V928">
        <v>9.5</v>
      </c>
      <c r="W928" s="90">
        <v>0.1</v>
      </c>
      <c r="X928" s="90"/>
      <c r="Y928" s="71"/>
      <c r="Z928" s="71"/>
      <c r="AA928" s="71"/>
      <c r="AB928" s="71"/>
      <c r="AC928" s="71"/>
      <c r="AD928" s="71"/>
      <c r="AE928" s="71"/>
      <c r="AF928" s="71"/>
      <c r="AG928" s="91">
        <v>0</v>
      </c>
      <c r="AH928" s="76"/>
      <c r="AI928" s="76"/>
      <c r="AJ928" s="76"/>
      <c r="AK928" s="71">
        <v>0.15</v>
      </c>
      <c r="AL928" s="88">
        <v>3.4571664698130999E-2</v>
      </c>
      <c r="AM928" s="89">
        <f t="shared" si="14"/>
        <v>0.23047776465420666</v>
      </c>
      <c r="AN928" s="78"/>
    </row>
    <row r="929" spans="1:40" x14ac:dyDescent="0.25">
      <c r="A929" t="s">
        <v>44</v>
      </c>
      <c r="B929" t="s">
        <v>52</v>
      </c>
      <c r="C929" s="121" t="s">
        <v>174</v>
      </c>
      <c r="D929" t="s">
        <v>197</v>
      </c>
      <c r="E929" t="s">
        <v>63</v>
      </c>
      <c r="F929">
        <v>1</v>
      </c>
      <c r="G929">
        <v>50</v>
      </c>
      <c r="H929" s="86">
        <v>45971.604243113397</v>
      </c>
      <c r="I929" s="86">
        <v>45971.709742164399</v>
      </c>
      <c r="J929" s="87">
        <v>2.5319772222222201</v>
      </c>
      <c r="K929" s="69" t="s">
        <v>274</v>
      </c>
      <c r="L929" s="69"/>
      <c r="M929" s="71"/>
      <c r="N929" s="71"/>
      <c r="O929" s="71"/>
      <c r="P929" s="71" t="s">
        <v>275</v>
      </c>
      <c r="Q929" s="88">
        <v>4.8588859112137499E-5</v>
      </c>
      <c r="R929" s="89" t="s">
        <v>276</v>
      </c>
      <c r="S929" s="89"/>
      <c r="T929">
        <v>8.6</v>
      </c>
      <c r="U929" s="76">
        <v>0.2</v>
      </c>
      <c r="V929">
        <v>9.6999999999999993</v>
      </c>
      <c r="W929" s="90">
        <v>0.1</v>
      </c>
      <c r="X929" s="90"/>
      <c r="Y929" s="71"/>
      <c r="Z929" s="71"/>
      <c r="AA929" s="71"/>
      <c r="AB929" s="71"/>
      <c r="AC929" s="71"/>
      <c r="AD929" s="71"/>
      <c r="AE929" s="71"/>
      <c r="AF929" s="71"/>
      <c r="AG929" s="91">
        <v>0</v>
      </c>
      <c r="AH929" s="76"/>
      <c r="AI929" s="76"/>
      <c r="AJ929" s="76"/>
      <c r="AK929" s="71">
        <v>0.15</v>
      </c>
      <c r="AL929" s="88">
        <v>3.4571664698130999E-2</v>
      </c>
      <c r="AM929" s="89">
        <f t="shared" si="14"/>
        <v>0.23047776465420666</v>
      </c>
      <c r="AN929" s="78"/>
    </row>
    <row r="930" spans="1:40" x14ac:dyDescent="0.25">
      <c r="A930" t="s">
        <v>44</v>
      </c>
      <c r="B930" t="s">
        <v>52</v>
      </c>
      <c r="C930" s="121" t="s">
        <v>174</v>
      </c>
      <c r="D930" t="s">
        <v>197</v>
      </c>
      <c r="E930" t="s">
        <v>63</v>
      </c>
      <c r="F930">
        <v>1</v>
      </c>
      <c r="G930">
        <v>51</v>
      </c>
      <c r="H930" s="86">
        <v>45971.709742164399</v>
      </c>
      <c r="I930" s="86">
        <v>45971.815266088</v>
      </c>
      <c r="J930" s="87">
        <v>2.5325741666666701</v>
      </c>
      <c r="K930" s="69" t="s">
        <v>274</v>
      </c>
      <c r="L930" s="69"/>
      <c r="M930" s="71"/>
      <c r="N930" s="71"/>
      <c r="O930" s="71"/>
      <c r="P930" s="71" t="s">
        <v>275</v>
      </c>
      <c r="Q930" s="88">
        <v>-1.8561897097932399E-4</v>
      </c>
      <c r="R930" s="89" t="s">
        <v>276</v>
      </c>
      <c r="S930" s="89"/>
      <c r="T930">
        <v>8.1999999999999993</v>
      </c>
      <c r="U930" s="76">
        <v>0.2</v>
      </c>
      <c r="V930">
        <v>9.8000000000000007</v>
      </c>
      <c r="W930" s="90">
        <v>0.1</v>
      </c>
      <c r="X930" s="90"/>
      <c r="Y930" s="71"/>
      <c r="Z930" s="71"/>
      <c r="AA930" s="71"/>
      <c r="AB930" s="71"/>
      <c r="AC930" s="71"/>
      <c r="AD930" s="71"/>
      <c r="AE930" s="71"/>
      <c r="AF930" s="71"/>
      <c r="AG930" s="91">
        <v>0</v>
      </c>
      <c r="AH930" s="76"/>
      <c r="AI930" s="76"/>
      <c r="AJ930" s="76"/>
      <c r="AK930" s="71">
        <v>0.15</v>
      </c>
      <c r="AL930" s="88">
        <v>3.4571664698130999E-2</v>
      </c>
      <c r="AM930" s="89">
        <f t="shared" si="14"/>
        <v>0.23047776465420666</v>
      </c>
      <c r="AN930" s="78"/>
    </row>
    <row r="931" spans="1:40" x14ac:dyDescent="0.25">
      <c r="A931" t="s">
        <v>44</v>
      </c>
      <c r="B931" t="s">
        <v>52</v>
      </c>
      <c r="C931" s="121" t="s">
        <v>174</v>
      </c>
      <c r="D931" t="s">
        <v>197</v>
      </c>
      <c r="E931" t="s">
        <v>63</v>
      </c>
      <c r="F931">
        <v>1</v>
      </c>
      <c r="G931">
        <v>52</v>
      </c>
      <c r="H931" s="86">
        <v>45971.815266088</v>
      </c>
      <c r="I931" s="86">
        <v>45971.920790763899</v>
      </c>
      <c r="J931" s="87">
        <v>2.5325922222222199</v>
      </c>
      <c r="K931" s="69" t="s">
        <v>274</v>
      </c>
      <c r="L931" s="69"/>
      <c r="M931" s="71"/>
      <c r="N931" s="71"/>
      <c r="O931" s="71"/>
      <c r="P931" s="71" t="s">
        <v>275</v>
      </c>
      <c r="Q931" s="88">
        <v>-3.74809243118E-4</v>
      </c>
      <c r="R931" s="89" t="s">
        <v>276</v>
      </c>
      <c r="S931" s="89"/>
      <c r="T931">
        <v>7.8</v>
      </c>
      <c r="U931" s="76">
        <v>0.2</v>
      </c>
      <c r="V931">
        <v>9.8000000000000007</v>
      </c>
      <c r="W931" s="90">
        <v>0.1</v>
      </c>
      <c r="X931" s="90"/>
      <c r="Y931" s="71"/>
      <c r="Z931" s="71"/>
      <c r="AA931" s="71"/>
      <c r="AB931" s="71"/>
      <c r="AC931" s="71"/>
      <c r="AD931" s="71"/>
      <c r="AE931" s="71"/>
      <c r="AF931" s="71"/>
      <c r="AG931" s="91">
        <v>0</v>
      </c>
      <c r="AH931" s="76"/>
      <c r="AI931" s="76"/>
      <c r="AJ931" s="76"/>
      <c r="AK931" s="71">
        <v>0.15</v>
      </c>
      <c r="AL931" s="88">
        <v>3.4571664698130999E-2</v>
      </c>
      <c r="AM931" s="89">
        <f t="shared" si="14"/>
        <v>0.23047776465420666</v>
      </c>
      <c r="AN931" s="78"/>
    </row>
    <row r="932" spans="1:40" x14ac:dyDescent="0.25">
      <c r="A932" t="s">
        <v>44</v>
      </c>
      <c r="B932" t="s">
        <v>52</v>
      </c>
      <c r="C932" s="121" t="s">
        <v>174</v>
      </c>
      <c r="D932" t="s">
        <v>197</v>
      </c>
      <c r="E932" t="s">
        <v>63</v>
      </c>
      <c r="F932">
        <v>1</v>
      </c>
      <c r="G932">
        <v>53</v>
      </c>
      <c r="H932" s="86">
        <v>45971.920790763899</v>
      </c>
      <c r="I932" s="86">
        <v>45972.0263123611</v>
      </c>
      <c r="J932" s="87">
        <v>2.5325183333333299</v>
      </c>
      <c r="K932" s="69" t="s">
        <v>274</v>
      </c>
      <c r="L932" s="69"/>
      <c r="M932" s="71"/>
      <c r="N932" s="71"/>
      <c r="O932" s="71"/>
      <c r="P932" s="71" t="s">
        <v>275</v>
      </c>
      <c r="Q932" s="88">
        <v>-2.7171273218015398E-4</v>
      </c>
      <c r="R932" s="89" t="s">
        <v>276</v>
      </c>
      <c r="S932" s="89"/>
      <c r="T932">
        <v>7.9</v>
      </c>
      <c r="U932" s="76">
        <v>0.2</v>
      </c>
      <c r="V932">
        <v>9.8000000000000007</v>
      </c>
      <c r="W932" s="90">
        <v>0.1</v>
      </c>
      <c r="X932" s="90"/>
      <c r="Y932" s="71"/>
      <c r="Z932" s="71"/>
      <c r="AA932" s="71"/>
      <c r="AB932" s="71"/>
      <c r="AC932" s="71"/>
      <c r="AD932" s="71"/>
      <c r="AE932" s="71"/>
      <c r="AF932" s="71"/>
      <c r="AG932" s="91">
        <v>0</v>
      </c>
      <c r="AH932" s="76"/>
      <c r="AI932" s="76"/>
      <c r="AJ932" s="76"/>
      <c r="AK932" s="71">
        <v>0.15</v>
      </c>
      <c r="AL932" s="88">
        <v>3.4571664698130999E-2</v>
      </c>
      <c r="AM932" s="89">
        <f t="shared" si="14"/>
        <v>0.23047776465420666</v>
      </c>
      <c r="AN932" s="78"/>
    </row>
    <row r="933" spans="1:40" x14ac:dyDescent="0.25">
      <c r="A933" t="s">
        <v>44</v>
      </c>
      <c r="B933" t="s">
        <v>52</v>
      </c>
      <c r="C933" s="121" t="s">
        <v>174</v>
      </c>
      <c r="D933" t="s">
        <v>197</v>
      </c>
      <c r="E933" t="s">
        <v>63</v>
      </c>
      <c r="F933">
        <v>1</v>
      </c>
      <c r="G933">
        <v>54</v>
      </c>
      <c r="H933" s="86">
        <v>45972.0263123611</v>
      </c>
      <c r="I933" s="86">
        <v>45972.131838761597</v>
      </c>
      <c r="J933" s="87">
        <v>2.5326336111111099</v>
      </c>
      <c r="K933" s="69" t="s">
        <v>274</v>
      </c>
      <c r="L933" s="69"/>
      <c r="M933" s="71"/>
      <c r="N933" s="71"/>
      <c r="O933" s="71"/>
      <c r="P933" s="71" t="s">
        <v>275</v>
      </c>
      <c r="Q933" s="88">
        <v>-4.9917757319102303E-4</v>
      </c>
      <c r="R933" s="89" t="s">
        <v>276</v>
      </c>
      <c r="S933" s="89"/>
      <c r="T933">
        <v>6.3</v>
      </c>
      <c r="U933" s="76">
        <v>0.2</v>
      </c>
      <c r="V933">
        <v>9.6</v>
      </c>
      <c r="W933" s="90">
        <v>0.1</v>
      </c>
      <c r="X933" s="90"/>
      <c r="Y933" s="71"/>
      <c r="Z933" s="71"/>
      <c r="AA933" s="71"/>
      <c r="AB933" s="71"/>
      <c r="AC933" s="71"/>
      <c r="AD933" s="71"/>
      <c r="AE933" s="71"/>
      <c r="AF933" s="71"/>
      <c r="AG933" s="91">
        <v>0</v>
      </c>
      <c r="AH933" s="76"/>
      <c r="AI933" s="76"/>
      <c r="AJ933" s="76"/>
      <c r="AK933" s="71">
        <v>0.15</v>
      </c>
      <c r="AL933" s="88">
        <v>3.4571664698130999E-2</v>
      </c>
      <c r="AM933" s="89">
        <f t="shared" si="14"/>
        <v>0.23047776465420666</v>
      </c>
      <c r="AN933" s="78"/>
    </row>
    <row r="934" spans="1:40" x14ac:dyDescent="0.25">
      <c r="A934" t="s">
        <v>44</v>
      </c>
      <c r="B934" t="s">
        <v>52</v>
      </c>
      <c r="C934" s="121" t="s">
        <v>174</v>
      </c>
      <c r="D934" t="s">
        <v>197</v>
      </c>
      <c r="E934" t="s">
        <v>63</v>
      </c>
      <c r="F934">
        <v>1</v>
      </c>
      <c r="G934">
        <v>55</v>
      </c>
      <c r="H934" s="86">
        <v>45972.131838761597</v>
      </c>
      <c r="I934" s="86">
        <v>45972.2373616435</v>
      </c>
      <c r="J934" s="87">
        <v>2.5325491666666702</v>
      </c>
      <c r="K934" s="69" t="s">
        <v>274</v>
      </c>
      <c r="L934" s="69"/>
      <c r="M934" s="71"/>
      <c r="N934" s="71"/>
      <c r="O934" s="71"/>
      <c r="P934" s="71" t="s">
        <v>275</v>
      </c>
      <c r="Q934" s="88">
        <v>-4.5650756952796601E-4</v>
      </c>
      <c r="R934" s="89" t="s">
        <v>276</v>
      </c>
      <c r="S934" s="89"/>
      <c r="T934">
        <v>5.9</v>
      </c>
      <c r="U934" s="76">
        <v>0.2</v>
      </c>
      <c r="V934">
        <v>9.5</v>
      </c>
      <c r="W934" s="90">
        <v>0.1</v>
      </c>
      <c r="X934" s="90"/>
      <c r="Y934" s="71"/>
      <c r="Z934" s="71"/>
      <c r="AA934" s="71"/>
      <c r="AB934" s="71"/>
      <c r="AC934" s="71"/>
      <c r="AD934" s="71"/>
      <c r="AE934" s="71"/>
      <c r="AF934" s="71"/>
      <c r="AG934" s="91">
        <v>0</v>
      </c>
      <c r="AH934" s="76"/>
      <c r="AI934" s="76"/>
      <c r="AJ934" s="76"/>
      <c r="AK934" s="71">
        <v>0.15</v>
      </c>
      <c r="AL934" s="88">
        <v>3.4571664698130999E-2</v>
      </c>
      <c r="AM934" s="89">
        <f t="shared" si="14"/>
        <v>0.23047776465420666</v>
      </c>
      <c r="AN934" s="78"/>
    </row>
    <row r="935" spans="1:40" x14ac:dyDescent="0.25">
      <c r="A935" t="s">
        <v>44</v>
      </c>
      <c r="B935" t="s">
        <v>52</v>
      </c>
      <c r="C935" s="121" t="s">
        <v>174</v>
      </c>
      <c r="D935" t="s">
        <v>197</v>
      </c>
      <c r="E935" t="s">
        <v>63</v>
      </c>
      <c r="F935">
        <v>1</v>
      </c>
      <c r="G935">
        <v>56</v>
      </c>
      <c r="H935" s="86">
        <v>45972.2373616435</v>
      </c>
      <c r="I935" s="86">
        <v>45972.342884745398</v>
      </c>
      <c r="J935" s="87">
        <v>2.5325544444444499</v>
      </c>
      <c r="K935" s="69" t="s">
        <v>274</v>
      </c>
      <c r="L935" s="69"/>
      <c r="M935" s="71"/>
      <c r="N935" s="71"/>
      <c r="O935" s="71"/>
      <c r="P935" s="71" t="s">
        <v>275</v>
      </c>
      <c r="Q935" s="88">
        <v>-5.0386740223856501E-4</v>
      </c>
      <c r="R935" s="89" t="s">
        <v>276</v>
      </c>
      <c r="S935" s="89"/>
      <c r="T935">
        <v>6.6</v>
      </c>
      <c r="U935" s="76">
        <v>0.2</v>
      </c>
      <c r="V935">
        <v>9.4</v>
      </c>
      <c r="W935" s="90">
        <v>0.1</v>
      </c>
      <c r="X935" s="90"/>
      <c r="Y935" s="71"/>
      <c r="Z935" s="71"/>
      <c r="AA935" s="71"/>
      <c r="AB935" s="71"/>
      <c r="AC935" s="71"/>
      <c r="AD935" s="71"/>
      <c r="AE935" s="71"/>
      <c r="AF935" s="71"/>
      <c r="AG935" s="91">
        <v>0</v>
      </c>
      <c r="AH935" s="76"/>
      <c r="AI935" s="76"/>
      <c r="AJ935" s="76"/>
      <c r="AK935" s="71">
        <v>0.15</v>
      </c>
      <c r="AL935" s="88">
        <v>3.4571664698130999E-2</v>
      </c>
      <c r="AM935" s="89">
        <f t="shared" si="14"/>
        <v>0.23047776465420666</v>
      </c>
      <c r="AN935" s="78"/>
    </row>
    <row r="936" spans="1:40" x14ac:dyDescent="0.25">
      <c r="A936" t="s">
        <v>44</v>
      </c>
      <c r="B936" t="s">
        <v>52</v>
      </c>
      <c r="C936" s="121" t="s">
        <v>174</v>
      </c>
      <c r="D936" t="s">
        <v>197</v>
      </c>
      <c r="E936" t="s">
        <v>63</v>
      </c>
      <c r="F936">
        <v>1</v>
      </c>
      <c r="G936">
        <v>57</v>
      </c>
      <c r="H936" s="86">
        <v>45972.342884745398</v>
      </c>
      <c r="I936" s="86">
        <v>45972.448408969904</v>
      </c>
      <c r="J936" s="87">
        <v>2.53258138888889</v>
      </c>
      <c r="K936" s="69" t="s">
        <v>274</v>
      </c>
      <c r="L936" s="69"/>
      <c r="M936" s="71"/>
      <c r="N936" s="71"/>
      <c r="O936" s="71"/>
      <c r="P936" s="71" t="s">
        <v>275</v>
      </c>
      <c r="Q936" s="88">
        <v>-4.70774920439063E-4</v>
      </c>
      <c r="R936" s="89" t="s">
        <v>276</v>
      </c>
      <c r="S936" s="89"/>
      <c r="T936">
        <v>7.2</v>
      </c>
      <c r="U936" s="76">
        <v>0.2</v>
      </c>
      <c r="V936">
        <v>9.3000000000000007</v>
      </c>
      <c r="W936" s="90">
        <v>0.1</v>
      </c>
      <c r="X936" s="90"/>
      <c r="Y936" s="71"/>
      <c r="Z936" s="71"/>
      <c r="AA936" s="71"/>
      <c r="AB936" s="71"/>
      <c r="AC936" s="71"/>
      <c r="AD936" s="71"/>
      <c r="AE936" s="71"/>
      <c r="AF936" s="71"/>
      <c r="AG936" s="91">
        <v>0</v>
      </c>
      <c r="AH936" s="76"/>
      <c r="AI936" s="76"/>
      <c r="AJ936" s="76"/>
      <c r="AK936" s="71">
        <v>0.15</v>
      </c>
      <c r="AL936" s="88">
        <v>3.4571664698130999E-2</v>
      </c>
      <c r="AM936" s="89">
        <f t="shared" si="14"/>
        <v>0.23047776465420666</v>
      </c>
      <c r="AN936" s="78"/>
    </row>
    <row r="937" spans="1:40" x14ac:dyDescent="0.25">
      <c r="A937" t="s">
        <v>44</v>
      </c>
      <c r="B937" t="s">
        <v>52</v>
      </c>
      <c r="C937" s="121" t="s">
        <v>174</v>
      </c>
      <c r="D937" t="s">
        <v>197</v>
      </c>
      <c r="E937" t="s">
        <v>63</v>
      </c>
      <c r="F937">
        <v>1</v>
      </c>
      <c r="G937">
        <v>58</v>
      </c>
      <c r="H937" s="86">
        <v>45972.448408969904</v>
      </c>
      <c r="I937" s="86">
        <v>45972.553938877303</v>
      </c>
      <c r="J937" s="87">
        <v>2.5327177777777798</v>
      </c>
      <c r="K937" s="69" t="s">
        <v>274</v>
      </c>
      <c r="L937" s="69"/>
      <c r="M937" s="71"/>
      <c r="N937" s="71"/>
      <c r="O937" s="71"/>
      <c r="P937" s="71" t="s">
        <v>275</v>
      </c>
      <c r="Q937" s="88">
        <v>4.3602956280448498E-5</v>
      </c>
      <c r="R937" s="89" t="s">
        <v>276</v>
      </c>
      <c r="S937" s="89"/>
      <c r="T937">
        <v>8</v>
      </c>
      <c r="U937" s="76">
        <v>0.2</v>
      </c>
      <c r="V937">
        <v>9.3000000000000007</v>
      </c>
      <c r="W937" s="90">
        <v>0.1</v>
      </c>
      <c r="X937" s="90"/>
      <c r="Y937" s="71"/>
      <c r="Z937" s="71"/>
      <c r="AA937" s="71"/>
      <c r="AB937" s="71"/>
      <c r="AC937" s="71"/>
      <c r="AD937" s="71"/>
      <c r="AE937" s="71"/>
      <c r="AF937" s="71"/>
      <c r="AG937" s="91">
        <v>0</v>
      </c>
      <c r="AH937" s="76"/>
      <c r="AI937" s="76"/>
      <c r="AJ937" s="76"/>
      <c r="AK937" s="71">
        <v>0.15</v>
      </c>
      <c r="AL937" s="88">
        <v>3.4571664698130999E-2</v>
      </c>
      <c r="AM937" s="89">
        <f t="shared" si="14"/>
        <v>0.23047776465420666</v>
      </c>
      <c r="AN937" s="78"/>
    </row>
    <row r="938" spans="1:40" x14ac:dyDescent="0.25">
      <c r="A938" t="s">
        <v>44</v>
      </c>
      <c r="B938" t="s">
        <v>52</v>
      </c>
      <c r="C938" s="121" t="s">
        <v>174</v>
      </c>
      <c r="D938" t="s">
        <v>197</v>
      </c>
      <c r="E938" t="s">
        <v>63</v>
      </c>
      <c r="F938">
        <v>1</v>
      </c>
      <c r="G938">
        <v>59</v>
      </c>
      <c r="H938" s="86">
        <v>45972.553938877303</v>
      </c>
      <c r="I938" s="86">
        <v>45972.659467858801</v>
      </c>
      <c r="J938" s="87">
        <v>2.5326955555555601</v>
      </c>
      <c r="K938" s="69" t="s">
        <v>274</v>
      </c>
      <c r="L938" s="69"/>
      <c r="M938" s="71"/>
      <c r="N938" s="71"/>
      <c r="O938" s="71"/>
      <c r="P938" s="71" t="s">
        <v>275</v>
      </c>
      <c r="Q938" s="88">
        <v>1.35704175343662E-3</v>
      </c>
      <c r="R938" s="89" t="s">
        <v>276</v>
      </c>
      <c r="S938" s="89"/>
      <c r="T938">
        <v>9.1</v>
      </c>
      <c r="U938" s="76">
        <v>0.2</v>
      </c>
      <c r="V938">
        <v>9.3000000000000007</v>
      </c>
      <c r="W938" s="90">
        <v>0.1</v>
      </c>
      <c r="X938" s="90"/>
      <c r="Y938" s="71"/>
      <c r="Z938" s="71"/>
      <c r="AA938" s="71"/>
      <c r="AB938" s="71"/>
      <c r="AC938" s="71"/>
      <c r="AD938" s="71"/>
      <c r="AE938" s="71"/>
      <c r="AF938" s="71"/>
      <c r="AG938" s="91">
        <v>0</v>
      </c>
      <c r="AH938" s="76"/>
      <c r="AI938" s="76"/>
      <c r="AJ938" s="76"/>
      <c r="AK938" s="71">
        <v>0.15</v>
      </c>
      <c r="AL938" s="88">
        <v>3.4571664698130999E-2</v>
      </c>
      <c r="AM938" s="89">
        <f t="shared" si="14"/>
        <v>0.23047776465420666</v>
      </c>
      <c r="AN938" s="78"/>
    </row>
    <row r="939" spans="1:40" x14ac:dyDescent="0.25">
      <c r="A939" t="s">
        <v>44</v>
      </c>
      <c r="B939" t="s">
        <v>52</v>
      </c>
      <c r="C939" s="121" t="s">
        <v>174</v>
      </c>
      <c r="D939" t="s">
        <v>197</v>
      </c>
      <c r="E939" t="s">
        <v>63</v>
      </c>
      <c r="F939">
        <v>1</v>
      </c>
      <c r="G939">
        <v>60</v>
      </c>
      <c r="H939" s="86">
        <v>45972.659467858801</v>
      </c>
      <c r="I939" s="86">
        <v>45972.764988067102</v>
      </c>
      <c r="J939" s="87">
        <v>2.5324849999999999</v>
      </c>
      <c r="K939" s="69" t="s">
        <v>274</v>
      </c>
      <c r="L939" s="69"/>
      <c r="M939" s="71"/>
      <c r="N939" s="71"/>
      <c r="O939" s="71"/>
      <c r="P939" s="71" t="s">
        <v>275</v>
      </c>
      <c r="Q939" s="88">
        <v>4.9307537894303498E-4</v>
      </c>
      <c r="R939" s="89" t="s">
        <v>276</v>
      </c>
      <c r="S939" s="89"/>
      <c r="T939">
        <v>8.6</v>
      </c>
      <c r="U939" s="76">
        <v>0.2</v>
      </c>
      <c r="V939">
        <v>9.5</v>
      </c>
      <c r="W939" s="90">
        <v>0.1</v>
      </c>
      <c r="X939" s="90"/>
      <c r="Y939" s="71"/>
      <c r="Z939" s="71"/>
      <c r="AA939" s="71"/>
      <c r="AB939" s="71"/>
      <c r="AC939" s="71"/>
      <c r="AD939" s="71"/>
      <c r="AE939" s="71"/>
      <c r="AF939" s="71"/>
      <c r="AG939" s="91">
        <v>0</v>
      </c>
      <c r="AH939" s="76"/>
      <c r="AI939" s="76"/>
      <c r="AJ939" s="76"/>
      <c r="AK939" s="71">
        <v>0.15</v>
      </c>
      <c r="AL939" s="88">
        <v>3.4571664698130999E-2</v>
      </c>
      <c r="AM939" s="89">
        <f t="shared" si="14"/>
        <v>0.23047776465420666</v>
      </c>
      <c r="AN939" s="78"/>
    </row>
    <row r="940" spans="1:40" x14ac:dyDescent="0.25">
      <c r="A940" t="s">
        <v>44</v>
      </c>
      <c r="B940" t="s">
        <v>52</v>
      </c>
      <c r="C940" s="121" t="s">
        <v>174</v>
      </c>
      <c r="D940" t="s">
        <v>197</v>
      </c>
      <c r="E940" t="s">
        <v>63</v>
      </c>
      <c r="F940">
        <v>1</v>
      </c>
      <c r="G940">
        <v>61</v>
      </c>
      <c r="H940" s="86">
        <v>45972.764988067102</v>
      </c>
      <c r="I940" s="86">
        <v>45972.870516099501</v>
      </c>
      <c r="J940" s="87">
        <v>2.5326727777777802</v>
      </c>
      <c r="K940" s="69" t="s">
        <v>274</v>
      </c>
      <c r="L940" s="69"/>
      <c r="M940" s="71"/>
      <c r="N940" s="71"/>
      <c r="O940" s="71"/>
      <c r="P940" s="71" t="s">
        <v>275</v>
      </c>
      <c r="Q940" s="88">
        <v>-8.5351744811024206E-5</v>
      </c>
      <c r="R940" s="89" t="s">
        <v>276</v>
      </c>
      <c r="S940" s="89"/>
      <c r="T940">
        <v>8</v>
      </c>
      <c r="U940" s="76">
        <v>0.2</v>
      </c>
      <c r="V940">
        <v>9.5</v>
      </c>
      <c r="W940" s="90">
        <v>0.1</v>
      </c>
      <c r="X940" s="90"/>
      <c r="Y940" s="71"/>
      <c r="Z940" s="71"/>
      <c r="AA940" s="71"/>
      <c r="AB940" s="71"/>
      <c r="AC940" s="71"/>
      <c r="AD940" s="71"/>
      <c r="AE940" s="71"/>
      <c r="AF940" s="71"/>
      <c r="AG940" s="91">
        <v>0</v>
      </c>
      <c r="AH940" s="76"/>
      <c r="AI940" s="76"/>
      <c r="AJ940" s="76"/>
      <c r="AK940" s="71">
        <v>0.15</v>
      </c>
      <c r="AL940" s="88">
        <v>3.4571664698130999E-2</v>
      </c>
      <c r="AM940" s="89">
        <f t="shared" si="14"/>
        <v>0.23047776465420666</v>
      </c>
      <c r="AN940" s="78"/>
    </row>
    <row r="941" spans="1:40" x14ac:dyDescent="0.25">
      <c r="A941" t="s">
        <v>44</v>
      </c>
      <c r="B941" t="s">
        <v>52</v>
      </c>
      <c r="C941" s="121" t="s">
        <v>174</v>
      </c>
      <c r="D941" t="s">
        <v>197</v>
      </c>
      <c r="E941" t="s">
        <v>63</v>
      </c>
      <c r="F941">
        <v>1</v>
      </c>
      <c r="G941">
        <v>62</v>
      </c>
      <c r="H941" s="86">
        <v>45972.870516099501</v>
      </c>
      <c r="I941" s="86">
        <v>45972.9760400347</v>
      </c>
      <c r="J941" s="87">
        <v>2.5325744444444398</v>
      </c>
      <c r="K941" s="69" t="s">
        <v>274</v>
      </c>
      <c r="L941" s="69"/>
      <c r="M941" s="71"/>
      <c r="N941" s="71"/>
      <c r="O941" s="71"/>
      <c r="P941" s="71" t="s">
        <v>275</v>
      </c>
      <c r="Q941" s="88">
        <v>-3.8594534664082098E-4</v>
      </c>
      <c r="R941" s="89" t="s">
        <v>276</v>
      </c>
      <c r="S941" s="89"/>
      <c r="T941">
        <v>6.5</v>
      </c>
      <c r="U941" s="76">
        <v>0.2</v>
      </c>
      <c r="V941">
        <v>9.4</v>
      </c>
      <c r="W941" s="90">
        <v>0.1</v>
      </c>
      <c r="X941" s="90"/>
      <c r="Y941" s="71"/>
      <c r="Z941" s="71"/>
      <c r="AA941" s="71"/>
      <c r="AB941" s="71"/>
      <c r="AC941" s="71"/>
      <c r="AD941" s="71"/>
      <c r="AE941" s="71"/>
      <c r="AF941" s="71"/>
      <c r="AG941" s="91">
        <v>0</v>
      </c>
      <c r="AH941" s="76"/>
      <c r="AI941" s="76"/>
      <c r="AJ941" s="76"/>
      <c r="AK941" s="71">
        <v>0.15</v>
      </c>
      <c r="AL941" s="88">
        <v>3.4571664698130999E-2</v>
      </c>
      <c r="AM941" s="89">
        <f t="shared" si="14"/>
        <v>0.23047776465420666</v>
      </c>
      <c r="AN941" s="78"/>
    </row>
    <row r="942" spans="1:40" x14ac:dyDescent="0.25">
      <c r="A942" t="s">
        <v>44</v>
      </c>
      <c r="B942" t="s">
        <v>52</v>
      </c>
      <c r="C942" s="121" t="s">
        <v>174</v>
      </c>
      <c r="D942" t="s">
        <v>197</v>
      </c>
      <c r="E942" t="s">
        <v>63</v>
      </c>
      <c r="F942">
        <v>1</v>
      </c>
      <c r="G942">
        <v>63</v>
      </c>
      <c r="H942" s="86">
        <v>45972.9760400347</v>
      </c>
      <c r="I942" s="86">
        <v>45973.081558379599</v>
      </c>
      <c r="J942" s="87">
        <v>2.5324402777777801</v>
      </c>
      <c r="K942" s="69" t="s">
        <v>274</v>
      </c>
      <c r="L942" s="69"/>
      <c r="M942" s="71"/>
      <c r="N942" s="71"/>
      <c r="O942" s="71"/>
      <c r="P942" s="71" t="s">
        <v>275</v>
      </c>
      <c r="Q942" s="88">
        <v>-6.1724198985237697E-4</v>
      </c>
      <c r="R942" s="89" t="s">
        <v>276</v>
      </c>
      <c r="S942" s="89"/>
      <c r="T942">
        <v>8.6</v>
      </c>
      <c r="U942" s="76">
        <v>0.2</v>
      </c>
      <c r="V942">
        <v>9.3000000000000007</v>
      </c>
      <c r="W942" s="90">
        <v>0.1</v>
      </c>
      <c r="X942" s="90"/>
      <c r="Y942" s="71"/>
      <c r="Z942" s="71"/>
      <c r="AA942" s="71"/>
      <c r="AB942" s="71"/>
      <c r="AC942" s="71"/>
      <c r="AD942" s="71"/>
      <c r="AE942" s="71"/>
      <c r="AF942" s="71"/>
      <c r="AG942" s="91">
        <v>0</v>
      </c>
      <c r="AH942" s="76"/>
      <c r="AI942" s="76"/>
      <c r="AJ942" s="76"/>
      <c r="AK942" s="71">
        <v>0.15</v>
      </c>
      <c r="AL942" s="88">
        <v>3.4571664698130999E-2</v>
      </c>
      <c r="AM942" s="89">
        <f t="shared" si="14"/>
        <v>0.23047776465420666</v>
      </c>
      <c r="AN942" s="78"/>
    </row>
    <row r="943" spans="1:40" x14ac:dyDescent="0.25">
      <c r="A943" t="s">
        <v>44</v>
      </c>
      <c r="B943" t="s">
        <v>52</v>
      </c>
      <c r="C943" s="121" t="s">
        <v>174</v>
      </c>
      <c r="D943" t="s">
        <v>197</v>
      </c>
      <c r="E943" t="s">
        <v>63</v>
      </c>
      <c r="F943">
        <v>1</v>
      </c>
      <c r="G943">
        <v>64</v>
      </c>
      <c r="H943" s="86">
        <v>45973.081558379599</v>
      </c>
      <c r="I943" s="86">
        <v>45973.187082025499</v>
      </c>
      <c r="J943" s="87">
        <v>2.5325674999999999</v>
      </c>
      <c r="K943" s="69" t="s">
        <v>274</v>
      </c>
      <c r="L943" s="69"/>
      <c r="M943" s="71"/>
      <c r="N943" s="71"/>
      <c r="O943" s="71"/>
      <c r="P943" s="71" t="s">
        <v>275</v>
      </c>
      <c r="Q943" s="88">
        <v>-6.6049931508452005E-4</v>
      </c>
      <c r="R943" s="89" t="s">
        <v>276</v>
      </c>
      <c r="S943" s="89"/>
      <c r="T943">
        <v>9.3000000000000007</v>
      </c>
      <c r="U943" s="76">
        <v>0.2</v>
      </c>
      <c r="V943">
        <v>9.3000000000000007</v>
      </c>
      <c r="W943" s="90">
        <v>0.1</v>
      </c>
      <c r="X943" s="90"/>
      <c r="Y943" s="71"/>
      <c r="Z943" s="71"/>
      <c r="AA943" s="71"/>
      <c r="AB943" s="71"/>
      <c r="AC943" s="71"/>
      <c r="AD943" s="71"/>
      <c r="AE943" s="71"/>
      <c r="AF943" s="71"/>
      <c r="AG943" s="91">
        <v>0</v>
      </c>
      <c r="AH943" s="76"/>
      <c r="AI943" s="76"/>
      <c r="AJ943" s="76"/>
      <c r="AK943" s="71">
        <v>0.15</v>
      </c>
      <c r="AL943" s="88">
        <v>3.4571664698130999E-2</v>
      </c>
      <c r="AM943" s="89">
        <f t="shared" si="14"/>
        <v>0.23047776465420666</v>
      </c>
      <c r="AN943" s="78"/>
    </row>
    <row r="944" spans="1:40" x14ac:dyDescent="0.25">
      <c r="A944" t="s">
        <v>44</v>
      </c>
      <c r="B944" t="s">
        <v>52</v>
      </c>
      <c r="C944" s="121" t="s">
        <v>174</v>
      </c>
      <c r="D944" t="s">
        <v>197</v>
      </c>
      <c r="E944" t="s">
        <v>63</v>
      </c>
      <c r="F944">
        <v>1</v>
      </c>
      <c r="G944">
        <v>65</v>
      </c>
      <c r="H944" s="86">
        <v>45973.187082025499</v>
      </c>
      <c r="I944" s="86">
        <v>45973.2926170602</v>
      </c>
      <c r="J944" s="87">
        <v>2.5328408333333301</v>
      </c>
      <c r="K944" s="69" t="s">
        <v>274</v>
      </c>
      <c r="L944" s="69"/>
      <c r="M944" s="71"/>
      <c r="N944" s="71"/>
      <c r="O944" s="71"/>
      <c r="P944" s="71" t="s">
        <v>275</v>
      </c>
      <c r="Q944" s="88">
        <v>-3.9096203228277098E-4</v>
      </c>
      <c r="R944" s="89" t="s">
        <v>276</v>
      </c>
      <c r="S944" s="89"/>
      <c r="T944">
        <v>9.1999999999999993</v>
      </c>
      <c r="U944" s="76">
        <v>0.2</v>
      </c>
      <c r="V944">
        <v>9.4</v>
      </c>
      <c r="W944" s="90">
        <v>0.1</v>
      </c>
      <c r="X944" s="90"/>
      <c r="Y944" s="71"/>
      <c r="Z944" s="71"/>
      <c r="AA944" s="71"/>
      <c r="AB944" s="71"/>
      <c r="AC944" s="71"/>
      <c r="AD944" s="71"/>
      <c r="AE944" s="71"/>
      <c r="AF944" s="71"/>
      <c r="AG944" s="91">
        <v>0</v>
      </c>
      <c r="AH944" s="76"/>
      <c r="AI944" s="76"/>
      <c r="AJ944" s="76"/>
      <c r="AK944" s="71">
        <v>0.15</v>
      </c>
      <c r="AL944" s="88">
        <v>3.4571664698130999E-2</v>
      </c>
      <c r="AM944" s="89">
        <f t="shared" si="14"/>
        <v>0.23047776465420666</v>
      </c>
      <c r="AN944" s="78"/>
    </row>
    <row r="945" spans="1:40" x14ac:dyDescent="0.25">
      <c r="A945" t="s">
        <v>44</v>
      </c>
      <c r="B945" t="s">
        <v>52</v>
      </c>
      <c r="C945" s="121" t="s">
        <v>174</v>
      </c>
      <c r="D945" t="s">
        <v>197</v>
      </c>
      <c r="E945" t="s">
        <v>63</v>
      </c>
      <c r="F945">
        <v>1</v>
      </c>
      <c r="G945">
        <v>66</v>
      </c>
      <c r="H945" s="86">
        <v>45973.2926170602</v>
      </c>
      <c r="I945" s="86">
        <v>45973.398141585698</v>
      </c>
      <c r="J945" s="87">
        <v>2.5325886111111102</v>
      </c>
      <c r="K945" s="69" t="s">
        <v>274</v>
      </c>
      <c r="L945" s="69"/>
      <c r="M945" s="71"/>
      <c r="N945" s="71"/>
      <c r="O945" s="71"/>
      <c r="P945" s="71" t="s">
        <v>275</v>
      </c>
      <c r="Q945" s="88">
        <v>4.5109966536473602E-4</v>
      </c>
      <c r="R945" s="89" t="s">
        <v>276</v>
      </c>
      <c r="S945" s="89"/>
      <c r="T945">
        <v>9</v>
      </c>
      <c r="U945" s="76">
        <v>0.2</v>
      </c>
      <c r="V945">
        <v>9.4</v>
      </c>
      <c r="W945" s="90">
        <v>0.1</v>
      </c>
      <c r="X945" s="90"/>
      <c r="Y945" s="71"/>
      <c r="Z945" s="71"/>
      <c r="AA945" s="71"/>
      <c r="AB945" s="71"/>
      <c r="AC945" s="71"/>
      <c r="AD945" s="71"/>
      <c r="AE945" s="71"/>
      <c r="AF945" s="71"/>
      <c r="AG945" s="91">
        <v>0</v>
      </c>
      <c r="AH945" s="76"/>
      <c r="AI945" s="76"/>
      <c r="AJ945" s="76"/>
      <c r="AK945" s="71">
        <v>0.15</v>
      </c>
      <c r="AL945" s="88">
        <v>3.4571664698130999E-2</v>
      </c>
      <c r="AM945" s="89">
        <f t="shared" si="14"/>
        <v>0.23047776465420666</v>
      </c>
      <c r="AN945" s="78"/>
    </row>
    <row r="946" spans="1:40" x14ac:dyDescent="0.25">
      <c r="A946" t="s">
        <v>44</v>
      </c>
      <c r="B946" t="s">
        <v>52</v>
      </c>
      <c r="C946" s="121" t="s">
        <v>174</v>
      </c>
      <c r="D946" t="s">
        <v>200</v>
      </c>
      <c r="E946" t="s">
        <v>63</v>
      </c>
      <c r="F946">
        <v>2</v>
      </c>
      <c r="G946">
        <v>1</v>
      </c>
      <c r="H946" s="86">
        <v>45966.497389652803</v>
      </c>
      <c r="I946" s="86">
        <v>45966.540239050897</v>
      </c>
      <c r="J946" s="87">
        <v>1.0283855555555601</v>
      </c>
      <c r="K946" s="69" t="s">
        <v>274</v>
      </c>
      <c r="L946" s="69"/>
      <c r="M946" s="71"/>
      <c r="N946" s="71"/>
      <c r="O946" s="71"/>
      <c r="P946" s="71" t="s">
        <v>275</v>
      </c>
      <c r="Q946" s="88">
        <v>1.52813017980254E-3</v>
      </c>
      <c r="R946" s="89" t="s">
        <v>276</v>
      </c>
      <c r="S946" s="89"/>
      <c r="T946">
        <v>12.8</v>
      </c>
      <c r="U946" s="76">
        <v>0.2</v>
      </c>
      <c r="V946">
        <v>10.8</v>
      </c>
      <c r="W946" s="90">
        <v>0.1</v>
      </c>
      <c r="X946" s="90"/>
      <c r="Y946" s="71"/>
      <c r="Z946" s="71"/>
      <c r="AA946" s="71"/>
      <c r="AB946" s="71"/>
      <c r="AC946" s="71"/>
      <c r="AD946" s="71"/>
      <c r="AE946" s="71"/>
      <c r="AF946" s="71"/>
      <c r="AG946" s="91">
        <v>0</v>
      </c>
      <c r="AH946" s="76"/>
      <c r="AI946" s="76"/>
      <c r="AJ946" s="76"/>
      <c r="AK946" s="71">
        <v>0.15</v>
      </c>
      <c r="AL946" s="88">
        <v>3.32851318158724E-2</v>
      </c>
      <c r="AM946" s="89">
        <f t="shared" si="14"/>
        <v>0.22190087877248268</v>
      </c>
      <c r="AN946" s="78"/>
    </row>
    <row r="947" spans="1:40" x14ac:dyDescent="0.25">
      <c r="A947" t="s">
        <v>44</v>
      </c>
      <c r="B947" t="s">
        <v>52</v>
      </c>
      <c r="C947" s="121" t="s">
        <v>174</v>
      </c>
      <c r="D947" t="s">
        <v>200</v>
      </c>
      <c r="E947" t="s">
        <v>63</v>
      </c>
      <c r="F947">
        <v>2</v>
      </c>
      <c r="G947">
        <v>2</v>
      </c>
      <c r="H947" s="86">
        <v>45966.540239050897</v>
      </c>
      <c r="I947" s="86">
        <v>45966.650802951401</v>
      </c>
      <c r="J947" s="87">
        <v>2.6535336111111101</v>
      </c>
      <c r="K947" s="69" t="s">
        <v>274</v>
      </c>
      <c r="L947" s="69"/>
      <c r="M947" s="71"/>
      <c r="N947" s="71"/>
      <c r="O947" s="71"/>
      <c r="P947" s="71" t="s">
        <v>275</v>
      </c>
      <c r="Q947" s="88">
        <v>1.8368564912515099E-3</v>
      </c>
      <c r="R947" s="89" t="s">
        <v>276</v>
      </c>
      <c r="S947" s="89"/>
      <c r="T947">
        <v>13</v>
      </c>
      <c r="U947" s="76">
        <v>0.2</v>
      </c>
      <c r="V947">
        <v>10.9</v>
      </c>
      <c r="W947" s="90">
        <v>0.1</v>
      </c>
      <c r="X947" s="90"/>
      <c r="Y947" s="71"/>
      <c r="Z947" s="71"/>
      <c r="AA947" s="71"/>
      <c r="AB947" s="71"/>
      <c r="AC947" s="71"/>
      <c r="AD947" s="71"/>
      <c r="AE947" s="71"/>
      <c r="AF947" s="71"/>
      <c r="AG947" s="91">
        <v>0</v>
      </c>
      <c r="AH947" s="76"/>
      <c r="AI947" s="76"/>
      <c r="AJ947" s="76"/>
      <c r="AK947" s="71">
        <v>0.15</v>
      </c>
      <c r="AL947" s="88">
        <v>3.32851318158724E-2</v>
      </c>
      <c r="AM947" s="89">
        <f t="shared" si="14"/>
        <v>0.22190087877248268</v>
      </c>
      <c r="AN947" s="78"/>
    </row>
    <row r="948" spans="1:40" x14ac:dyDescent="0.25">
      <c r="A948" t="s">
        <v>44</v>
      </c>
      <c r="B948" t="s">
        <v>52</v>
      </c>
      <c r="C948" s="121" t="s">
        <v>174</v>
      </c>
      <c r="D948" t="s">
        <v>200</v>
      </c>
      <c r="E948" t="s">
        <v>63</v>
      </c>
      <c r="F948">
        <v>2</v>
      </c>
      <c r="G948">
        <v>3</v>
      </c>
      <c r="H948" s="86">
        <v>45966.650802951401</v>
      </c>
      <c r="I948" s="86">
        <v>45966.7563184838</v>
      </c>
      <c r="J948" s="87">
        <v>2.53237277777778</v>
      </c>
      <c r="K948" s="69" t="s">
        <v>274</v>
      </c>
      <c r="L948" s="69"/>
      <c r="M948" s="71"/>
      <c r="N948" s="71"/>
      <c r="O948" s="71"/>
      <c r="P948" s="71" t="s">
        <v>275</v>
      </c>
      <c r="Q948" s="88">
        <v>-6.2635135435186997E-3</v>
      </c>
      <c r="R948" s="89" t="s">
        <v>276</v>
      </c>
      <c r="S948" s="89"/>
      <c r="T948">
        <v>12.1</v>
      </c>
      <c r="U948" s="76">
        <v>0.2</v>
      </c>
      <c r="V948">
        <v>11</v>
      </c>
      <c r="W948" s="90">
        <v>0.1</v>
      </c>
      <c r="X948" s="90"/>
      <c r="Y948" s="71"/>
      <c r="Z948" s="71"/>
      <c r="AA948" s="71"/>
      <c r="AB948" s="71"/>
      <c r="AC948" s="71"/>
      <c r="AD948" s="71"/>
      <c r="AE948" s="71"/>
      <c r="AF948" s="71"/>
      <c r="AG948" s="91">
        <v>0</v>
      </c>
      <c r="AH948" s="76"/>
      <c r="AI948" s="76"/>
      <c r="AJ948" s="76"/>
      <c r="AK948" s="71">
        <v>0.15</v>
      </c>
      <c r="AL948" s="88">
        <v>3.32851318158724E-2</v>
      </c>
      <c r="AM948" s="89">
        <f t="shared" si="14"/>
        <v>0.22190087877248268</v>
      </c>
      <c r="AN948" s="78"/>
    </row>
    <row r="949" spans="1:40" x14ac:dyDescent="0.25">
      <c r="A949" t="s">
        <v>44</v>
      </c>
      <c r="B949" t="s">
        <v>52</v>
      </c>
      <c r="C949" s="121" t="s">
        <v>174</v>
      </c>
      <c r="D949" t="s">
        <v>200</v>
      </c>
      <c r="E949" t="s">
        <v>63</v>
      </c>
      <c r="F949">
        <v>2</v>
      </c>
      <c r="G949">
        <v>4</v>
      </c>
      <c r="H949" s="86">
        <v>45966.7563184838</v>
      </c>
      <c r="I949" s="86">
        <v>45966.861841712998</v>
      </c>
      <c r="J949" s="87">
        <v>2.5325574999999998</v>
      </c>
      <c r="K949" s="69" t="s">
        <v>274</v>
      </c>
      <c r="L949" s="69"/>
      <c r="M949" s="71"/>
      <c r="N949" s="71"/>
      <c r="O949" s="71"/>
      <c r="P949" s="71" t="s">
        <v>275</v>
      </c>
      <c r="Q949" s="88">
        <v>-4.5194937631962903E-3</v>
      </c>
      <c r="R949" s="89" t="s">
        <v>276</v>
      </c>
      <c r="S949" s="89"/>
      <c r="T949">
        <v>10.6</v>
      </c>
      <c r="U949" s="76">
        <v>0.2</v>
      </c>
      <c r="V949">
        <v>11.1</v>
      </c>
      <c r="W949" s="90">
        <v>0.1</v>
      </c>
      <c r="X949" s="90"/>
      <c r="Y949" s="71"/>
      <c r="Z949" s="71"/>
      <c r="AA949" s="71"/>
      <c r="AB949" s="71"/>
      <c r="AC949" s="71"/>
      <c r="AD949" s="71"/>
      <c r="AE949" s="71"/>
      <c r="AF949" s="71"/>
      <c r="AG949" s="91">
        <v>0</v>
      </c>
      <c r="AH949" s="76"/>
      <c r="AI949" s="76"/>
      <c r="AJ949" s="76"/>
      <c r="AK949" s="71">
        <v>0.15</v>
      </c>
      <c r="AL949" s="88">
        <v>3.32851318158724E-2</v>
      </c>
      <c r="AM949" s="89">
        <f t="shared" si="14"/>
        <v>0.22190087877248268</v>
      </c>
      <c r="AN949" s="78"/>
    </row>
    <row r="950" spans="1:40" x14ac:dyDescent="0.25">
      <c r="A950" t="s">
        <v>44</v>
      </c>
      <c r="B950" t="s">
        <v>52</v>
      </c>
      <c r="C950" s="121" t="s">
        <v>174</v>
      </c>
      <c r="D950" t="s">
        <v>200</v>
      </c>
      <c r="E950" t="s">
        <v>63</v>
      </c>
      <c r="F950">
        <v>2</v>
      </c>
      <c r="G950">
        <v>5</v>
      </c>
      <c r="H950" s="86">
        <v>45966.861841712998</v>
      </c>
      <c r="I950" s="86">
        <v>45966.967375462998</v>
      </c>
      <c r="J950" s="87">
        <v>2.53281</v>
      </c>
      <c r="K950" s="69" t="s">
        <v>274</v>
      </c>
      <c r="L950" s="69"/>
      <c r="M950" s="71"/>
      <c r="N950" s="71"/>
      <c r="O950" s="71"/>
      <c r="P950" s="71" t="s">
        <v>275</v>
      </c>
      <c r="Q950" s="88">
        <v>-4.1968622582148202E-3</v>
      </c>
      <c r="R950" s="89" t="s">
        <v>276</v>
      </c>
      <c r="S950" s="89"/>
      <c r="T950">
        <v>10.7</v>
      </c>
      <c r="U950" s="76">
        <v>0.2</v>
      </c>
      <c r="V950">
        <v>11</v>
      </c>
      <c r="W950" s="90">
        <v>0.1</v>
      </c>
      <c r="X950" s="90"/>
      <c r="Y950" s="71"/>
      <c r="Z950" s="71"/>
      <c r="AA950" s="71"/>
      <c r="AB950" s="71"/>
      <c r="AC950" s="71"/>
      <c r="AD950" s="71"/>
      <c r="AE950" s="71"/>
      <c r="AF950" s="71"/>
      <c r="AG950" s="91">
        <v>0</v>
      </c>
      <c r="AH950" s="76"/>
      <c r="AI950" s="76"/>
      <c r="AJ950" s="76"/>
      <c r="AK950" s="71">
        <v>0.15</v>
      </c>
      <c r="AL950" s="88">
        <v>3.32851318158724E-2</v>
      </c>
      <c r="AM950" s="89">
        <f t="shared" si="14"/>
        <v>0.22190087877248268</v>
      </c>
      <c r="AN950" s="78"/>
    </row>
    <row r="951" spans="1:40" x14ac:dyDescent="0.25">
      <c r="A951" t="s">
        <v>44</v>
      </c>
      <c r="B951" t="s">
        <v>52</v>
      </c>
      <c r="C951" s="121" t="s">
        <v>174</v>
      </c>
      <c r="D951" t="s">
        <v>200</v>
      </c>
      <c r="E951" t="s">
        <v>63</v>
      </c>
      <c r="F951">
        <v>2</v>
      </c>
      <c r="G951">
        <v>6</v>
      </c>
      <c r="H951" s="86">
        <v>45966.967375462998</v>
      </c>
      <c r="I951" s="86">
        <v>45967.072910682902</v>
      </c>
      <c r="J951" s="87">
        <v>2.5328452777777799</v>
      </c>
      <c r="K951" s="69" t="s">
        <v>274</v>
      </c>
      <c r="L951" s="69"/>
      <c r="M951" s="71"/>
      <c r="N951" s="71"/>
      <c r="O951" s="71"/>
      <c r="P951" s="71" t="s">
        <v>275</v>
      </c>
      <c r="Q951" s="88">
        <v>-4.2730983706066204E-3</v>
      </c>
      <c r="R951" s="89" t="s">
        <v>276</v>
      </c>
      <c r="S951" s="89"/>
      <c r="T951">
        <v>10.7</v>
      </c>
      <c r="U951" s="76">
        <v>0.2</v>
      </c>
      <c r="V951">
        <v>11</v>
      </c>
      <c r="W951" s="90">
        <v>0.1</v>
      </c>
      <c r="X951" s="90"/>
      <c r="Y951" s="71"/>
      <c r="Z951" s="71"/>
      <c r="AA951" s="71"/>
      <c r="AB951" s="71"/>
      <c r="AC951" s="71"/>
      <c r="AD951" s="71"/>
      <c r="AE951" s="71"/>
      <c r="AF951" s="71"/>
      <c r="AG951" s="91">
        <v>0</v>
      </c>
      <c r="AH951" s="76"/>
      <c r="AI951" s="76"/>
      <c r="AJ951" s="76"/>
      <c r="AK951" s="71">
        <v>0.15</v>
      </c>
      <c r="AL951" s="88">
        <v>3.32851318158724E-2</v>
      </c>
      <c r="AM951" s="89">
        <f t="shared" si="14"/>
        <v>0.22190087877248268</v>
      </c>
      <c r="AN951" s="78"/>
    </row>
    <row r="952" spans="1:40" x14ac:dyDescent="0.25">
      <c r="A952" t="s">
        <v>44</v>
      </c>
      <c r="B952" t="s">
        <v>52</v>
      </c>
      <c r="C952" s="121" t="s">
        <v>174</v>
      </c>
      <c r="D952" t="s">
        <v>200</v>
      </c>
      <c r="E952" t="s">
        <v>63</v>
      </c>
      <c r="F952">
        <v>2</v>
      </c>
      <c r="G952">
        <v>7</v>
      </c>
      <c r="H952" s="86">
        <v>45967.072910682902</v>
      </c>
      <c r="I952" s="86">
        <v>45967.178437696799</v>
      </c>
      <c r="J952" s="87">
        <v>2.5326483333333298</v>
      </c>
      <c r="K952" s="69" t="s">
        <v>274</v>
      </c>
      <c r="L952" s="69"/>
      <c r="M952" s="71"/>
      <c r="N952" s="71"/>
      <c r="O952" s="71"/>
      <c r="P952" s="71" t="s">
        <v>275</v>
      </c>
      <c r="Q952" s="88">
        <v>-4.1743426129734499E-3</v>
      </c>
      <c r="R952" s="89" t="s">
        <v>276</v>
      </c>
      <c r="S952" s="89"/>
      <c r="T952">
        <v>10.4</v>
      </c>
      <c r="U952" s="76">
        <v>0.2</v>
      </c>
      <c r="V952">
        <v>11</v>
      </c>
      <c r="W952" s="90">
        <v>0.1</v>
      </c>
      <c r="X952" s="90"/>
      <c r="Y952" s="71"/>
      <c r="Z952" s="71"/>
      <c r="AA952" s="71"/>
      <c r="AB952" s="71"/>
      <c r="AC952" s="71"/>
      <c r="AD952" s="71"/>
      <c r="AE952" s="71"/>
      <c r="AF952" s="71"/>
      <c r="AG952" s="91">
        <v>0</v>
      </c>
      <c r="AH952" s="76"/>
      <c r="AI952" s="76"/>
      <c r="AJ952" s="76"/>
      <c r="AK952" s="71">
        <v>0.15</v>
      </c>
      <c r="AL952" s="88">
        <v>3.32851318158724E-2</v>
      </c>
      <c r="AM952" s="89">
        <f t="shared" si="14"/>
        <v>0.22190087877248268</v>
      </c>
      <c r="AN952" s="78"/>
    </row>
    <row r="953" spans="1:40" x14ac:dyDescent="0.25">
      <c r="A953" t="s">
        <v>44</v>
      </c>
      <c r="B953" t="s">
        <v>52</v>
      </c>
      <c r="C953" s="121" t="s">
        <v>174</v>
      </c>
      <c r="D953" t="s">
        <v>200</v>
      </c>
      <c r="E953" t="s">
        <v>63</v>
      </c>
      <c r="F953">
        <v>2</v>
      </c>
      <c r="G953">
        <v>8</v>
      </c>
      <c r="H953" s="86">
        <v>45967.178437696799</v>
      </c>
      <c r="I953" s="86">
        <v>45967.283963506998</v>
      </c>
      <c r="J953" s="87">
        <v>2.5326194444444399</v>
      </c>
      <c r="K953" s="69" t="s">
        <v>274</v>
      </c>
      <c r="L953" s="69"/>
      <c r="M953" s="71"/>
      <c r="N953" s="71"/>
      <c r="O953" s="71"/>
      <c r="P953" s="71" t="s">
        <v>275</v>
      </c>
      <c r="Q953" s="88">
        <v>-4.1390090621630697E-3</v>
      </c>
      <c r="R953" s="89" t="s">
        <v>276</v>
      </c>
      <c r="S953" s="89"/>
      <c r="T953">
        <v>10.5</v>
      </c>
      <c r="U953" s="76">
        <v>0.2</v>
      </c>
      <c r="V953">
        <v>10.9</v>
      </c>
      <c r="W953" s="90">
        <v>0.1</v>
      </c>
      <c r="X953" s="90"/>
      <c r="Y953" s="71"/>
      <c r="Z953" s="71"/>
      <c r="AA953" s="71"/>
      <c r="AB953" s="71"/>
      <c r="AC953" s="71"/>
      <c r="AD953" s="71"/>
      <c r="AE953" s="71"/>
      <c r="AF953" s="71"/>
      <c r="AG953" s="91">
        <v>0</v>
      </c>
      <c r="AH953" s="76"/>
      <c r="AI953" s="76"/>
      <c r="AJ953" s="76"/>
      <c r="AK953" s="71">
        <v>0.15</v>
      </c>
      <c r="AL953" s="88">
        <v>3.32851318158724E-2</v>
      </c>
      <c r="AM953" s="89">
        <f t="shared" si="14"/>
        <v>0.22190087877248268</v>
      </c>
      <c r="AN953" s="78"/>
    </row>
    <row r="954" spans="1:40" x14ac:dyDescent="0.25">
      <c r="A954" t="s">
        <v>44</v>
      </c>
      <c r="B954" t="s">
        <v>52</v>
      </c>
      <c r="C954" s="121" t="s">
        <v>174</v>
      </c>
      <c r="D954" t="s">
        <v>200</v>
      </c>
      <c r="E954" t="s">
        <v>63</v>
      </c>
      <c r="F954">
        <v>2</v>
      </c>
      <c r="G954">
        <v>9</v>
      </c>
      <c r="H954" s="86">
        <v>45967.283963506998</v>
      </c>
      <c r="I954" s="86">
        <v>45967.389483911997</v>
      </c>
      <c r="J954" s="87">
        <v>2.5324897222222198</v>
      </c>
      <c r="K954" s="69" t="s">
        <v>274</v>
      </c>
      <c r="L954" s="69"/>
      <c r="M954" s="71"/>
      <c r="N954" s="71"/>
      <c r="O954" s="71"/>
      <c r="P954" s="71" t="s">
        <v>275</v>
      </c>
      <c r="Q954" s="88">
        <v>-4.1119088087758901E-3</v>
      </c>
      <c r="R954" s="89" t="s">
        <v>276</v>
      </c>
      <c r="S954" s="89"/>
      <c r="T954">
        <v>9.5</v>
      </c>
      <c r="U954" s="76">
        <v>0.2</v>
      </c>
      <c r="V954">
        <v>10.9</v>
      </c>
      <c r="W954" s="90">
        <v>0.1</v>
      </c>
      <c r="X954" s="90"/>
      <c r="Y954" s="71"/>
      <c r="Z954" s="71"/>
      <c r="AA954" s="71"/>
      <c r="AB954" s="71"/>
      <c r="AC954" s="71"/>
      <c r="AD954" s="71"/>
      <c r="AE954" s="71"/>
      <c r="AF954" s="71"/>
      <c r="AG954" s="91">
        <v>0</v>
      </c>
      <c r="AH954" s="76"/>
      <c r="AI954" s="76"/>
      <c r="AJ954" s="76"/>
      <c r="AK954" s="71">
        <v>0.15</v>
      </c>
      <c r="AL954" s="88">
        <v>3.32851318158724E-2</v>
      </c>
      <c r="AM954" s="89">
        <f t="shared" si="14"/>
        <v>0.22190087877248268</v>
      </c>
      <c r="AN954" s="78"/>
    </row>
    <row r="955" spans="1:40" x14ac:dyDescent="0.25">
      <c r="A955" t="s">
        <v>44</v>
      </c>
      <c r="B955" t="s">
        <v>52</v>
      </c>
      <c r="C955" s="121" t="s">
        <v>174</v>
      </c>
      <c r="D955" t="s">
        <v>200</v>
      </c>
      <c r="E955" t="s">
        <v>63</v>
      </c>
      <c r="F955">
        <v>2</v>
      </c>
      <c r="G955">
        <v>10</v>
      </c>
      <c r="H955" s="86">
        <v>45967.389483911997</v>
      </c>
      <c r="I955" s="86">
        <v>45967.495015080996</v>
      </c>
      <c r="J955" s="87">
        <v>2.5327480555555599</v>
      </c>
      <c r="K955" s="69" t="s">
        <v>274</v>
      </c>
      <c r="L955" s="69"/>
      <c r="M955" s="71"/>
      <c r="N955" s="71"/>
      <c r="O955" s="71"/>
      <c r="P955" s="71" t="s">
        <v>275</v>
      </c>
      <c r="Q955" s="88">
        <v>9.2601079449183799E-4</v>
      </c>
      <c r="R955" s="89" t="s">
        <v>276</v>
      </c>
      <c r="S955" s="89"/>
      <c r="T955">
        <v>11.6</v>
      </c>
      <c r="U955" s="76">
        <v>0.2</v>
      </c>
      <c r="V955">
        <v>10.8</v>
      </c>
      <c r="W955" s="90">
        <v>0.1</v>
      </c>
      <c r="X955" s="90"/>
      <c r="Y955" s="71"/>
      <c r="Z955" s="71"/>
      <c r="AA955" s="71"/>
      <c r="AB955" s="71"/>
      <c r="AC955" s="71"/>
      <c r="AD955" s="71"/>
      <c r="AE955" s="71"/>
      <c r="AF955" s="71"/>
      <c r="AG955" s="91">
        <v>0</v>
      </c>
      <c r="AH955" s="76"/>
      <c r="AI955" s="76"/>
      <c r="AJ955" s="76"/>
      <c r="AK955" s="71">
        <v>0.15</v>
      </c>
      <c r="AL955" s="88">
        <v>3.32851318158724E-2</v>
      </c>
      <c r="AM955" s="89">
        <f t="shared" si="14"/>
        <v>0.22190087877248268</v>
      </c>
      <c r="AN955" s="78"/>
    </row>
    <row r="956" spans="1:40" x14ac:dyDescent="0.25">
      <c r="A956" t="s">
        <v>44</v>
      </c>
      <c r="B956" t="s">
        <v>52</v>
      </c>
      <c r="C956" s="121" t="s">
        <v>174</v>
      </c>
      <c r="D956" t="s">
        <v>200</v>
      </c>
      <c r="E956" t="s">
        <v>63</v>
      </c>
      <c r="F956">
        <v>2</v>
      </c>
      <c r="G956">
        <v>11</v>
      </c>
      <c r="H956" s="86">
        <v>45967.495015080996</v>
      </c>
      <c r="I956" s="86">
        <v>45967.600543414403</v>
      </c>
      <c r="J956" s="87">
        <v>2.53268</v>
      </c>
      <c r="K956" s="69" t="s">
        <v>274</v>
      </c>
      <c r="L956" s="69"/>
      <c r="M956" s="71"/>
      <c r="N956" s="71"/>
      <c r="O956" s="71"/>
      <c r="P956" s="71" t="s">
        <v>275</v>
      </c>
      <c r="Q956" s="88">
        <v>-6.0034683172022797E-3</v>
      </c>
      <c r="R956" s="89" t="s">
        <v>276</v>
      </c>
      <c r="S956" s="89"/>
      <c r="T956">
        <v>14.4</v>
      </c>
      <c r="U956" s="76">
        <v>0.2</v>
      </c>
      <c r="V956">
        <v>10.9</v>
      </c>
      <c r="W956" s="90">
        <v>0.1</v>
      </c>
      <c r="X956" s="90"/>
      <c r="Y956" s="71"/>
      <c r="Z956" s="71"/>
      <c r="AA956" s="71"/>
      <c r="AB956" s="71"/>
      <c r="AC956" s="71"/>
      <c r="AD956" s="71"/>
      <c r="AE956" s="71"/>
      <c r="AF956" s="71"/>
      <c r="AG956" s="91">
        <v>0</v>
      </c>
      <c r="AH956" s="76"/>
      <c r="AI956" s="76"/>
      <c r="AJ956" s="76"/>
      <c r="AK956" s="71">
        <v>0.15</v>
      </c>
      <c r="AL956" s="88">
        <v>3.32851318158724E-2</v>
      </c>
      <c r="AM956" s="89">
        <f t="shared" si="14"/>
        <v>0.22190087877248268</v>
      </c>
      <c r="AN956" s="78"/>
    </row>
    <row r="957" spans="1:40" x14ac:dyDescent="0.25">
      <c r="A957" t="s">
        <v>44</v>
      </c>
      <c r="B957" t="s">
        <v>52</v>
      </c>
      <c r="C957" s="121" t="s">
        <v>174</v>
      </c>
      <c r="D957" t="s">
        <v>200</v>
      </c>
      <c r="E957" t="s">
        <v>63</v>
      </c>
      <c r="F957">
        <v>2</v>
      </c>
      <c r="G957">
        <v>12</v>
      </c>
      <c r="H957" s="86">
        <v>45967.600543414403</v>
      </c>
      <c r="I957" s="86">
        <v>45967.706065196799</v>
      </c>
      <c r="J957" s="87">
        <v>2.5325227777777801</v>
      </c>
      <c r="K957" s="69" t="s">
        <v>274</v>
      </c>
      <c r="L957" s="69"/>
      <c r="M957" s="71"/>
      <c r="N957" s="71"/>
      <c r="O957" s="71"/>
      <c r="P957" s="71" t="s">
        <v>275</v>
      </c>
      <c r="Q957" s="88">
        <v>-6.5888733103677596E-3</v>
      </c>
      <c r="R957" s="89" t="s">
        <v>276</v>
      </c>
      <c r="S957" s="89"/>
      <c r="T957">
        <v>15.6</v>
      </c>
      <c r="U957" s="76">
        <v>0.2</v>
      </c>
      <c r="V957">
        <v>11.1</v>
      </c>
      <c r="W957" s="90">
        <v>0.1</v>
      </c>
      <c r="X957" s="90"/>
      <c r="Y957" s="71"/>
      <c r="Z957" s="71"/>
      <c r="AA957" s="71"/>
      <c r="AB957" s="71"/>
      <c r="AC957" s="71"/>
      <c r="AD957" s="71"/>
      <c r="AE957" s="71"/>
      <c r="AF957" s="71"/>
      <c r="AG957" s="91">
        <v>0</v>
      </c>
      <c r="AH957" s="76"/>
      <c r="AI957" s="76"/>
      <c r="AJ957" s="76"/>
      <c r="AK957" s="71">
        <v>0.15</v>
      </c>
      <c r="AL957" s="88">
        <v>3.32851318158724E-2</v>
      </c>
      <c r="AM957" s="89">
        <f t="shared" si="14"/>
        <v>0.22190087877248268</v>
      </c>
      <c r="AN957" s="78"/>
    </row>
    <row r="958" spans="1:40" x14ac:dyDescent="0.25">
      <c r="A958" t="s">
        <v>44</v>
      </c>
      <c r="B958" t="s">
        <v>52</v>
      </c>
      <c r="C958" s="121" t="s">
        <v>174</v>
      </c>
      <c r="D958" t="s">
        <v>200</v>
      </c>
      <c r="E958" t="s">
        <v>63</v>
      </c>
      <c r="F958">
        <v>2</v>
      </c>
      <c r="G958">
        <v>13</v>
      </c>
      <c r="H958" s="86">
        <v>45967.706065196799</v>
      </c>
      <c r="I958" s="86">
        <v>45967.811590983802</v>
      </c>
      <c r="J958" s="87">
        <v>2.5326188888888899</v>
      </c>
      <c r="K958" s="69" t="s">
        <v>274</v>
      </c>
      <c r="L958" s="69"/>
      <c r="M958" s="71"/>
      <c r="N958" s="71"/>
      <c r="O958" s="71"/>
      <c r="P958" s="71" t="s">
        <v>275</v>
      </c>
      <c r="Q958" s="88">
        <v>-5.0106385945056699E-3</v>
      </c>
      <c r="R958" s="89" t="s">
        <v>276</v>
      </c>
      <c r="S958" s="89"/>
      <c r="T958">
        <v>9.8000000000000007</v>
      </c>
      <c r="U958" s="76">
        <v>0.2</v>
      </c>
      <c r="V958">
        <v>11.2</v>
      </c>
      <c r="W958" s="90">
        <v>0.1</v>
      </c>
      <c r="X958" s="90"/>
      <c r="Y958" s="71"/>
      <c r="Z958" s="71"/>
      <c r="AA958" s="71"/>
      <c r="AB958" s="71"/>
      <c r="AC958" s="71"/>
      <c r="AD958" s="71"/>
      <c r="AE958" s="71"/>
      <c r="AF958" s="71"/>
      <c r="AG958" s="91">
        <v>0</v>
      </c>
      <c r="AH958" s="76"/>
      <c r="AI958" s="76"/>
      <c r="AJ958" s="76"/>
      <c r="AK958" s="71">
        <v>0.15</v>
      </c>
      <c r="AL958" s="88">
        <v>3.32851318158724E-2</v>
      </c>
      <c r="AM958" s="89">
        <f t="shared" si="14"/>
        <v>0.22190087877248268</v>
      </c>
      <c r="AN958" s="78"/>
    </row>
    <row r="959" spans="1:40" x14ac:dyDescent="0.25">
      <c r="A959" t="s">
        <v>44</v>
      </c>
      <c r="B959" t="s">
        <v>52</v>
      </c>
      <c r="C959" s="121" t="s">
        <v>174</v>
      </c>
      <c r="D959" t="s">
        <v>200</v>
      </c>
      <c r="E959" t="s">
        <v>63</v>
      </c>
      <c r="F959">
        <v>2</v>
      </c>
      <c r="G959">
        <v>14</v>
      </c>
      <c r="H959" s="86">
        <v>45967.811590983802</v>
      </c>
      <c r="I959" s="86">
        <v>45967.917105717599</v>
      </c>
      <c r="J959" s="87">
        <v>2.5323536111111098</v>
      </c>
      <c r="K959" s="69" t="s">
        <v>274</v>
      </c>
      <c r="L959" s="69"/>
      <c r="M959" s="71"/>
      <c r="N959" s="71"/>
      <c r="O959" s="71"/>
      <c r="P959" s="71" t="s">
        <v>275</v>
      </c>
      <c r="Q959" s="88">
        <v>-3.7368641334754199E-3</v>
      </c>
      <c r="R959" s="89" t="s">
        <v>276</v>
      </c>
      <c r="S959" s="89"/>
      <c r="T959">
        <v>7</v>
      </c>
      <c r="U959" s="76">
        <v>0.2</v>
      </c>
      <c r="V959">
        <v>11.1</v>
      </c>
      <c r="W959" s="90">
        <v>0.1</v>
      </c>
      <c r="X959" s="90"/>
      <c r="Y959" s="71"/>
      <c r="Z959" s="71"/>
      <c r="AA959" s="71"/>
      <c r="AB959" s="71"/>
      <c r="AC959" s="71"/>
      <c r="AD959" s="71"/>
      <c r="AE959" s="71"/>
      <c r="AF959" s="71"/>
      <c r="AG959" s="91">
        <v>0</v>
      </c>
      <c r="AH959" s="76"/>
      <c r="AI959" s="76"/>
      <c r="AJ959" s="76"/>
      <c r="AK959" s="71">
        <v>0.15</v>
      </c>
      <c r="AL959" s="88">
        <v>3.32851318158724E-2</v>
      </c>
      <c r="AM959" s="89">
        <f t="shared" si="14"/>
        <v>0.22190087877248268</v>
      </c>
      <c r="AN959" s="78"/>
    </row>
    <row r="960" spans="1:40" x14ac:dyDescent="0.25">
      <c r="A960" t="s">
        <v>44</v>
      </c>
      <c r="B960" t="s">
        <v>52</v>
      </c>
      <c r="C960" s="121" t="s">
        <v>174</v>
      </c>
      <c r="D960" t="s">
        <v>200</v>
      </c>
      <c r="E960" t="s">
        <v>63</v>
      </c>
      <c r="F960">
        <v>2</v>
      </c>
      <c r="G960">
        <v>15</v>
      </c>
      <c r="H960" s="86">
        <v>45967.917105717599</v>
      </c>
      <c r="I960" s="86">
        <v>45968.022631944397</v>
      </c>
      <c r="J960" s="87">
        <v>2.5326294444444399</v>
      </c>
      <c r="K960" s="69" t="s">
        <v>274</v>
      </c>
      <c r="L960" s="69"/>
      <c r="M960" s="71"/>
      <c r="N960" s="71"/>
      <c r="O960" s="71"/>
      <c r="P960" s="71" t="s">
        <v>275</v>
      </c>
      <c r="Q960" s="88">
        <v>-3.12012411032592E-3</v>
      </c>
      <c r="R960" s="89" t="s">
        <v>276</v>
      </c>
      <c r="S960" s="89"/>
      <c r="T960">
        <v>7.4</v>
      </c>
      <c r="U960" s="76">
        <v>0.2</v>
      </c>
      <c r="V960">
        <v>10.8</v>
      </c>
      <c r="W960" s="90">
        <v>0.1</v>
      </c>
      <c r="X960" s="90"/>
      <c r="Y960" s="71"/>
      <c r="Z960" s="71"/>
      <c r="AA960" s="71"/>
      <c r="AB960" s="71"/>
      <c r="AC960" s="71"/>
      <c r="AD960" s="71"/>
      <c r="AE960" s="71"/>
      <c r="AF960" s="71"/>
      <c r="AG960" s="91">
        <v>0</v>
      </c>
      <c r="AH960" s="76"/>
      <c r="AI960" s="76"/>
      <c r="AJ960" s="76"/>
      <c r="AK960" s="71">
        <v>0.15</v>
      </c>
      <c r="AL960" s="88">
        <v>3.32851318158724E-2</v>
      </c>
      <c r="AM960" s="89">
        <f t="shared" si="14"/>
        <v>0.22190087877248268</v>
      </c>
      <c r="AN960" s="78"/>
    </row>
    <row r="961" spans="1:40" x14ac:dyDescent="0.25">
      <c r="A961" t="s">
        <v>44</v>
      </c>
      <c r="B961" t="s">
        <v>52</v>
      </c>
      <c r="C961" s="121" t="s">
        <v>174</v>
      </c>
      <c r="D961" t="s">
        <v>200</v>
      </c>
      <c r="E961" t="s">
        <v>63</v>
      </c>
      <c r="F961">
        <v>2</v>
      </c>
      <c r="G961">
        <v>16</v>
      </c>
      <c r="H961" s="86">
        <v>45968.022631944397</v>
      </c>
      <c r="I961" s="86">
        <v>45968.128163680602</v>
      </c>
      <c r="J961" s="87">
        <v>2.5327616666666701</v>
      </c>
      <c r="K961" s="69" t="s">
        <v>274</v>
      </c>
      <c r="L961" s="69"/>
      <c r="M961" s="71"/>
      <c r="N961" s="71"/>
      <c r="O961" s="71"/>
      <c r="P961" s="71" t="s">
        <v>275</v>
      </c>
      <c r="Q961" s="88">
        <v>-3.35363867942796E-3</v>
      </c>
      <c r="R961" s="89" t="s">
        <v>276</v>
      </c>
      <c r="S961" s="89"/>
      <c r="T961">
        <v>5.9</v>
      </c>
      <c r="U961" s="76">
        <v>0.2</v>
      </c>
      <c r="V961">
        <v>10.5</v>
      </c>
      <c r="W961" s="90">
        <v>0.1</v>
      </c>
      <c r="X961" s="90"/>
      <c r="Y961" s="71"/>
      <c r="Z961" s="71"/>
      <c r="AA961" s="71"/>
      <c r="AB961" s="71"/>
      <c r="AC961" s="71"/>
      <c r="AD961" s="71"/>
      <c r="AE961" s="71"/>
      <c r="AF961" s="71"/>
      <c r="AG961" s="91">
        <v>0</v>
      </c>
      <c r="AH961" s="76"/>
      <c r="AI961" s="76"/>
      <c r="AJ961" s="76"/>
      <c r="AK961" s="71">
        <v>0.15</v>
      </c>
      <c r="AL961" s="88">
        <v>3.32851318158724E-2</v>
      </c>
      <c r="AM961" s="89">
        <f t="shared" si="14"/>
        <v>0.22190087877248268</v>
      </c>
      <c r="AN961" s="78"/>
    </row>
    <row r="962" spans="1:40" x14ac:dyDescent="0.25">
      <c r="A962" t="s">
        <v>44</v>
      </c>
      <c r="B962" t="s">
        <v>52</v>
      </c>
      <c r="C962" s="121" t="s">
        <v>174</v>
      </c>
      <c r="D962" t="s">
        <v>200</v>
      </c>
      <c r="E962" t="s">
        <v>63</v>
      </c>
      <c r="F962">
        <v>2</v>
      </c>
      <c r="G962">
        <v>17</v>
      </c>
      <c r="H962" s="86">
        <v>45968.128163680602</v>
      </c>
      <c r="I962" s="86">
        <v>45968.233675821801</v>
      </c>
      <c r="J962" s="87">
        <v>2.5322913888888898</v>
      </c>
      <c r="K962" s="69" t="s">
        <v>274</v>
      </c>
      <c r="L962" s="69"/>
      <c r="M962" s="71"/>
      <c r="N962" s="71"/>
      <c r="O962" s="71"/>
      <c r="P962" s="71" t="s">
        <v>275</v>
      </c>
      <c r="Q962" s="88">
        <v>-2.88255510797697E-3</v>
      </c>
      <c r="R962" s="89" t="s">
        <v>276</v>
      </c>
      <c r="S962" s="89"/>
      <c r="T962">
        <v>4.4000000000000004</v>
      </c>
      <c r="U962" s="76">
        <v>0.2</v>
      </c>
      <c r="V962">
        <v>10.4</v>
      </c>
      <c r="W962" s="90">
        <v>0.1</v>
      </c>
      <c r="X962" s="90"/>
      <c r="Y962" s="71"/>
      <c r="Z962" s="71"/>
      <c r="AA962" s="71"/>
      <c r="AB962" s="71"/>
      <c r="AC962" s="71"/>
      <c r="AD962" s="71"/>
      <c r="AE962" s="71"/>
      <c r="AF962" s="71"/>
      <c r="AG962" s="91">
        <v>0</v>
      </c>
      <c r="AH962" s="76"/>
      <c r="AI962" s="76"/>
      <c r="AJ962" s="76"/>
      <c r="AK962" s="71">
        <v>0.15</v>
      </c>
      <c r="AL962" s="88">
        <v>3.32851318158724E-2</v>
      </c>
      <c r="AM962" s="89">
        <f t="shared" si="14"/>
        <v>0.22190087877248268</v>
      </c>
      <c r="AN962" s="78"/>
    </row>
    <row r="963" spans="1:40" x14ac:dyDescent="0.25">
      <c r="A963" t="s">
        <v>44</v>
      </c>
      <c r="B963" t="s">
        <v>52</v>
      </c>
      <c r="C963" s="121" t="s">
        <v>174</v>
      </c>
      <c r="D963" t="s">
        <v>200</v>
      </c>
      <c r="E963" t="s">
        <v>63</v>
      </c>
      <c r="F963">
        <v>2</v>
      </c>
      <c r="G963">
        <v>18</v>
      </c>
      <c r="H963" s="86">
        <v>45968.233675821801</v>
      </c>
      <c r="I963" s="86">
        <v>45968.339208425903</v>
      </c>
      <c r="J963" s="87">
        <v>2.5327825000000002</v>
      </c>
      <c r="K963" s="69" t="s">
        <v>274</v>
      </c>
      <c r="L963" s="69"/>
      <c r="M963" s="71"/>
      <c r="N963" s="71"/>
      <c r="O963" s="71"/>
      <c r="P963" s="71" t="s">
        <v>275</v>
      </c>
      <c r="Q963" s="88">
        <v>-2.3703804978614301E-3</v>
      </c>
      <c r="R963" s="89" t="s">
        <v>276</v>
      </c>
      <c r="S963" s="89"/>
      <c r="T963">
        <v>5.7</v>
      </c>
      <c r="U963" s="76">
        <v>0.2</v>
      </c>
      <c r="V963">
        <v>10</v>
      </c>
      <c r="W963" s="90">
        <v>0.1</v>
      </c>
      <c r="X963" s="90"/>
      <c r="Y963" s="71"/>
      <c r="Z963" s="71"/>
      <c r="AA963" s="71"/>
      <c r="AB963" s="71"/>
      <c r="AC963" s="71"/>
      <c r="AD963" s="71"/>
      <c r="AE963" s="71"/>
      <c r="AF963" s="71"/>
      <c r="AG963" s="91">
        <v>0</v>
      </c>
      <c r="AH963" s="76"/>
      <c r="AI963" s="76"/>
      <c r="AJ963" s="76"/>
      <c r="AK963" s="71">
        <v>0.15</v>
      </c>
      <c r="AL963" s="88">
        <v>3.32851318158724E-2</v>
      </c>
      <c r="AM963" s="89">
        <f t="shared" si="14"/>
        <v>0.22190087877248268</v>
      </c>
      <c r="AN963" s="78"/>
    </row>
    <row r="964" spans="1:40" x14ac:dyDescent="0.25">
      <c r="A964" t="s">
        <v>44</v>
      </c>
      <c r="B964" t="s">
        <v>52</v>
      </c>
      <c r="C964" s="121" t="s">
        <v>174</v>
      </c>
      <c r="D964" t="s">
        <v>200</v>
      </c>
      <c r="E964" t="s">
        <v>63</v>
      </c>
      <c r="F964">
        <v>2</v>
      </c>
      <c r="G964">
        <v>19</v>
      </c>
      <c r="H964" s="86">
        <v>45968.339208425903</v>
      </c>
      <c r="I964" s="86">
        <v>45968.444739247701</v>
      </c>
      <c r="J964" s="87">
        <v>2.5327397222222201</v>
      </c>
      <c r="K964" s="69" t="s">
        <v>274</v>
      </c>
      <c r="L964" s="69"/>
      <c r="M964" s="71"/>
      <c r="N964" s="71"/>
      <c r="O964" s="71"/>
      <c r="P964" s="71" t="s">
        <v>275</v>
      </c>
      <c r="Q964" s="88">
        <v>-2.1191001419127902E-3</v>
      </c>
      <c r="R964" s="89" t="s">
        <v>276</v>
      </c>
      <c r="S964" s="89"/>
      <c r="T964">
        <v>7.3</v>
      </c>
      <c r="U964" s="76">
        <v>0.2</v>
      </c>
      <c r="V964">
        <v>9.8000000000000007</v>
      </c>
      <c r="W964" s="90">
        <v>0.1</v>
      </c>
      <c r="X964" s="90"/>
      <c r="Y964" s="71"/>
      <c r="Z964" s="71"/>
      <c r="AA964" s="71"/>
      <c r="AB964" s="71"/>
      <c r="AC964" s="71"/>
      <c r="AD964" s="71"/>
      <c r="AE964" s="71"/>
      <c r="AF964" s="71"/>
      <c r="AG964" s="91">
        <v>0</v>
      </c>
      <c r="AH964" s="76"/>
      <c r="AI964" s="76"/>
      <c r="AJ964" s="76"/>
      <c r="AK964" s="71">
        <v>0.15</v>
      </c>
      <c r="AL964" s="88">
        <v>3.32851318158724E-2</v>
      </c>
      <c r="AM964" s="89">
        <f t="shared" si="14"/>
        <v>0.22190087877248268</v>
      </c>
      <c r="AN964" s="78"/>
    </row>
    <row r="965" spans="1:40" x14ac:dyDescent="0.25">
      <c r="A965" t="s">
        <v>44</v>
      </c>
      <c r="B965" t="s">
        <v>52</v>
      </c>
      <c r="C965" s="121" t="s">
        <v>174</v>
      </c>
      <c r="D965" t="s">
        <v>200</v>
      </c>
      <c r="E965" t="s">
        <v>63</v>
      </c>
      <c r="F965">
        <v>2</v>
      </c>
      <c r="G965">
        <v>20</v>
      </c>
      <c r="H965" s="86">
        <v>45968.444739247701</v>
      </c>
      <c r="I965" s="86">
        <v>45968.550243854203</v>
      </c>
      <c r="J965" s="87">
        <v>2.5321105555555601</v>
      </c>
      <c r="K965" s="69" t="s">
        <v>274</v>
      </c>
      <c r="L965" s="69"/>
      <c r="M965" s="71"/>
      <c r="N965" s="71"/>
      <c r="O965" s="71"/>
      <c r="P965" s="71" t="s">
        <v>275</v>
      </c>
      <c r="Q965" s="88">
        <v>-3.4042307713147298E-3</v>
      </c>
      <c r="R965" s="89" t="s">
        <v>276</v>
      </c>
      <c r="S965" s="89"/>
      <c r="T965">
        <v>8.9</v>
      </c>
      <c r="U965" s="76">
        <v>0.2</v>
      </c>
      <c r="V965">
        <v>9.8000000000000007</v>
      </c>
      <c r="W965" s="90">
        <v>0.1</v>
      </c>
      <c r="X965" s="90"/>
      <c r="Y965" s="71"/>
      <c r="Z965" s="71"/>
      <c r="AA965" s="71"/>
      <c r="AB965" s="71"/>
      <c r="AC965" s="71"/>
      <c r="AD965" s="71"/>
      <c r="AE965" s="71"/>
      <c r="AF965" s="71"/>
      <c r="AG965" s="91">
        <v>0</v>
      </c>
      <c r="AH965" s="76"/>
      <c r="AI965" s="76"/>
      <c r="AJ965" s="76"/>
      <c r="AK965" s="71">
        <v>0.15</v>
      </c>
      <c r="AL965" s="88">
        <v>3.32851318158724E-2</v>
      </c>
      <c r="AM965" s="89">
        <f t="shared" ref="AM965:AM1028" si="15">AL965/AK965</f>
        <v>0.22190087877248268</v>
      </c>
      <c r="AN965" s="78"/>
    </row>
    <row r="966" spans="1:40" x14ac:dyDescent="0.25">
      <c r="A966" t="s">
        <v>44</v>
      </c>
      <c r="B966" t="s">
        <v>52</v>
      </c>
      <c r="C966" s="121" t="s">
        <v>174</v>
      </c>
      <c r="D966" t="s">
        <v>200</v>
      </c>
      <c r="E966" t="s">
        <v>63</v>
      </c>
      <c r="F966">
        <v>2</v>
      </c>
      <c r="G966">
        <v>21</v>
      </c>
      <c r="H966" s="86">
        <v>45968.550243854203</v>
      </c>
      <c r="I966" s="86">
        <v>45968.655756157401</v>
      </c>
      <c r="J966" s="87">
        <v>2.5322952777777799</v>
      </c>
      <c r="K966" s="69" t="s">
        <v>274</v>
      </c>
      <c r="L966" s="69"/>
      <c r="M966" s="71"/>
      <c r="N966" s="71"/>
      <c r="O966" s="71"/>
      <c r="P966" s="71" t="s">
        <v>275</v>
      </c>
      <c r="Q966" s="88">
        <v>-5.0053911153321697E-3</v>
      </c>
      <c r="R966" s="89" t="s">
        <v>276</v>
      </c>
      <c r="S966" s="89"/>
      <c r="T966">
        <v>9.6</v>
      </c>
      <c r="U966" s="76">
        <v>0.2</v>
      </c>
      <c r="V966">
        <v>9.9</v>
      </c>
      <c r="W966" s="90">
        <v>0.1</v>
      </c>
      <c r="X966" s="90"/>
      <c r="Y966" s="71"/>
      <c r="Z966" s="71"/>
      <c r="AA966" s="71"/>
      <c r="AB966" s="71"/>
      <c r="AC966" s="71"/>
      <c r="AD966" s="71"/>
      <c r="AE966" s="71"/>
      <c r="AF966" s="71"/>
      <c r="AG966" s="91">
        <v>0</v>
      </c>
      <c r="AH966" s="76"/>
      <c r="AI966" s="76"/>
      <c r="AJ966" s="76"/>
      <c r="AK966" s="71">
        <v>0.15</v>
      </c>
      <c r="AL966" s="88">
        <v>3.32851318158724E-2</v>
      </c>
      <c r="AM966" s="89">
        <f t="shared" si="15"/>
        <v>0.22190087877248268</v>
      </c>
      <c r="AN966" s="78"/>
    </row>
    <row r="967" spans="1:40" x14ac:dyDescent="0.25">
      <c r="A967" t="s">
        <v>44</v>
      </c>
      <c r="B967" t="s">
        <v>52</v>
      </c>
      <c r="C967" s="121" t="s">
        <v>174</v>
      </c>
      <c r="D967" t="s">
        <v>200</v>
      </c>
      <c r="E967" t="s">
        <v>63</v>
      </c>
      <c r="F967">
        <v>2</v>
      </c>
      <c r="G967">
        <v>22</v>
      </c>
      <c r="H967" s="86">
        <v>45968.655756157401</v>
      </c>
      <c r="I967" s="86">
        <v>45968.761245451402</v>
      </c>
      <c r="J967" s="87">
        <v>2.5317430555555598</v>
      </c>
      <c r="K967" s="69" t="s">
        <v>274</v>
      </c>
      <c r="L967" s="69"/>
      <c r="M967" s="71"/>
      <c r="N967" s="71"/>
      <c r="O967" s="71"/>
      <c r="P967" s="71" t="s">
        <v>275</v>
      </c>
      <c r="Q967" s="88">
        <v>-4.5067162307840603E-3</v>
      </c>
      <c r="R967" s="89" t="s">
        <v>276</v>
      </c>
      <c r="S967" s="89"/>
      <c r="T967">
        <v>8.1</v>
      </c>
      <c r="U967" s="76">
        <v>0.2</v>
      </c>
      <c r="V967">
        <v>10.1</v>
      </c>
      <c r="W967" s="90">
        <v>0.1</v>
      </c>
      <c r="X967" s="90"/>
      <c r="Y967" s="71"/>
      <c r="Z967" s="71"/>
      <c r="AA967" s="71"/>
      <c r="AB967" s="71"/>
      <c r="AC967" s="71"/>
      <c r="AD967" s="71"/>
      <c r="AE967" s="71"/>
      <c r="AF967" s="71"/>
      <c r="AG967" s="91">
        <v>0</v>
      </c>
      <c r="AH967" s="76"/>
      <c r="AI967" s="76"/>
      <c r="AJ967" s="76"/>
      <c r="AK967" s="71">
        <v>0.15</v>
      </c>
      <c r="AL967" s="88">
        <v>3.32851318158724E-2</v>
      </c>
      <c r="AM967" s="89">
        <f t="shared" si="15"/>
        <v>0.22190087877248268</v>
      </c>
      <c r="AN967" s="78"/>
    </row>
    <row r="968" spans="1:40" x14ac:dyDescent="0.25">
      <c r="A968" t="s">
        <v>44</v>
      </c>
      <c r="B968" t="s">
        <v>52</v>
      </c>
      <c r="C968" s="121" t="s">
        <v>174</v>
      </c>
      <c r="D968" t="s">
        <v>200</v>
      </c>
      <c r="E968" t="s">
        <v>63</v>
      </c>
      <c r="F968">
        <v>2</v>
      </c>
      <c r="G968">
        <v>23</v>
      </c>
      <c r="H968" s="86">
        <v>45968.761245451402</v>
      </c>
      <c r="I968" s="86">
        <v>45968.866745081003</v>
      </c>
      <c r="J968" s="87">
        <v>2.5319911111111102</v>
      </c>
      <c r="K968" s="69" t="s">
        <v>274</v>
      </c>
      <c r="L968" s="69"/>
      <c r="M968" s="71"/>
      <c r="N968" s="71"/>
      <c r="O968" s="71"/>
      <c r="P968" s="71" t="s">
        <v>275</v>
      </c>
      <c r="Q968" s="88">
        <v>-4.0362465958057496E-3</v>
      </c>
      <c r="R968" s="89" t="s">
        <v>276</v>
      </c>
      <c r="S968" s="89"/>
      <c r="T968">
        <v>7.9</v>
      </c>
      <c r="U968" s="76">
        <v>0.2</v>
      </c>
      <c r="V968">
        <v>10.199999999999999</v>
      </c>
      <c r="W968" s="90">
        <v>0.1</v>
      </c>
      <c r="X968" s="90"/>
      <c r="Y968" s="71"/>
      <c r="Z968" s="71"/>
      <c r="AA968" s="71"/>
      <c r="AB968" s="71"/>
      <c r="AC968" s="71"/>
      <c r="AD968" s="71"/>
      <c r="AE968" s="71"/>
      <c r="AF968" s="71"/>
      <c r="AG968" s="91">
        <v>0</v>
      </c>
      <c r="AH968" s="76"/>
      <c r="AI968" s="76"/>
      <c r="AJ968" s="76"/>
      <c r="AK968" s="71">
        <v>0.15</v>
      </c>
      <c r="AL968" s="88">
        <v>3.32851318158724E-2</v>
      </c>
      <c r="AM968" s="89">
        <f t="shared" si="15"/>
        <v>0.22190087877248268</v>
      </c>
      <c r="AN968" s="78"/>
    </row>
    <row r="969" spans="1:40" x14ac:dyDescent="0.25">
      <c r="A969" t="s">
        <v>44</v>
      </c>
      <c r="B969" t="s">
        <v>52</v>
      </c>
      <c r="C969" s="121" t="s">
        <v>174</v>
      </c>
      <c r="D969" t="s">
        <v>200</v>
      </c>
      <c r="E969" t="s">
        <v>63</v>
      </c>
      <c r="F969">
        <v>2</v>
      </c>
      <c r="G969">
        <v>24</v>
      </c>
      <c r="H969" s="86">
        <v>45968.866745081003</v>
      </c>
      <c r="I969" s="86">
        <v>45968.972246354198</v>
      </c>
      <c r="J969" s="87">
        <v>2.53203055555556</v>
      </c>
      <c r="K969" s="69" t="s">
        <v>274</v>
      </c>
      <c r="L969" s="69"/>
      <c r="M969" s="71"/>
      <c r="N969" s="71"/>
      <c r="O969" s="71"/>
      <c r="P969" s="71" t="s">
        <v>275</v>
      </c>
      <c r="Q969" s="88">
        <v>-3.2239297129168999E-3</v>
      </c>
      <c r="R969" s="89" t="s">
        <v>276</v>
      </c>
      <c r="S969" s="89"/>
      <c r="T969">
        <v>7.9</v>
      </c>
      <c r="U969" s="76">
        <v>0.2</v>
      </c>
      <c r="V969">
        <v>10.199999999999999</v>
      </c>
      <c r="W969" s="90">
        <v>0.1</v>
      </c>
      <c r="X969" s="90"/>
      <c r="Y969" s="71"/>
      <c r="Z969" s="71"/>
      <c r="AA969" s="71"/>
      <c r="AB969" s="71"/>
      <c r="AC969" s="71"/>
      <c r="AD969" s="71"/>
      <c r="AE969" s="71"/>
      <c r="AF969" s="71"/>
      <c r="AG969" s="91">
        <v>0</v>
      </c>
      <c r="AH969" s="76"/>
      <c r="AI969" s="76"/>
      <c r="AJ969" s="76"/>
      <c r="AK969" s="71">
        <v>0.15</v>
      </c>
      <c r="AL969" s="88">
        <v>3.32851318158724E-2</v>
      </c>
      <c r="AM969" s="89">
        <f t="shared" si="15"/>
        <v>0.22190087877248268</v>
      </c>
      <c r="AN969" s="78"/>
    </row>
    <row r="970" spans="1:40" x14ac:dyDescent="0.25">
      <c r="A970" t="s">
        <v>44</v>
      </c>
      <c r="B970" t="s">
        <v>52</v>
      </c>
      <c r="C970" s="121" t="s">
        <v>174</v>
      </c>
      <c r="D970" t="s">
        <v>200</v>
      </c>
      <c r="E970" t="s">
        <v>63</v>
      </c>
      <c r="F970">
        <v>2</v>
      </c>
      <c r="G970">
        <v>25</v>
      </c>
      <c r="H970" s="86">
        <v>45968.972246354198</v>
      </c>
      <c r="I970" s="86">
        <v>45969.077747037001</v>
      </c>
      <c r="J970" s="87">
        <v>2.53201638888889</v>
      </c>
      <c r="K970" s="69" t="s">
        <v>274</v>
      </c>
      <c r="L970" s="69"/>
      <c r="M970" s="71"/>
      <c r="N970" s="71"/>
      <c r="O970" s="71"/>
      <c r="P970" s="71" t="s">
        <v>275</v>
      </c>
      <c r="Q970" s="88">
        <v>-3.16166698325623E-3</v>
      </c>
      <c r="R970" s="89" t="s">
        <v>276</v>
      </c>
      <c r="S970" s="89"/>
      <c r="T970">
        <v>8</v>
      </c>
      <c r="U970" s="76">
        <v>0.2</v>
      </c>
      <c r="V970">
        <v>10.1</v>
      </c>
      <c r="W970" s="90">
        <v>0.1</v>
      </c>
      <c r="X970" s="90"/>
      <c r="Y970" s="71"/>
      <c r="Z970" s="71"/>
      <c r="AA970" s="71"/>
      <c r="AB970" s="71"/>
      <c r="AC970" s="71"/>
      <c r="AD970" s="71"/>
      <c r="AE970" s="71"/>
      <c r="AF970" s="71"/>
      <c r="AG970" s="91">
        <v>0</v>
      </c>
      <c r="AH970" s="76"/>
      <c r="AI970" s="76"/>
      <c r="AJ970" s="76"/>
      <c r="AK970" s="71">
        <v>0.15</v>
      </c>
      <c r="AL970" s="88">
        <v>3.32851318158724E-2</v>
      </c>
      <c r="AM970" s="89">
        <f t="shared" si="15"/>
        <v>0.22190087877248268</v>
      </c>
      <c r="AN970" s="78"/>
    </row>
    <row r="971" spans="1:40" x14ac:dyDescent="0.25">
      <c r="A971" t="s">
        <v>44</v>
      </c>
      <c r="B971" t="s">
        <v>52</v>
      </c>
      <c r="C971" s="121" t="s">
        <v>174</v>
      </c>
      <c r="D971" t="s">
        <v>200</v>
      </c>
      <c r="E971" t="s">
        <v>63</v>
      </c>
      <c r="F971">
        <v>2</v>
      </c>
      <c r="G971">
        <v>26</v>
      </c>
      <c r="H971" s="86">
        <v>45969.077747037001</v>
      </c>
      <c r="I971" s="86">
        <v>45969.183240081002</v>
      </c>
      <c r="J971" s="87">
        <v>2.5318330555555599</v>
      </c>
      <c r="K971" s="69" t="s">
        <v>274</v>
      </c>
      <c r="L971" s="69"/>
      <c r="M971" s="71"/>
      <c r="N971" s="71"/>
      <c r="O971" s="71"/>
      <c r="P971" s="71" t="s">
        <v>275</v>
      </c>
      <c r="Q971" s="88">
        <v>-3.5498874831183099E-3</v>
      </c>
      <c r="R971" s="89" t="s">
        <v>276</v>
      </c>
      <c r="S971" s="89"/>
      <c r="T971">
        <v>8.1999999999999993</v>
      </c>
      <c r="U971" s="76">
        <v>0.2</v>
      </c>
      <c r="V971">
        <v>10.1</v>
      </c>
      <c r="W971" s="90">
        <v>0.1</v>
      </c>
      <c r="X971" s="90"/>
      <c r="Y971" s="71"/>
      <c r="Z971" s="71"/>
      <c r="AA971" s="71"/>
      <c r="AB971" s="71"/>
      <c r="AC971" s="71"/>
      <c r="AD971" s="71"/>
      <c r="AE971" s="71"/>
      <c r="AF971" s="71"/>
      <c r="AG971" s="91">
        <v>0</v>
      </c>
      <c r="AH971" s="76"/>
      <c r="AI971" s="76"/>
      <c r="AJ971" s="76"/>
      <c r="AK971" s="71">
        <v>0.15</v>
      </c>
      <c r="AL971" s="88">
        <v>3.32851318158724E-2</v>
      </c>
      <c r="AM971" s="89">
        <f t="shared" si="15"/>
        <v>0.22190087877248268</v>
      </c>
      <c r="AN971" s="78"/>
    </row>
    <row r="972" spans="1:40" x14ac:dyDescent="0.25">
      <c r="A972" t="s">
        <v>44</v>
      </c>
      <c r="B972" t="s">
        <v>52</v>
      </c>
      <c r="C972" s="121" t="s">
        <v>174</v>
      </c>
      <c r="D972" t="s">
        <v>200</v>
      </c>
      <c r="E972" t="s">
        <v>63</v>
      </c>
      <c r="F972">
        <v>2</v>
      </c>
      <c r="G972">
        <v>27</v>
      </c>
      <c r="H972" s="86">
        <v>45969.183240081002</v>
      </c>
      <c r="I972" s="86">
        <v>45969.288749687497</v>
      </c>
      <c r="J972" s="87">
        <v>2.53223055555556</v>
      </c>
      <c r="K972" s="69" t="s">
        <v>274</v>
      </c>
      <c r="L972" s="69"/>
      <c r="M972" s="71"/>
      <c r="N972" s="71"/>
      <c r="O972" s="71"/>
      <c r="P972" s="71" t="s">
        <v>275</v>
      </c>
      <c r="Q972" s="88">
        <v>-3.6718925830909401E-3</v>
      </c>
      <c r="R972" s="89" t="s">
        <v>276</v>
      </c>
      <c r="S972" s="89"/>
      <c r="T972">
        <v>8.1</v>
      </c>
      <c r="U972" s="76">
        <v>0.2</v>
      </c>
      <c r="V972">
        <v>10.1</v>
      </c>
      <c r="W972" s="90">
        <v>0.1</v>
      </c>
      <c r="X972" s="90"/>
      <c r="Y972" s="71"/>
      <c r="Z972" s="71"/>
      <c r="AA972" s="71"/>
      <c r="AB972" s="71"/>
      <c r="AC972" s="71"/>
      <c r="AD972" s="71"/>
      <c r="AE972" s="71"/>
      <c r="AF972" s="71"/>
      <c r="AG972" s="91">
        <v>0</v>
      </c>
      <c r="AH972" s="76"/>
      <c r="AI972" s="76"/>
      <c r="AJ972" s="76"/>
      <c r="AK972" s="71">
        <v>0.15</v>
      </c>
      <c r="AL972" s="88">
        <v>3.32851318158724E-2</v>
      </c>
      <c r="AM972" s="89">
        <f t="shared" si="15"/>
        <v>0.22190087877248268</v>
      </c>
      <c r="AN972" s="78"/>
    </row>
    <row r="973" spans="1:40" x14ac:dyDescent="0.25">
      <c r="A973" t="s">
        <v>44</v>
      </c>
      <c r="B973" t="s">
        <v>52</v>
      </c>
      <c r="C973" s="121" t="s">
        <v>174</v>
      </c>
      <c r="D973" t="s">
        <v>200</v>
      </c>
      <c r="E973" t="s">
        <v>63</v>
      </c>
      <c r="F973">
        <v>2</v>
      </c>
      <c r="G973">
        <v>28</v>
      </c>
      <c r="H973" s="86">
        <v>45969.288749687497</v>
      </c>
      <c r="I973" s="86">
        <v>45969.394250011603</v>
      </c>
      <c r="J973" s="87">
        <v>2.5320077777777801</v>
      </c>
      <c r="K973" s="69" t="s">
        <v>274</v>
      </c>
      <c r="L973" s="69"/>
      <c r="M973" s="71"/>
      <c r="N973" s="71"/>
      <c r="O973" s="71"/>
      <c r="P973" s="71" t="s">
        <v>275</v>
      </c>
      <c r="Q973" s="88">
        <v>-3.5028711395354299E-3</v>
      </c>
      <c r="R973" s="89" t="s">
        <v>276</v>
      </c>
      <c r="S973" s="89"/>
      <c r="T973">
        <v>8</v>
      </c>
      <c r="U973" s="76">
        <v>0.2</v>
      </c>
      <c r="V973">
        <v>10.1</v>
      </c>
      <c r="W973" s="90">
        <v>0.1</v>
      </c>
      <c r="X973" s="90"/>
      <c r="Y973" s="71"/>
      <c r="Z973" s="71"/>
      <c r="AA973" s="71"/>
      <c r="AB973" s="71"/>
      <c r="AC973" s="71"/>
      <c r="AD973" s="71"/>
      <c r="AE973" s="71"/>
      <c r="AF973" s="71"/>
      <c r="AG973" s="91">
        <v>0</v>
      </c>
      <c r="AH973" s="76"/>
      <c r="AI973" s="76"/>
      <c r="AJ973" s="76"/>
      <c r="AK973" s="71">
        <v>0.15</v>
      </c>
      <c r="AL973" s="88">
        <v>3.32851318158724E-2</v>
      </c>
      <c r="AM973" s="89">
        <f t="shared" si="15"/>
        <v>0.22190087877248268</v>
      </c>
      <c r="AN973" s="78"/>
    </row>
    <row r="974" spans="1:40" x14ac:dyDescent="0.25">
      <c r="A974" t="s">
        <v>44</v>
      </c>
      <c r="B974" t="s">
        <v>52</v>
      </c>
      <c r="C974" s="121" t="s">
        <v>174</v>
      </c>
      <c r="D974" t="s">
        <v>200</v>
      </c>
      <c r="E974" t="s">
        <v>63</v>
      </c>
      <c r="F974">
        <v>2</v>
      </c>
      <c r="G974">
        <v>29</v>
      </c>
      <c r="H974" s="86">
        <v>45969.394250011603</v>
      </c>
      <c r="I974" s="86">
        <v>45969.4997590278</v>
      </c>
      <c r="J974" s="87">
        <v>2.53221638888889</v>
      </c>
      <c r="K974" s="69" t="s">
        <v>274</v>
      </c>
      <c r="L974" s="69"/>
      <c r="M974" s="71"/>
      <c r="N974" s="71"/>
      <c r="O974" s="71"/>
      <c r="P974" s="71" t="s">
        <v>275</v>
      </c>
      <c r="Q974" s="88">
        <v>-3.7934619350656102E-3</v>
      </c>
      <c r="R974" s="89" t="s">
        <v>276</v>
      </c>
      <c r="S974" s="89"/>
      <c r="T974">
        <v>8.1999999999999993</v>
      </c>
      <c r="U974" s="76">
        <v>0.2</v>
      </c>
      <c r="V974">
        <v>10.1</v>
      </c>
      <c r="W974" s="90">
        <v>0.1</v>
      </c>
      <c r="X974" s="90"/>
      <c r="Y974" s="71"/>
      <c r="Z974" s="71"/>
      <c r="AA974" s="71"/>
      <c r="AB974" s="71"/>
      <c r="AC974" s="71"/>
      <c r="AD974" s="71"/>
      <c r="AE974" s="71"/>
      <c r="AF974" s="71"/>
      <c r="AG974" s="91">
        <v>0</v>
      </c>
      <c r="AH974" s="76"/>
      <c r="AI974" s="76"/>
      <c r="AJ974" s="76"/>
      <c r="AK974" s="71">
        <v>0.15</v>
      </c>
      <c r="AL974" s="88">
        <v>3.32851318158724E-2</v>
      </c>
      <c r="AM974" s="89">
        <f t="shared" si="15"/>
        <v>0.22190087877248268</v>
      </c>
      <c r="AN974" s="78"/>
    </row>
    <row r="975" spans="1:40" x14ac:dyDescent="0.25">
      <c r="A975" t="s">
        <v>44</v>
      </c>
      <c r="B975" t="s">
        <v>52</v>
      </c>
      <c r="C975" s="121" t="s">
        <v>174</v>
      </c>
      <c r="D975" t="s">
        <v>200</v>
      </c>
      <c r="E975" t="s">
        <v>63</v>
      </c>
      <c r="F975">
        <v>2</v>
      </c>
      <c r="G975">
        <v>30</v>
      </c>
      <c r="H975" s="86">
        <v>45969.4997590278</v>
      </c>
      <c r="I975" s="86">
        <v>45969.6052459028</v>
      </c>
      <c r="J975" s="87">
        <v>2.531685</v>
      </c>
      <c r="K975" s="69" t="s">
        <v>274</v>
      </c>
      <c r="L975" s="69"/>
      <c r="M975" s="71"/>
      <c r="N975" s="71"/>
      <c r="O975" s="71"/>
      <c r="P975" s="71" t="s">
        <v>275</v>
      </c>
      <c r="Q975" s="88">
        <v>-4.0693313806322599E-3</v>
      </c>
      <c r="R975" s="89" t="s">
        <v>276</v>
      </c>
      <c r="S975" s="89"/>
      <c r="T975">
        <v>8.6</v>
      </c>
      <c r="U975" s="76">
        <v>0.2</v>
      </c>
      <c r="V975">
        <v>10.1</v>
      </c>
      <c r="W975" s="90">
        <v>0.1</v>
      </c>
      <c r="X975" s="90"/>
      <c r="Y975" s="71"/>
      <c r="Z975" s="71"/>
      <c r="AA975" s="71"/>
      <c r="AB975" s="71"/>
      <c r="AC975" s="71"/>
      <c r="AD975" s="71"/>
      <c r="AE975" s="71"/>
      <c r="AF975" s="71"/>
      <c r="AG975" s="91">
        <v>0</v>
      </c>
      <c r="AH975" s="76"/>
      <c r="AI975" s="76"/>
      <c r="AJ975" s="76"/>
      <c r="AK975" s="71">
        <v>0.15</v>
      </c>
      <c r="AL975" s="88">
        <v>3.32851318158724E-2</v>
      </c>
      <c r="AM975" s="89">
        <f t="shared" si="15"/>
        <v>0.22190087877248268</v>
      </c>
      <c r="AN975" s="78"/>
    </row>
    <row r="976" spans="1:40" x14ac:dyDescent="0.25">
      <c r="A976" t="s">
        <v>44</v>
      </c>
      <c r="B976" t="s">
        <v>52</v>
      </c>
      <c r="C976" s="121" t="s">
        <v>174</v>
      </c>
      <c r="D976" t="s">
        <v>200</v>
      </c>
      <c r="E976" t="s">
        <v>63</v>
      </c>
      <c r="F976">
        <v>2</v>
      </c>
      <c r="G976">
        <v>31</v>
      </c>
      <c r="H976" s="86">
        <v>45969.6052459028</v>
      </c>
      <c r="I976" s="86">
        <v>45969.710761412003</v>
      </c>
      <c r="J976" s="87">
        <v>2.5323722222222198</v>
      </c>
      <c r="K976" s="69" t="s">
        <v>274</v>
      </c>
      <c r="L976" s="69"/>
      <c r="M976" s="71"/>
      <c r="N976" s="71"/>
      <c r="O976" s="71"/>
      <c r="P976" s="71" t="s">
        <v>275</v>
      </c>
      <c r="Q976" s="88">
        <v>-3.5176851405401299E-3</v>
      </c>
      <c r="R976" s="89" t="s">
        <v>276</v>
      </c>
      <c r="S976" s="89"/>
      <c r="T976">
        <v>8.4</v>
      </c>
      <c r="U976" s="76">
        <v>0.2</v>
      </c>
      <c r="V976">
        <v>10.199999999999999</v>
      </c>
      <c r="W976" s="90">
        <v>0.1</v>
      </c>
      <c r="X976" s="90"/>
      <c r="Y976" s="71"/>
      <c r="Z976" s="71"/>
      <c r="AA976" s="71"/>
      <c r="AB976" s="71"/>
      <c r="AC976" s="71"/>
      <c r="AD976" s="71"/>
      <c r="AE976" s="71"/>
      <c r="AF976" s="71"/>
      <c r="AG976" s="91">
        <v>0</v>
      </c>
      <c r="AH976" s="76"/>
      <c r="AI976" s="76"/>
      <c r="AJ976" s="76"/>
      <c r="AK976" s="71">
        <v>0.15</v>
      </c>
      <c r="AL976" s="88">
        <v>3.32851318158724E-2</v>
      </c>
      <c r="AM976" s="89">
        <f t="shared" si="15"/>
        <v>0.22190087877248268</v>
      </c>
      <c r="AN976" s="78"/>
    </row>
    <row r="977" spans="1:40" x14ac:dyDescent="0.25">
      <c r="A977" t="s">
        <v>44</v>
      </c>
      <c r="B977" t="s">
        <v>52</v>
      </c>
      <c r="C977" s="121" t="s">
        <v>174</v>
      </c>
      <c r="D977" t="s">
        <v>200</v>
      </c>
      <c r="E977" t="s">
        <v>63</v>
      </c>
      <c r="F977">
        <v>2</v>
      </c>
      <c r="G977">
        <v>32</v>
      </c>
      <c r="H977" s="86">
        <v>45969.710761412003</v>
      </c>
      <c r="I977" s="86">
        <v>45969.816252326404</v>
      </c>
      <c r="J977" s="87">
        <v>2.53178194444444</v>
      </c>
      <c r="K977" s="69" t="s">
        <v>274</v>
      </c>
      <c r="L977" s="69"/>
      <c r="M977" s="71"/>
      <c r="N977" s="71"/>
      <c r="O977" s="71"/>
      <c r="P977" s="71" t="s">
        <v>275</v>
      </c>
      <c r="Q977" s="88">
        <v>-3.1138660049292999E-3</v>
      </c>
      <c r="R977" s="89" t="s">
        <v>276</v>
      </c>
      <c r="S977" s="89"/>
      <c r="T977">
        <v>8</v>
      </c>
      <c r="U977" s="76">
        <v>0.2</v>
      </c>
      <c r="V977">
        <v>10.199999999999999</v>
      </c>
      <c r="W977" s="90">
        <v>0.1</v>
      </c>
      <c r="X977" s="90"/>
      <c r="Y977" s="71"/>
      <c r="Z977" s="71"/>
      <c r="AA977" s="71"/>
      <c r="AB977" s="71"/>
      <c r="AC977" s="71"/>
      <c r="AD977" s="71"/>
      <c r="AE977" s="71"/>
      <c r="AF977" s="71"/>
      <c r="AG977" s="91">
        <v>0</v>
      </c>
      <c r="AH977" s="76"/>
      <c r="AI977" s="76"/>
      <c r="AJ977" s="76"/>
      <c r="AK977" s="71">
        <v>0.15</v>
      </c>
      <c r="AL977" s="88">
        <v>3.32851318158724E-2</v>
      </c>
      <c r="AM977" s="89">
        <f t="shared" si="15"/>
        <v>0.22190087877248268</v>
      </c>
      <c r="AN977" s="78"/>
    </row>
    <row r="978" spans="1:40" x14ac:dyDescent="0.25">
      <c r="A978" t="s">
        <v>44</v>
      </c>
      <c r="B978" t="s">
        <v>52</v>
      </c>
      <c r="C978" s="121" t="s">
        <v>174</v>
      </c>
      <c r="D978" t="s">
        <v>200</v>
      </c>
      <c r="E978" t="s">
        <v>63</v>
      </c>
      <c r="F978">
        <v>2</v>
      </c>
      <c r="G978">
        <v>33</v>
      </c>
      <c r="H978" s="86">
        <v>45969.816252326404</v>
      </c>
      <c r="I978" s="86">
        <v>45969.921757349497</v>
      </c>
      <c r="J978" s="87">
        <v>2.5321205555555601</v>
      </c>
      <c r="K978" s="69" t="s">
        <v>274</v>
      </c>
      <c r="L978" s="69"/>
      <c r="M978" s="71"/>
      <c r="N978" s="71"/>
      <c r="O978" s="71"/>
      <c r="P978" s="71" t="s">
        <v>275</v>
      </c>
      <c r="Q978" s="88">
        <v>-3.3535832600099999E-3</v>
      </c>
      <c r="R978" s="89" t="s">
        <v>276</v>
      </c>
      <c r="S978" s="89"/>
      <c r="T978">
        <v>7.8</v>
      </c>
      <c r="U978" s="76">
        <v>0.2</v>
      </c>
      <c r="V978">
        <v>10.199999999999999</v>
      </c>
      <c r="W978" s="90">
        <v>0.1</v>
      </c>
      <c r="X978" s="90"/>
      <c r="Y978" s="71"/>
      <c r="Z978" s="71"/>
      <c r="AA978" s="71"/>
      <c r="AB978" s="71"/>
      <c r="AC978" s="71"/>
      <c r="AD978" s="71"/>
      <c r="AE978" s="71"/>
      <c r="AF978" s="71"/>
      <c r="AG978" s="91">
        <v>0</v>
      </c>
      <c r="AH978" s="76"/>
      <c r="AI978" s="76"/>
      <c r="AJ978" s="76"/>
      <c r="AK978" s="71">
        <v>0.15</v>
      </c>
      <c r="AL978" s="88">
        <v>3.32851318158724E-2</v>
      </c>
      <c r="AM978" s="89">
        <f t="shared" si="15"/>
        <v>0.22190087877248268</v>
      </c>
      <c r="AN978" s="78"/>
    </row>
    <row r="979" spans="1:40" x14ac:dyDescent="0.25">
      <c r="A979" t="s">
        <v>44</v>
      </c>
      <c r="B979" t="s">
        <v>52</v>
      </c>
      <c r="C979" s="121" t="s">
        <v>174</v>
      </c>
      <c r="D979" t="s">
        <v>200</v>
      </c>
      <c r="E979" t="s">
        <v>63</v>
      </c>
      <c r="F979">
        <v>2</v>
      </c>
      <c r="G979">
        <v>34</v>
      </c>
      <c r="H979" s="86">
        <v>45969.921757349497</v>
      </c>
      <c r="I979" s="86">
        <v>45970.027252268497</v>
      </c>
      <c r="J979" s="87">
        <v>2.53187805555556</v>
      </c>
      <c r="K979" s="69" t="s">
        <v>274</v>
      </c>
      <c r="L979" s="69"/>
      <c r="M979" s="71"/>
      <c r="N979" s="71"/>
      <c r="O979" s="71"/>
      <c r="P979" s="71" t="s">
        <v>275</v>
      </c>
      <c r="Q979" s="88">
        <v>-2.9099594986379301E-3</v>
      </c>
      <c r="R979" s="89" t="s">
        <v>276</v>
      </c>
      <c r="S979" s="89"/>
      <c r="T979">
        <v>7.8</v>
      </c>
      <c r="U979" s="76">
        <v>0.2</v>
      </c>
      <c r="V979">
        <v>10.199999999999999</v>
      </c>
      <c r="W979" s="90">
        <v>0.1</v>
      </c>
      <c r="X979" s="90"/>
      <c r="Y979" s="71"/>
      <c r="Z979" s="71"/>
      <c r="AA979" s="71"/>
      <c r="AB979" s="71"/>
      <c r="AC979" s="71"/>
      <c r="AD979" s="71"/>
      <c r="AE979" s="71"/>
      <c r="AF979" s="71"/>
      <c r="AG979" s="91">
        <v>0</v>
      </c>
      <c r="AH979" s="76"/>
      <c r="AI979" s="76"/>
      <c r="AJ979" s="76"/>
      <c r="AK979" s="71">
        <v>0.15</v>
      </c>
      <c r="AL979" s="88">
        <v>3.32851318158724E-2</v>
      </c>
      <c r="AM979" s="89">
        <f t="shared" si="15"/>
        <v>0.22190087877248268</v>
      </c>
      <c r="AN979" s="78"/>
    </row>
    <row r="980" spans="1:40" x14ac:dyDescent="0.25">
      <c r="A980" t="s">
        <v>44</v>
      </c>
      <c r="B980" t="s">
        <v>52</v>
      </c>
      <c r="C980" s="121" t="s">
        <v>174</v>
      </c>
      <c r="D980" t="s">
        <v>200</v>
      </c>
      <c r="E980" t="s">
        <v>63</v>
      </c>
      <c r="F980">
        <v>2</v>
      </c>
      <c r="G980">
        <v>35</v>
      </c>
      <c r="H980" s="86">
        <v>45970.027252268497</v>
      </c>
      <c r="I980" s="86">
        <v>45970.132768935197</v>
      </c>
      <c r="J980" s="87">
        <v>2.5324</v>
      </c>
      <c r="K980" s="69" t="s">
        <v>274</v>
      </c>
      <c r="L980" s="69"/>
      <c r="M980" s="71"/>
      <c r="N980" s="71"/>
      <c r="O980" s="71"/>
      <c r="P980" s="71" t="s">
        <v>275</v>
      </c>
      <c r="Q980" s="88">
        <v>-2.81386111077715E-3</v>
      </c>
      <c r="R980" s="89" t="s">
        <v>276</v>
      </c>
      <c r="S980" s="89"/>
      <c r="T980">
        <v>7.4</v>
      </c>
      <c r="U980" s="76">
        <v>0.2</v>
      </c>
      <c r="V980">
        <v>10.1</v>
      </c>
      <c r="W980" s="90">
        <v>0.1</v>
      </c>
      <c r="X980" s="90"/>
      <c r="Y980" s="71"/>
      <c r="Z980" s="71"/>
      <c r="AA980" s="71"/>
      <c r="AB980" s="71"/>
      <c r="AC980" s="71"/>
      <c r="AD980" s="71"/>
      <c r="AE980" s="71"/>
      <c r="AF980" s="71"/>
      <c r="AG980" s="91">
        <v>0.1</v>
      </c>
      <c r="AH980" s="76"/>
      <c r="AI980" s="76"/>
      <c r="AJ980" s="76"/>
      <c r="AK980" s="71">
        <v>0.15</v>
      </c>
      <c r="AL980" s="88">
        <v>3.32851318158724E-2</v>
      </c>
      <c r="AM980" s="89">
        <f t="shared" si="15"/>
        <v>0.22190087877248268</v>
      </c>
      <c r="AN980" s="78"/>
    </row>
    <row r="981" spans="1:40" x14ac:dyDescent="0.25">
      <c r="A981" t="s">
        <v>44</v>
      </c>
      <c r="B981" t="s">
        <v>52</v>
      </c>
      <c r="C981" s="121" t="s">
        <v>174</v>
      </c>
      <c r="D981" t="s">
        <v>200</v>
      </c>
      <c r="E981" t="s">
        <v>63</v>
      </c>
      <c r="F981">
        <v>2</v>
      </c>
      <c r="G981">
        <v>36</v>
      </c>
      <c r="H981" s="86">
        <v>45970.132768935197</v>
      </c>
      <c r="I981" s="86">
        <v>45970.238261099497</v>
      </c>
      <c r="J981" s="87">
        <v>2.5318119444444398</v>
      </c>
      <c r="K981" s="69" t="s">
        <v>274</v>
      </c>
      <c r="L981" s="69"/>
      <c r="M981" s="71"/>
      <c r="N981" s="71"/>
      <c r="O981" s="71"/>
      <c r="P981" s="71" t="s">
        <v>275</v>
      </c>
      <c r="Q981" s="88">
        <v>-2.6549697867011002E-3</v>
      </c>
      <c r="R981" s="89" t="s">
        <v>276</v>
      </c>
      <c r="S981" s="89"/>
      <c r="T981">
        <v>7.1</v>
      </c>
      <c r="U981" s="76">
        <v>0.2</v>
      </c>
      <c r="V981">
        <v>10.1</v>
      </c>
      <c r="W981" s="90">
        <v>0.1</v>
      </c>
      <c r="X981" s="90"/>
      <c r="Y981" s="71"/>
      <c r="Z981" s="71"/>
      <c r="AA981" s="71"/>
      <c r="AB981" s="71"/>
      <c r="AC981" s="71"/>
      <c r="AD981" s="71"/>
      <c r="AE981" s="71"/>
      <c r="AF981" s="71"/>
      <c r="AG981" s="91">
        <v>0</v>
      </c>
      <c r="AH981" s="76"/>
      <c r="AI981" s="76"/>
      <c r="AJ981" s="76"/>
      <c r="AK981" s="71">
        <v>0.15</v>
      </c>
      <c r="AL981" s="88">
        <v>3.32851318158724E-2</v>
      </c>
      <c r="AM981" s="89">
        <f t="shared" si="15"/>
        <v>0.22190087877248268</v>
      </c>
      <c r="AN981" s="78"/>
    </row>
    <row r="982" spans="1:40" x14ac:dyDescent="0.25">
      <c r="A982" t="s">
        <v>44</v>
      </c>
      <c r="B982" t="s">
        <v>52</v>
      </c>
      <c r="C982" s="121" t="s">
        <v>174</v>
      </c>
      <c r="D982" t="s">
        <v>200</v>
      </c>
      <c r="E982" t="s">
        <v>63</v>
      </c>
      <c r="F982">
        <v>2</v>
      </c>
      <c r="G982">
        <v>37</v>
      </c>
      <c r="H982" s="86">
        <v>45970.238261099497</v>
      </c>
      <c r="I982" s="86">
        <v>45970.343761446798</v>
      </c>
      <c r="J982" s="87">
        <v>2.5320083333333301</v>
      </c>
      <c r="K982" s="69" t="s">
        <v>274</v>
      </c>
      <c r="L982" s="69"/>
      <c r="M982" s="71"/>
      <c r="N982" s="71"/>
      <c r="O982" s="71"/>
      <c r="P982" s="71" t="s">
        <v>275</v>
      </c>
      <c r="Q982" s="88">
        <v>-2.6037875355936499E-3</v>
      </c>
      <c r="R982" s="89" t="s">
        <v>276</v>
      </c>
      <c r="S982" s="89"/>
      <c r="T982">
        <v>6.8</v>
      </c>
      <c r="U982" s="76">
        <v>0.2</v>
      </c>
      <c r="V982">
        <v>10</v>
      </c>
      <c r="W982" s="90">
        <v>0.1</v>
      </c>
      <c r="X982" s="90"/>
      <c r="Y982" s="71"/>
      <c r="Z982" s="71"/>
      <c r="AA982" s="71"/>
      <c r="AB982" s="71"/>
      <c r="AC982" s="71"/>
      <c r="AD982" s="71"/>
      <c r="AE982" s="71"/>
      <c r="AF982" s="71"/>
      <c r="AG982" s="91">
        <v>0</v>
      </c>
      <c r="AH982" s="76"/>
      <c r="AI982" s="76"/>
      <c r="AJ982" s="76"/>
      <c r="AK982" s="71">
        <v>0.15</v>
      </c>
      <c r="AL982" s="88">
        <v>3.32851318158724E-2</v>
      </c>
      <c r="AM982" s="89">
        <f t="shared" si="15"/>
        <v>0.22190087877248268</v>
      </c>
      <c r="AN982" s="78"/>
    </row>
    <row r="983" spans="1:40" x14ac:dyDescent="0.25">
      <c r="A983" t="s">
        <v>44</v>
      </c>
      <c r="B983" t="s">
        <v>52</v>
      </c>
      <c r="C983" s="121" t="s">
        <v>174</v>
      </c>
      <c r="D983" t="s">
        <v>200</v>
      </c>
      <c r="E983" t="s">
        <v>63</v>
      </c>
      <c r="F983">
        <v>2</v>
      </c>
      <c r="G983">
        <v>38</v>
      </c>
      <c r="H983" s="86">
        <v>45970.343761446798</v>
      </c>
      <c r="I983" s="86">
        <v>45970.449260347203</v>
      </c>
      <c r="J983" s="87">
        <v>2.53197361111111</v>
      </c>
      <c r="K983" s="69" t="s">
        <v>274</v>
      </c>
      <c r="L983" s="69"/>
      <c r="M983" s="71"/>
      <c r="N983" s="71"/>
      <c r="O983" s="71"/>
      <c r="P983" s="71" t="s">
        <v>275</v>
      </c>
      <c r="Q983" s="88">
        <v>-2.66557971635585E-3</v>
      </c>
      <c r="R983" s="89" t="s">
        <v>276</v>
      </c>
      <c r="S983" s="89"/>
      <c r="T983">
        <v>6.8</v>
      </c>
      <c r="U983" s="76">
        <v>0.2</v>
      </c>
      <c r="V983">
        <v>10</v>
      </c>
      <c r="W983" s="90">
        <v>0.1</v>
      </c>
      <c r="X983" s="90"/>
      <c r="Y983" s="71"/>
      <c r="Z983" s="71"/>
      <c r="AA983" s="71"/>
      <c r="AB983" s="71"/>
      <c r="AC983" s="71"/>
      <c r="AD983" s="71"/>
      <c r="AE983" s="71"/>
      <c r="AF983" s="71"/>
      <c r="AG983" s="91">
        <v>0</v>
      </c>
      <c r="AH983" s="76"/>
      <c r="AI983" s="76"/>
      <c r="AJ983" s="76"/>
      <c r="AK983" s="71">
        <v>0.15</v>
      </c>
      <c r="AL983" s="88">
        <v>3.32851318158724E-2</v>
      </c>
      <c r="AM983" s="89">
        <f t="shared" si="15"/>
        <v>0.22190087877248268</v>
      </c>
      <c r="AN983" s="78"/>
    </row>
    <row r="984" spans="1:40" x14ac:dyDescent="0.25">
      <c r="A984" t="s">
        <v>44</v>
      </c>
      <c r="B984" t="s">
        <v>52</v>
      </c>
      <c r="C984" s="121" t="s">
        <v>174</v>
      </c>
      <c r="D984" t="s">
        <v>200</v>
      </c>
      <c r="E984" t="s">
        <v>63</v>
      </c>
      <c r="F984">
        <v>2</v>
      </c>
      <c r="G984">
        <v>39</v>
      </c>
      <c r="H984" s="86">
        <v>45970.449260347203</v>
      </c>
      <c r="I984" s="86">
        <v>45970.554771203701</v>
      </c>
      <c r="J984" s="87">
        <v>2.5322605555555602</v>
      </c>
      <c r="K984" s="69" t="s">
        <v>274</v>
      </c>
      <c r="L984" s="69"/>
      <c r="M984" s="71"/>
      <c r="N984" s="71"/>
      <c r="O984" s="71"/>
      <c r="P984" s="71" t="s">
        <v>275</v>
      </c>
      <c r="Q984" s="88">
        <v>-2.29542435212007E-3</v>
      </c>
      <c r="R984" s="89" t="s">
        <v>276</v>
      </c>
      <c r="S984" s="89"/>
      <c r="T984">
        <v>7.6</v>
      </c>
      <c r="U984" s="76">
        <v>0.2</v>
      </c>
      <c r="V984">
        <v>9.9</v>
      </c>
      <c r="W984" s="90">
        <v>0.1</v>
      </c>
      <c r="X984" s="90"/>
      <c r="Y984" s="71"/>
      <c r="Z984" s="71"/>
      <c r="AA984" s="71"/>
      <c r="AB984" s="71"/>
      <c r="AC984" s="71"/>
      <c r="AD984" s="71"/>
      <c r="AE984" s="71"/>
      <c r="AF984" s="71"/>
      <c r="AG984" s="91">
        <v>0</v>
      </c>
      <c r="AH984" s="76"/>
      <c r="AI984" s="76"/>
      <c r="AJ984" s="76"/>
      <c r="AK984" s="71">
        <v>0.15</v>
      </c>
      <c r="AL984" s="88">
        <v>3.32851318158724E-2</v>
      </c>
      <c r="AM984" s="89">
        <f t="shared" si="15"/>
        <v>0.22190087877248268</v>
      </c>
      <c r="AN984" s="78"/>
    </row>
    <row r="985" spans="1:40" x14ac:dyDescent="0.25">
      <c r="A985" t="s">
        <v>44</v>
      </c>
      <c r="B985" t="s">
        <v>52</v>
      </c>
      <c r="C985" s="121" t="s">
        <v>174</v>
      </c>
      <c r="D985" t="s">
        <v>200</v>
      </c>
      <c r="E985" t="s">
        <v>63</v>
      </c>
      <c r="F985">
        <v>2</v>
      </c>
      <c r="G985">
        <v>40</v>
      </c>
      <c r="H985" s="86">
        <v>45970.554771203701</v>
      </c>
      <c r="I985" s="86">
        <v>45970.660274722199</v>
      </c>
      <c r="J985" s="87">
        <v>2.5320844444444499</v>
      </c>
      <c r="K985" s="69" t="s">
        <v>274</v>
      </c>
      <c r="L985" s="69"/>
      <c r="M985" s="71"/>
      <c r="N985" s="71"/>
      <c r="O985" s="71"/>
      <c r="P985" s="71" t="s">
        <v>275</v>
      </c>
      <c r="Q985" s="88">
        <v>-2.6017700416706901E-3</v>
      </c>
      <c r="R985" s="89" t="s">
        <v>276</v>
      </c>
      <c r="S985" s="89"/>
      <c r="T985">
        <v>7.5</v>
      </c>
      <c r="U985" s="76">
        <v>0.2</v>
      </c>
      <c r="V985">
        <v>10</v>
      </c>
      <c r="W985" s="90">
        <v>0.1</v>
      </c>
      <c r="X985" s="90"/>
      <c r="Y985" s="71"/>
      <c r="Z985" s="71"/>
      <c r="AA985" s="71"/>
      <c r="AB985" s="71"/>
      <c r="AC985" s="71"/>
      <c r="AD985" s="71"/>
      <c r="AE985" s="71"/>
      <c r="AF985" s="71"/>
      <c r="AG985" s="91">
        <v>0</v>
      </c>
      <c r="AH985" s="76"/>
      <c r="AI985" s="76"/>
      <c r="AJ985" s="76"/>
      <c r="AK985" s="71">
        <v>0.15</v>
      </c>
      <c r="AL985" s="88">
        <v>3.32851318158724E-2</v>
      </c>
      <c r="AM985" s="89">
        <f t="shared" si="15"/>
        <v>0.22190087877248268</v>
      </c>
      <c r="AN985" s="78"/>
    </row>
    <row r="986" spans="1:40" x14ac:dyDescent="0.25">
      <c r="A986" t="s">
        <v>44</v>
      </c>
      <c r="B986" t="s">
        <v>52</v>
      </c>
      <c r="C986" s="121" t="s">
        <v>174</v>
      </c>
      <c r="D986" t="s">
        <v>200</v>
      </c>
      <c r="E986" t="s">
        <v>63</v>
      </c>
      <c r="F986">
        <v>2</v>
      </c>
      <c r="G986">
        <v>41</v>
      </c>
      <c r="H986" s="86">
        <v>45970.660274722199</v>
      </c>
      <c r="I986" s="86">
        <v>45970.765769629601</v>
      </c>
      <c r="J986" s="87">
        <v>2.5318777777777801</v>
      </c>
      <c r="K986" s="69" t="s">
        <v>274</v>
      </c>
      <c r="L986" s="69"/>
      <c r="M986" s="71"/>
      <c r="N986" s="71"/>
      <c r="O986" s="71"/>
      <c r="P986" s="71" t="s">
        <v>275</v>
      </c>
      <c r="Q986" s="88">
        <v>-2.9677303457079801E-3</v>
      </c>
      <c r="R986" s="89" t="s">
        <v>276</v>
      </c>
      <c r="S986" s="89"/>
      <c r="T986">
        <v>7</v>
      </c>
      <c r="U986" s="76">
        <v>0.2</v>
      </c>
      <c r="V986">
        <v>10.1</v>
      </c>
      <c r="W986" s="90">
        <v>0.1</v>
      </c>
      <c r="X986" s="90"/>
      <c r="Y986" s="71"/>
      <c r="Z986" s="71"/>
      <c r="AA986" s="71"/>
      <c r="AB986" s="71"/>
      <c r="AC986" s="71"/>
      <c r="AD986" s="71"/>
      <c r="AE986" s="71"/>
      <c r="AF986" s="71"/>
      <c r="AG986" s="91">
        <v>0</v>
      </c>
      <c r="AH986" s="76"/>
      <c r="AI986" s="76"/>
      <c r="AJ986" s="76"/>
      <c r="AK986" s="71">
        <v>0.15</v>
      </c>
      <c r="AL986" s="88">
        <v>3.32851318158724E-2</v>
      </c>
      <c r="AM986" s="89">
        <f t="shared" si="15"/>
        <v>0.22190087877248268</v>
      </c>
      <c r="AN986" s="78"/>
    </row>
    <row r="987" spans="1:40" x14ac:dyDescent="0.25">
      <c r="A987" t="s">
        <v>44</v>
      </c>
      <c r="B987" t="s">
        <v>52</v>
      </c>
      <c r="C987" s="121" t="s">
        <v>174</v>
      </c>
      <c r="D987" t="s">
        <v>200</v>
      </c>
      <c r="E987" t="s">
        <v>63</v>
      </c>
      <c r="F987">
        <v>2</v>
      </c>
      <c r="G987">
        <v>42</v>
      </c>
      <c r="H987" s="86">
        <v>45970.765769629601</v>
      </c>
      <c r="I987" s="86">
        <v>45970.871276192098</v>
      </c>
      <c r="J987" s="87">
        <v>2.5321574999999998</v>
      </c>
      <c r="K987" s="69" t="s">
        <v>274</v>
      </c>
      <c r="L987" s="69"/>
      <c r="M987" s="71"/>
      <c r="N987" s="71"/>
      <c r="O987" s="71"/>
      <c r="P987" s="71" t="s">
        <v>275</v>
      </c>
      <c r="Q987" s="88">
        <v>-2.3253732182558001E-3</v>
      </c>
      <c r="R987" s="89" t="s">
        <v>276</v>
      </c>
      <c r="S987" s="89"/>
      <c r="T987">
        <v>6.3</v>
      </c>
      <c r="U987" s="76">
        <v>0.2</v>
      </c>
      <c r="V987">
        <v>10.1</v>
      </c>
      <c r="W987" s="90">
        <v>0.1</v>
      </c>
      <c r="X987" s="90"/>
      <c r="Y987" s="71"/>
      <c r="Z987" s="71"/>
      <c r="AA987" s="71"/>
      <c r="AB987" s="71"/>
      <c r="AC987" s="71"/>
      <c r="AD987" s="71"/>
      <c r="AE987" s="71"/>
      <c r="AF987" s="71"/>
      <c r="AG987" s="91">
        <v>0</v>
      </c>
      <c r="AH987" s="76"/>
      <c r="AI987" s="76"/>
      <c r="AJ987" s="76"/>
      <c r="AK987" s="71">
        <v>0.15</v>
      </c>
      <c r="AL987" s="88">
        <v>3.32851318158724E-2</v>
      </c>
      <c r="AM987" s="89">
        <f t="shared" si="15"/>
        <v>0.22190087877248268</v>
      </c>
      <c r="AN987" s="78"/>
    </row>
    <row r="988" spans="1:40" x14ac:dyDescent="0.25">
      <c r="A988" t="s">
        <v>44</v>
      </c>
      <c r="B988" t="s">
        <v>52</v>
      </c>
      <c r="C988" s="121" t="s">
        <v>174</v>
      </c>
      <c r="D988" t="s">
        <v>200</v>
      </c>
      <c r="E988" t="s">
        <v>63</v>
      </c>
      <c r="F988">
        <v>2</v>
      </c>
      <c r="G988">
        <v>43</v>
      </c>
      <c r="H988" s="86">
        <v>45970.871276192098</v>
      </c>
      <c r="I988" s="86">
        <v>45970.976788634303</v>
      </c>
      <c r="J988" s="87">
        <v>2.5322986111111101</v>
      </c>
      <c r="K988" s="69" t="s">
        <v>274</v>
      </c>
      <c r="L988" s="69"/>
      <c r="M988" s="71"/>
      <c r="N988" s="71"/>
      <c r="O988" s="71"/>
      <c r="P988" s="71" t="s">
        <v>275</v>
      </c>
      <c r="Q988" s="88">
        <v>-2.29090686282822E-3</v>
      </c>
      <c r="R988" s="89" t="s">
        <v>276</v>
      </c>
      <c r="S988" s="89"/>
      <c r="T988">
        <v>6.3</v>
      </c>
      <c r="U988" s="76">
        <v>0.2</v>
      </c>
      <c r="V988">
        <v>10</v>
      </c>
      <c r="W988" s="90">
        <v>0.1</v>
      </c>
      <c r="X988" s="90"/>
      <c r="Y988" s="71"/>
      <c r="Z988" s="71"/>
      <c r="AA988" s="71"/>
      <c r="AB988" s="71"/>
      <c r="AC988" s="71"/>
      <c r="AD988" s="71"/>
      <c r="AE988" s="71"/>
      <c r="AF988" s="71"/>
      <c r="AG988" s="91">
        <v>0</v>
      </c>
      <c r="AH988" s="76"/>
      <c r="AI988" s="76"/>
      <c r="AJ988" s="76"/>
      <c r="AK988" s="71">
        <v>0.15</v>
      </c>
      <c r="AL988" s="88">
        <v>3.32851318158724E-2</v>
      </c>
      <c r="AM988" s="89">
        <f t="shared" si="15"/>
        <v>0.22190087877248268</v>
      </c>
      <c r="AN988" s="78"/>
    </row>
    <row r="989" spans="1:40" x14ac:dyDescent="0.25">
      <c r="A989" t="s">
        <v>44</v>
      </c>
      <c r="B989" t="s">
        <v>52</v>
      </c>
      <c r="C989" s="121" t="s">
        <v>174</v>
      </c>
      <c r="D989" t="s">
        <v>200</v>
      </c>
      <c r="E989" t="s">
        <v>63</v>
      </c>
      <c r="F989">
        <v>2</v>
      </c>
      <c r="G989">
        <v>44</v>
      </c>
      <c r="H989" s="86">
        <v>45970.976788634303</v>
      </c>
      <c r="I989" s="86">
        <v>45971.082272662003</v>
      </c>
      <c r="J989" s="87">
        <v>2.53161666666667</v>
      </c>
      <c r="K989" s="69" t="s">
        <v>274</v>
      </c>
      <c r="L989" s="69"/>
      <c r="M989" s="71"/>
      <c r="N989" s="71"/>
      <c r="O989" s="71"/>
      <c r="P989" s="71" t="s">
        <v>275</v>
      </c>
      <c r="Q989" s="88">
        <v>-2.35438975485084E-3</v>
      </c>
      <c r="R989" s="89" t="s">
        <v>276</v>
      </c>
      <c r="S989" s="89"/>
      <c r="T989">
        <v>5.0999999999999996</v>
      </c>
      <c r="U989" s="76">
        <v>0.2</v>
      </c>
      <c r="V989">
        <v>9.9</v>
      </c>
      <c r="W989" s="90">
        <v>0.1</v>
      </c>
      <c r="X989" s="90"/>
      <c r="Y989" s="71"/>
      <c r="Z989" s="71"/>
      <c r="AA989" s="71"/>
      <c r="AB989" s="71"/>
      <c r="AC989" s="71"/>
      <c r="AD989" s="71"/>
      <c r="AE989" s="71"/>
      <c r="AF989" s="71"/>
      <c r="AG989" s="91">
        <v>0</v>
      </c>
      <c r="AH989" s="76"/>
      <c r="AI989" s="76"/>
      <c r="AJ989" s="76"/>
      <c r="AK989" s="71">
        <v>0.15</v>
      </c>
      <c r="AL989" s="88">
        <v>3.32851318158724E-2</v>
      </c>
      <c r="AM989" s="89">
        <f t="shared" si="15"/>
        <v>0.22190087877248268</v>
      </c>
      <c r="AN989" s="78"/>
    </row>
    <row r="990" spans="1:40" x14ac:dyDescent="0.25">
      <c r="A990" t="s">
        <v>44</v>
      </c>
      <c r="B990" t="s">
        <v>52</v>
      </c>
      <c r="C990" s="121" t="s">
        <v>174</v>
      </c>
      <c r="D990" t="s">
        <v>200</v>
      </c>
      <c r="E990" t="s">
        <v>63</v>
      </c>
      <c r="F990">
        <v>2</v>
      </c>
      <c r="G990">
        <v>45</v>
      </c>
      <c r="H990" s="86">
        <v>45971.082272662003</v>
      </c>
      <c r="I990" s="86">
        <v>45971.187783321802</v>
      </c>
      <c r="J990" s="87">
        <v>2.53225583333333</v>
      </c>
      <c r="K990" s="69" t="s">
        <v>274</v>
      </c>
      <c r="L990" s="69"/>
      <c r="M990" s="71"/>
      <c r="N990" s="71"/>
      <c r="O990" s="71"/>
      <c r="P990" s="71" t="s">
        <v>275</v>
      </c>
      <c r="Q990" s="88">
        <v>-2.4436873194214601E-3</v>
      </c>
      <c r="R990" s="89" t="s">
        <v>276</v>
      </c>
      <c r="S990" s="89"/>
      <c r="T990">
        <v>6.5</v>
      </c>
      <c r="U990" s="76">
        <v>0.2</v>
      </c>
      <c r="V990">
        <v>9.8000000000000007</v>
      </c>
      <c r="W990" s="90">
        <v>0.1</v>
      </c>
      <c r="X990" s="90"/>
      <c r="Y990" s="71"/>
      <c r="Z990" s="71"/>
      <c r="AA990" s="71"/>
      <c r="AB990" s="71"/>
      <c r="AC990" s="71"/>
      <c r="AD990" s="71"/>
      <c r="AE990" s="71"/>
      <c r="AF990" s="71"/>
      <c r="AG990" s="91">
        <v>0</v>
      </c>
      <c r="AH990" s="76"/>
      <c r="AI990" s="76"/>
      <c r="AJ990" s="76"/>
      <c r="AK990" s="71">
        <v>0.15</v>
      </c>
      <c r="AL990" s="88">
        <v>3.32851318158724E-2</v>
      </c>
      <c r="AM990" s="89">
        <f t="shared" si="15"/>
        <v>0.22190087877248268</v>
      </c>
      <c r="AN990" s="78"/>
    </row>
    <row r="991" spans="1:40" x14ac:dyDescent="0.25">
      <c r="A991" t="s">
        <v>44</v>
      </c>
      <c r="B991" t="s">
        <v>52</v>
      </c>
      <c r="C991" s="121" t="s">
        <v>174</v>
      </c>
      <c r="D991" t="s">
        <v>200</v>
      </c>
      <c r="E991" t="s">
        <v>63</v>
      </c>
      <c r="F991">
        <v>2</v>
      </c>
      <c r="G991">
        <v>46</v>
      </c>
      <c r="H991" s="86">
        <v>45971.187783321802</v>
      </c>
      <c r="I991" s="86">
        <v>45971.2932895833</v>
      </c>
      <c r="J991" s="87">
        <v>2.53215027777778</v>
      </c>
      <c r="K991" s="69" t="s">
        <v>274</v>
      </c>
      <c r="L991" s="69"/>
      <c r="M991" s="71"/>
      <c r="N991" s="71"/>
      <c r="O991" s="71"/>
      <c r="P991" s="71" t="s">
        <v>275</v>
      </c>
      <c r="Q991" s="88">
        <v>-2.5652286754622002E-3</v>
      </c>
      <c r="R991" s="89" t="s">
        <v>276</v>
      </c>
      <c r="S991" s="89"/>
      <c r="T991">
        <v>5</v>
      </c>
      <c r="U991" s="76">
        <v>0.2</v>
      </c>
      <c r="V991">
        <v>9.6999999999999993</v>
      </c>
      <c r="W991" s="90">
        <v>0.1</v>
      </c>
      <c r="X991" s="90"/>
      <c r="Y991" s="71"/>
      <c r="Z991" s="71"/>
      <c r="AA991" s="71"/>
      <c r="AB991" s="71"/>
      <c r="AC991" s="71"/>
      <c r="AD991" s="71"/>
      <c r="AE991" s="71"/>
      <c r="AF991" s="71"/>
      <c r="AG991" s="91">
        <v>0</v>
      </c>
      <c r="AH991" s="76"/>
      <c r="AI991" s="76"/>
      <c r="AJ991" s="76"/>
      <c r="AK991" s="71">
        <v>0.15</v>
      </c>
      <c r="AL991" s="88">
        <v>3.32851318158724E-2</v>
      </c>
      <c r="AM991" s="89">
        <f t="shared" si="15"/>
        <v>0.22190087877248268</v>
      </c>
      <c r="AN991" s="78"/>
    </row>
    <row r="992" spans="1:40" x14ac:dyDescent="0.25">
      <c r="A992" t="s">
        <v>44</v>
      </c>
      <c r="B992" t="s">
        <v>52</v>
      </c>
      <c r="C992" s="121" t="s">
        <v>174</v>
      </c>
      <c r="D992" t="s">
        <v>200</v>
      </c>
      <c r="E992" t="s">
        <v>63</v>
      </c>
      <c r="F992">
        <v>2</v>
      </c>
      <c r="G992">
        <v>47</v>
      </c>
      <c r="H992" s="86">
        <v>45971.2932895833</v>
      </c>
      <c r="I992" s="86">
        <v>45971.398789085702</v>
      </c>
      <c r="J992" s="87">
        <v>2.5319880555555598</v>
      </c>
      <c r="K992" s="69" t="s">
        <v>274</v>
      </c>
      <c r="L992" s="69"/>
      <c r="M992" s="71"/>
      <c r="N992" s="71"/>
      <c r="O992" s="71"/>
      <c r="P992" s="71" t="s">
        <v>275</v>
      </c>
      <c r="Q992" s="88">
        <v>-2.32782007093757E-3</v>
      </c>
      <c r="R992" s="89" t="s">
        <v>276</v>
      </c>
      <c r="S992" s="89"/>
      <c r="T992">
        <v>6</v>
      </c>
      <c r="U992" s="76">
        <v>0.2</v>
      </c>
      <c r="V992">
        <v>9.6</v>
      </c>
      <c r="W992" s="90">
        <v>0.1</v>
      </c>
      <c r="X992" s="90"/>
      <c r="Y992" s="71"/>
      <c r="Z992" s="71"/>
      <c r="AA992" s="71"/>
      <c r="AB992" s="71"/>
      <c r="AC992" s="71"/>
      <c r="AD992" s="71"/>
      <c r="AE992" s="71"/>
      <c r="AF992" s="71"/>
      <c r="AG992" s="91">
        <v>0</v>
      </c>
      <c r="AH992" s="76"/>
      <c r="AI992" s="76"/>
      <c r="AJ992" s="76"/>
      <c r="AK992" s="71">
        <v>0.15</v>
      </c>
      <c r="AL992" s="88">
        <v>3.32851318158724E-2</v>
      </c>
      <c r="AM992" s="89">
        <f t="shared" si="15"/>
        <v>0.22190087877248268</v>
      </c>
      <c r="AN992" s="78"/>
    </row>
    <row r="993" spans="1:40" x14ac:dyDescent="0.25">
      <c r="A993" t="s">
        <v>44</v>
      </c>
      <c r="B993" t="s">
        <v>52</v>
      </c>
      <c r="C993" s="121" t="s">
        <v>174</v>
      </c>
      <c r="D993" t="s">
        <v>200</v>
      </c>
      <c r="E993" t="s">
        <v>63</v>
      </c>
      <c r="F993">
        <v>2</v>
      </c>
      <c r="G993">
        <v>48</v>
      </c>
      <c r="H993" s="86">
        <v>45971.398789085702</v>
      </c>
      <c r="I993" s="86">
        <v>45971.504288194497</v>
      </c>
      <c r="J993" s="87">
        <v>2.5319786111111098</v>
      </c>
      <c r="K993" s="69" t="s">
        <v>274</v>
      </c>
      <c r="L993" s="69"/>
      <c r="M993" s="71"/>
      <c r="N993" s="71"/>
      <c r="O993" s="71"/>
      <c r="P993" s="71" t="s">
        <v>275</v>
      </c>
      <c r="Q993" s="88">
        <v>-1.9455637434551199E-3</v>
      </c>
      <c r="R993" s="89" t="s">
        <v>276</v>
      </c>
      <c r="S993" s="89"/>
      <c r="T993">
        <v>7.1</v>
      </c>
      <c r="U993" s="76">
        <v>0.2</v>
      </c>
      <c r="V993">
        <v>9.5</v>
      </c>
      <c r="W993" s="90">
        <v>0.1</v>
      </c>
      <c r="X993" s="90"/>
      <c r="Y993" s="71"/>
      <c r="Z993" s="71"/>
      <c r="AA993" s="71"/>
      <c r="AB993" s="71"/>
      <c r="AC993" s="71"/>
      <c r="AD993" s="71"/>
      <c r="AE993" s="71"/>
      <c r="AF993" s="71"/>
      <c r="AG993" s="91">
        <v>0</v>
      </c>
      <c r="AH993" s="76"/>
      <c r="AI993" s="76"/>
      <c r="AJ993" s="76"/>
      <c r="AK993" s="71">
        <v>0.15</v>
      </c>
      <c r="AL993" s="88">
        <v>3.32851318158724E-2</v>
      </c>
      <c r="AM993" s="89">
        <f t="shared" si="15"/>
        <v>0.22190087877248268</v>
      </c>
      <c r="AN993" s="78"/>
    </row>
    <row r="994" spans="1:40" x14ac:dyDescent="0.25">
      <c r="A994" t="s">
        <v>44</v>
      </c>
      <c r="B994" t="s">
        <v>52</v>
      </c>
      <c r="C994" s="121" t="s">
        <v>174</v>
      </c>
      <c r="D994" t="s">
        <v>200</v>
      </c>
      <c r="E994" t="s">
        <v>63</v>
      </c>
      <c r="F994">
        <v>2</v>
      </c>
      <c r="G994">
        <v>49</v>
      </c>
      <c r="H994" s="86">
        <v>45971.504288194497</v>
      </c>
      <c r="I994" s="86">
        <v>45971.609798518497</v>
      </c>
      <c r="J994" s="87">
        <v>2.5322477777777799</v>
      </c>
      <c r="K994" s="69" t="s">
        <v>274</v>
      </c>
      <c r="L994" s="69"/>
      <c r="M994" s="71"/>
      <c r="N994" s="71"/>
      <c r="O994" s="71"/>
      <c r="P994" s="71" t="s">
        <v>275</v>
      </c>
      <c r="Q994" s="88">
        <v>8.0384348832951002E-4</v>
      </c>
      <c r="R994" s="89" t="s">
        <v>276</v>
      </c>
      <c r="S994" s="89"/>
      <c r="T994">
        <v>10</v>
      </c>
      <c r="U994" s="76">
        <v>0.2</v>
      </c>
      <c r="V994">
        <v>9.5</v>
      </c>
      <c r="W994" s="90">
        <v>0.1</v>
      </c>
      <c r="X994" s="90"/>
      <c r="Y994" s="71"/>
      <c r="Z994" s="71"/>
      <c r="AA994" s="71"/>
      <c r="AB994" s="71"/>
      <c r="AC994" s="71"/>
      <c r="AD994" s="71"/>
      <c r="AE994" s="71"/>
      <c r="AF994" s="71"/>
      <c r="AG994" s="91">
        <v>0</v>
      </c>
      <c r="AH994" s="76"/>
      <c r="AI994" s="76"/>
      <c r="AJ994" s="76"/>
      <c r="AK994" s="71">
        <v>0.15</v>
      </c>
      <c r="AL994" s="88">
        <v>3.32851318158724E-2</v>
      </c>
      <c r="AM994" s="89">
        <f t="shared" si="15"/>
        <v>0.22190087877248268</v>
      </c>
      <c r="AN994" s="78"/>
    </row>
    <row r="995" spans="1:40" x14ac:dyDescent="0.25">
      <c r="A995" t="s">
        <v>44</v>
      </c>
      <c r="B995" t="s">
        <v>52</v>
      </c>
      <c r="C995" s="121" t="s">
        <v>174</v>
      </c>
      <c r="D995" t="s">
        <v>200</v>
      </c>
      <c r="E995" t="s">
        <v>63</v>
      </c>
      <c r="F995">
        <v>2</v>
      </c>
      <c r="G995">
        <v>50</v>
      </c>
      <c r="H995" s="86">
        <v>45971.609798518497</v>
      </c>
      <c r="I995" s="86">
        <v>45971.715282708297</v>
      </c>
      <c r="J995" s="87">
        <v>2.53162055555556</v>
      </c>
      <c r="K995" s="69" t="s">
        <v>274</v>
      </c>
      <c r="L995" s="69"/>
      <c r="M995" s="71"/>
      <c r="N995" s="71"/>
      <c r="O995" s="71"/>
      <c r="P995" s="71" t="s">
        <v>275</v>
      </c>
      <c r="Q995" s="88">
        <v>-2.0468370973077601E-3</v>
      </c>
      <c r="R995" s="89" t="s">
        <v>276</v>
      </c>
      <c r="S995" s="89"/>
      <c r="T995">
        <v>8.6</v>
      </c>
      <c r="U995" s="76">
        <v>0.2</v>
      </c>
      <c r="V995">
        <v>9.6999999999999993</v>
      </c>
      <c r="W995" s="90">
        <v>0.1</v>
      </c>
      <c r="X995" s="90"/>
      <c r="Y995" s="71"/>
      <c r="Z995" s="71"/>
      <c r="AA995" s="71"/>
      <c r="AB995" s="71"/>
      <c r="AC995" s="71"/>
      <c r="AD995" s="71"/>
      <c r="AE995" s="71"/>
      <c r="AF995" s="71"/>
      <c r="AG995" s="91">
        <v>0</v>
      </c>
      <c r="AH995" s="76"/>
      <c r="AI995" s="76"/>
      <c r="AJ995" s="76"/>
      <c r="AK995" s="71">
        <v>0.15</v>
      </c>
      <c r="AL995" s="88">
        <v>3.32851318158724E-2</v>
      </c>
      <c r="AM995" s="89">
        <f t="shared" si="15"/>
        <v>0.22190087877248268</v>
      </c>
      <c r="AN995" s="78"/>
    </row>
    <row r="996" spans="1:40" x14ac:dyDescent="0.25">
      <c r="A996" t="s">
        <v>44</v>
      </c>
      <c r="B996" t="s">
        <v>52</v>
      </c>
      <c r="C996" s="121" t="s">
        <v>174</v>
      </c>
      <c r="D996" t="s">
        <v>200</v>
      </c>
      <c r="E996" t="s">
        <v>63</v>
      </c>
      <c r="F996">
        <v>2</v>
      </c>
      <c r="G996">
        <v>51</v>
      </c>
      <c r="H996" s="86">
        <v>45971.715282708297</v>
      </c>
      <c r="I996" s="86">
        <v>45971.820815810199</v>
      </c>
      <c r="J996" s="87">
        <v>2.5327944444444399</v>
      </c>
      <c r="K996" s="69" t="s">
        <v>274</v>
      </c>
      <c r="L996" s="69"/>
      <c r="M996" s="71"/>
      <c r="N996" s="71"/>
      <c r="O996" s="71"/>
      <c r="P996" s="71" t="s">
        <v>275</v>
      </c>
      <c r="Q996" s="88">
        <v>-2.0823420051560601E-3</v>
      </c>
      <c r="R996" s="89" t="s">
        <v>276</v>
      </c>
      <c r="S996" s="89"/>
      <c r="T996">
        <v>8.1999999999999993</v>
      </c>
      <c r="U996" s="76">
        <v>0.2</v>
      </c>
      <c r="V996">
        <v>9.8000000000000007</v>
      </c>
      <c r="W996" s="90">
        <v>0.1</v>
      </c>
      <c r="X996" s="90"/>
      <c r="Y996" s="71"/>
      <c r="Z996" s="71"/>
      <c r="AA996" s="71"/>
      <c r="AB996" s="71"/>
      <c r="AC996" s="71"/>
      <c r="AD996" s="71"/>
      <c r="AE996" s="71"/>
      <c r="AF996" s="71"/>
      <c r="AG996" s="91">
        <v>0</v>
      </c>
      <c r="AH996" s="76"/>
      <c r="AI996" s="76"/>
      <c r="AJ996" s="76"/>
      <c r="AK996" s="71">
        <v>0.15</v>
      </c>
      <c r="AL996" s="88">
        <v>3.32851318158724E-2</v>
      </c>
      <c r="AM996" s="89">
        <f t="shared" si="15"/>
        <v>0.22190087877248268</v>
      </c>
      <c r="AN996" s="78"/>
    </row>
    <row r="997" spans="1:40" x14ac:dyDescent="0.25">
      <c r="A997" t="s">
        <v>44</v>
      </c>
      <c r="B997" t="s">
        <v>52</v>
      </c>
      <c r="C997" s="121" t="s">
        <v>174</v>
      </c>
      <c r="D997" t="s">
        <v>200</v>
      </c>
      <c r="E997" t="s">
        <v>63</v>
      </c>
      <c r="F997">
        <v>2</v>
      </c>
      <c r="G997">
        <v>52</v>
      </c>
      <c r="H997" s="86">
        <v>45971.820815810199</v>
      </c>
      <c r="I997" s="86">
        <v>45971.926344606502</v>
      </c>
      <c r="J997" s="87">
        <v>2.5326911111111099</v>
      </c>
      <c r="K997" s="69" t="s">
        <v>274</v>
      </c>
      <c r="L997" s="69"/>
      <c r="M997" s="71"/>
      <c r="N997" s="71"/>
      <c r="O997" s="71"/>
      <c r="P997" s="71" t="s">
        <v>275</v>
      </c>
      <c r="Q997" s="88">
        <v>-2.3447156921879301E-3</v>
      </c>
      <c r="R997" s="89" t="s">
        <v>276</v>
      </c>
      <c r="S997" s="89"/>
      <c r="T997">
        <v>7.8</v>
      </c>
      <c r="U997" s="76">
        <v>0.2</v>
      </c>
      <c r="V997">
        <v>9.8000000000000007</v>
      </c>
      <c r="W997" s="90">
        <v>0.1</v>
      </c>
      <c r="X997" s="90"/>
      <c r="Y997" s="71"/>
      <c r="Z997" s="71"/>
      <c r="AA997" s="71"/>
      <c r="AB997" s="71"/>
      <c r="AC997" s="71"/>
      <c r="AD997" s="71"/>
      <c r="AE997" s="71"/>
      <c r="AF997" s="71"/>
      <c r="AG997" s="91">
        <v>0</v>
      </c>
      <c r="AH997" s="76"/>
      <c r="AI997" s="76"/>
      <c r="AJ997" s="76"/>
      <c r="AK997" s="71">
        <v>0.15</v>
      </c>
      <c r="AL997" s="88">
        <v>3.32851318158724E-2</v>
      </c>
      <c r="AM997" s="89">
        <f t="shared" si="15"/>
        <v>0.22190087877248268</v>
      </c>
      <c r="AN997" s="78"/>
    </row>
    <row r="998" spans="1:40" x14ac:dyDescent="0.25">
      <c r="A998" t="s">
        <v>44</v>
      </c>
      <c r="B998" t="s">
        <v>52</v>
      </c>
      <c r="C998" s="121" t="s">
        <v>174</v>
      </c>
      <c r="D998" t="s">
        <v>200</v>
      </c>
      <c r="E998" t="s">
        <v>63</v>
      </c>
      <c r="F998">
        <v>2</v>
      </c>
      <c r="G998">
        <v>53</v>
      </c>
      <c r="H998" s="86">
        <v>45971.926344606502</v>
      </c>
      <c r="I998" s="86">
        <v>45972.031870694504</v>
      </c>
      <c r="J998" s="87">
        <v>2.5326261111111101</v>
      </c>
      <c r="K998" s="69" t="s">
        <v>274</v>
      </c>
      <c r="L998" s="69"/>
      <c r="M998" s="71"/>
      <c r="N998" s="71"/>
      <c r="O998" s="71"/>
      <c r="P998" s="71" t="s">
        <v>275</v>
      </c>
      <c r="Q998" s="88">
        <v>-1.7444372956031001E-3</v>
      </c>
      <c r="R998" s="89" t="s">
        <v>276</v>
      </c>
      <c r="S998" s="89"/>
      <c r="T998">
        <v>7.9</v>
      </c>
      <c r="U998" s="76">
        <v>0.2</v>
      </c>
      <c r="V998">
        <v>9.8000000000000007</v>
      </c>
      <c r="W998" s="90">
        <v>0.1</v>
      </c>
      <c r="X998" s="90"/>
      <c r="Y998" s="71"/>
      <c r="Z998" s="71"/>
      <c r="AA998" s="71"/>
      <c r="AB998" s="71"/>
      <c r="AC998" s="71"/>
      <c r="AD998" s="71"/>
      <c r="AE998" s="71"/>
      <c r="AF998" s="71"/>
      <c r="AG998" s="91">
        <v>0</v>
      </c>
      <c r="AH998" s="76"/>
      <c r="AI998" s="76"/>
      <c r="AJ998" s="76"/>
      <c r="AK998" s="71">
        <v>0.15</v>
      </c>
      <c r="AL998" s="88">
        <v>3.32851318158724E-2</v>
      </c>
      <c r="AM998" s="89">
        <f t="shared" si="15"/>
        <v>0.22190087877248268</v>
      </c>
      <c r="AN998" s="78"/>
    </row>
    <row r="999" spans="1:40" x14ac:dyDescent="0.25">
      <c r="A999" t="s">
        <v>44</v>
      </c>
      <c r="B999" t="s">
        <v>52</v>
      </c>
      <c r="C999" s="121" t="s">
        <v>174</v>
      </c>
      <c r="D999" t="s">
        <v>200</v>
      </c>
      <c r="E999" t="s">
        <v>63</v>
      </c>
      <c r="F999">
        <v>2</v>
      </c>
      <c r="G999">
        <v>54</v>
      </c>
      <c r="H999" s="86">
        <v>45972.031870694504</v>
      </c>
      <c r="I999" s="86">
        <v>45972.137397199098</v>
      </c>
      <c r="J999" s="87">
        <v>2.5326361111111102</v>
      </c>
      <c r="K999" s="69" t="s">
        <v>274</v>
      </c>
      <c r="L999" s="69"/>
      <c r="M999" s="71"/>
      <c r="N999" s="71"/>
      <c r="O999" s="71"/>
      <c r="P999" s="71" t="s">
        <v>275</v>
      </c>
      <c r="Q999" s="88">
        <v>-2.1910236878007702E-3</v>
      </c>
      <c r="R999" s="89" t="s">
        <v>276</v>
      </c>
      <c r="S999" s="89"/>
      <c r="T999">
        <v>6.3</v>
      </c>
      <c r="U999" s="76">
        <v>0.2</v>
      </c>
      <c r="V999">
        <v>9.6</v>
      </c>
      <c r="W999" s="90">
        <v>0.1</v>
      </c>
      <c r="X999" s="90"/>
      <c r="Y999" s="71"/>
      <c r="Z999" s="71"/>
      <c r="AA999" s="71"/>
      <c r="AB999" s="71"/>
      <c r="AC999" s="71"/>
      <c r="AD999" s="71"/>
      <c r="AE999" s="71"/>
      <c r="AF999" s="71"/>
      <c r="AG999" s="91">
        <v>0</v>
      </c>
      <c r="AH999" s="76"/>
      <c r="AI999" s="76"/>
      <c r="AJ999" s="76"/>
      <c r="AK999" s="71">
        <v>0.15</v>
      </c>
      <c r="AL999" s="88">
        <v>3.32851318158724E-2</v>
      </c>
      <c r="AM999" s="89">
        <f t="shared" si="15"/>
        <v>0.22190087877248268</v>
      </c>
      <c r="AN999" s="78"/>
    </row>
    <row r="1000" spans="1:40" x14ac:dyDescent="0.25">
      <c r="A1000" t="s">
        <v>44</v>
      </c>
      <c r="B1000" t="s">
        <v>52</v>
      </c>
      <c r="C1000" s="121" t="s">
        <v>174</v>
      </c>
      <c r="D1000" t="s">
        <v>200</v>
      </c>
      <c r="E1000" t="s">
        <v>63</v>
      </c>
      <c r="F1000">
        <v>2</v>
      </c>
      <c r="G1000">
        <v>55</v>
      </c>
      <c r="H1000" s="86">
        <v>45972.137397199098</v>
      </c>
      <c r="I1000" s="86">
        <v>45972.242915786999</v>
      </c>
      <c r="J1000" s="87">
        <v>2.5324461111111098</v>
      </c>
      <c r="K1000" s="69" t="s">
        <v>274</v>
      </c>
      <c r="L1000" s="69"/>
      <c r="M1000" s="71"/>
      <c r="N1000" s="71"/>
      <c r="O1000" s="71"/>
      <c r="P1000" s="71" t="s">
        <v>275</v>
      </c>
      <c r="Q1000" s="88">
        <v>-1.9266173439238801E-3</v>
      </c>
      <c r="R1000" s="89" t="s">
        <v>276</v>
      </c>
      <c r="S1000" s="89"/>
      <c r="T1000">
        <v>5.9</v>
      </c>
      <c r="U1000" s="76">
        <v>0.2</v>
      </c>
      <c r="V1000">
        <v>9.5</v>
      </c>
      <c r="W1000" s="90">
        <v>0.1</v>
      </c>
      <c r="X1000" s="90"/>
      <c r="Y1000" s="71"/>
      <c r="Z1000" s="71"/>
      <c r="AA1000" s="71"/>
      <c r="AB1000" s="71"/>
      <c r="AC1000" s="71"/>
      <c r="AD1000" s="71"/>
      <c r="AE1000" s="71"/>
      <c r="AF1000" s="71"/>
      <c r="AG1000" s="91">
        <v>0</v>
      </c>
      <c r="AH1000" s="76"/>
      <c r="AI1000" s="76"/>
      <c r="AJ1000" s="76"/>
      <c r="AK1000" s="71">
        <v>0.15</v>
      </c>
      <c r="AL1000" s="88">
        <v>3.32851318158724E-2</v>
      </c>
      <c r="AM1000" s="89">
        <f t="shared" si="15"/>
        <v>0.22190087877248268</v>
      </c>
      <c r="AN1000" s="78"/>
    </row>
    <row r="1001" spans="1:40" x14ac:dyDescent="0.25">
      <c r="A1001" t="s">
        <v>44</v>
      </c>
      <c r="B1001" t="s">
        <v>52</v>
      </c>
      <c r="C1001" s="121" t="s">
        <v>174</v>
      </c>
      <c r="D1001" t="s">
        <v>200</v>
      </c>
      <c r="E1001" t="s">
        <v>63</v>
      </c>
      <c r="F1001">
        <v>2</v>
      </c>
      <c r="G1001">
        <v>56</v>
      </c>
      <c r="H1001" s="86">
        <v>45972.242915786999</v>
      </c>
      <c r="I1001" s="86">
        <v>45972.348436458298</v>
      </c>
      <c r="J1001" s="87">
        <v>2.5324961111111102</v>
      </c>
      <c r="K1001" s="69" t="s">
        <v>274</v>
      </c>
      <c r="L1001" s="69"/>
      <c r="M1001" s="71"/>
      <c r="N1001" s="71"/>
      <c r="O1001" s="71"/>
      <c r="P1001" s="71" t="s">
        <v>275</v>
      </c>
      <c r="Q1001" s="88">
        <v>-1.6956992188495799E-3</v>
      </c>
      <c r="R1001" s="89" t="s">
        <v>276</v>
      </c>
      <c r="S1001" s="89"/>
      <c r="T1001">
        <v>6.6</v>
      </c>
      <c r="U1001" s="76">
        <v>0.2</v>
      </c>
      <c r="V1001">
        <v>9.4</v>
      </c>
      <c r="W1001" s="90">
        <v>0.1</v>
      </c>
      <c r="X1001" s="90"/>
      <c r="Y1001" s="71"/>
      <c r="Z1001" s="71"/>
      <c r="AA1001" s="71"/>
      <c r="AB1001" s="71"/>
      <c r="AC1001" s="71"/>
      <c r="AD1001" s="71"/>
      <c r="AE1001" s="71"/>
      <c r="AF1001" s="71"/>
      <c r="AG1001" s="91">
        <v>0</v>
      </c>
      <c r="AH1001" s="76"/>
      <c r="AI1001" s="76"/>
      <c r="AJ1001" s="76"/>
      <c r="AK1001" s="71">
        <v>0.15</v>
      </c>
      <c r="AL1001" s="88">
        <v>3.32851318158724E-2</v>
      </c>
      <c r="AM1001" s="89">
        <f t="shared" si="15"/>
        <v>0.22190087877248268</v>
      </c>
      <c r="AN1001" s="78"/>
    </row>
    <row r="1002" spans="1:40" x14ac:dyDescent="0.25">
      <c r="A1002" t="s">
        <v>44</v>
      </c>
      <c r="B1002" t="s">
        <v>52</v>
      </c>
      <c r="C1002" s="121" t="s">
        <v>174</v>
      </c>
      <c r="D1002" t="s">
        <v>200</v>
      </c>
      <c r="E1002" t="s">
        <v>63</v>
      </c>
      <c r="F1002">
        <v>2</v>
      </c>
      <c r="G1002">
        <v>57</v>
      </c>
      <c r="H1002" s="86">
        <v>45972.348436458298</v>
      </c>
      <c r="I1002" s="86">
        <v>45972.453961678199</v>
      </c>
      <c r="J1002" s="87">
        <v>2.5326052777777801</v>
      </c>
      <c r="K1002" s="69" t="s">
        <v>274</v>
      </c>
      <c r="L1002" s="69"/>
      <c r="M1002" s="71"/>
      <c r="N1002" s="71"/>
      <c r="O1002" s="71"/>
      <c r="P1002" s="71" t="s">
        <v>275</v>
      </c>
      <c r="Q1002" s="88">
        <v>-2.0626174392667398E-3</v>
      </c>
      <c r="R1002" s="89" t="s">
        <v>276</v>
      </c>
      <c r="S1002" s="89"/>
      <c r="T1002">
        <v>7.2</v>
      </c>
      <c r="U1002" s="76">
        <v>0.2</v>
      </c>
      <c r="V1002">
        <v>9.3000000000000007</v>
      </c>
      <c r="W1002" s="90">
        <v>0.1</v>
      </c>
      <c r="X1002" s="90"/>
      <c r="Y1002" s="71"/>
      <c r="Z1002" s="71"/>
      <c r="AA1002" s="71"/>
      <c r="AB1002" s="71"/>
      <c r="AC1002" s="71"/>
      <c r="AD1002" s="71"/>
      <c r="AE1002" s="71"/>
      <c r="AF1002" s="71"/>
      <c r="AG1002" s="91">
        <v>0</v>
      </c>
      <c r="AH1002" s="76"/>
      <c r="AI1002" s="76"/>
      <c r="AJ1002" s="76"/>
      <c r="AK1002" s="71">
        <v>0.15</v>
      </c>
      <c r="AL1002" s="88">
        <v>3.32851318158724E-2</v>
      </c>
      <c r="AM1002" s="89">
        <f t="shared" si="15"/>
        <v>0.22190087877248268</v>
      </c>
      <c r="AN1002" s="78"/>
    </row>
    <row r="1003" spans="1:40" x14ac:dyDescent="0.25">
      <c r="A1003" t="s">
        <v>44</v>
      </c>
      <c r="B1003" t="s">
        <v>52</v>
      </c>
      <c r="C1003" s="121" t="s">
        <v>174</v>
      </c>
      <c r="D1003" t="s">
        <v>200</v>
      </c>
      <c r="E1003" t="s">
        <v>63</v>
      </c>
      <c r="F1003">
        <v>2</v>
      </c>
      <c r="G1003">
        <v>58</v>
      </c>
      <c r="H1003" s="86">
        <v>45972.453961678199</v>
      </c>
      <c r="I1003" s="86">
        <v>45972.5594923264</v>
      </c>
      <c r="J1003" s="87">
        <v>2.53273555555556</v>
      </c>
      <c r="K1003" s="69" t="s">
        <v>274</v>
      </c>
      <c r="L1003" s="69"/>
      <c r="M1003" s="71"/>
      <c r="N1003" s="71"/>
      <c r="O1003" s="71"/>
      <c r="P1003" s="71" t="s">
        <v>275</v>
      </c>
      <c r="Q1003" s="88">
        <v>-2.0010172527001702E-3</v>
      </c>
      <c r="R1003" s="89" t="s">
        <v>276</v>
      </c>
      <c r="S1003" s="89"/>
      <c r="T1003">
        <v>8</v>
      </c>
      <c r="U1003" s="76">
        <v>0.2</v>
      </c>
      <c r="V1003">
        <v>9.3000000000000007</v>
      </c>
      <c r="W1003" s="90">
        <v>0.1</v>
      </c>
      <c r="X1003" s="90"/>
      <c r="Y1003" s="71"/>
      <c r="Z1003" s="71"/>
      <c r="AA1003" s="71"/>
      <c r="AB1003" s="71"/>
      <c r="AC1003" s="71"/>
      <c r="AD1003" s="71"/>
      <c r="AE1003" s="71"/>
      <c r="AF1003" s="71"/>
      <c r="AG1003" s="91">
        <v>0</v>
      </c>
      <c r="AH1003" s="76"/>
      <c r="AI1003" s="76"/>
      <c r="AJ1003" s="76"/>
      <c r="AK1003" s="71">
        <v>0.15</v>
      </c>
      <c r="AL1003" s="88">
        <v>3.32851318158724E-2</v>
      </c>
      <c r="AM1003" s="89">
        <f t="shared" si="15"/>
        <v>0.22190087877248268</v>
      </c>
      <c r="AN1003" s="78"/>
    </row>
    <row r="1004" spans="1:40" x14ac:dyDescent="0.25">
      <c r="A1004" t="s">
        <v>44</v>
      </c>
      <c r="B1004" t="s">
        <v>52</v>
      </c>
      <c r="C1004" s="121" t="s">
        <v>174</v>
      </c>
      <c r="D1004" t="s">
        <v>200</v>
      </c>
      <c r="E1004" t="s">
        <v>63</v>
      </c>
      <c r="F1004">
        <v>2</v>
      </c>
      <c r="G1004">
        <v>59</v>
      </c>
      <c r="H1004" s="86">
        <v>45972.5594923264</v>
      </c>
      <c r="I1004" s="86">
        <v>45972.665025300899</v>
      </c>
      <c r="J1004" s="87">
        <v>2.53279138888889</v>
      </c>
      <c r="K1004" s="69" t="s">
        <v>274</v>
      </c>
      <c r="L1004" s="69"/>
      <c r="M1004" s="71"/>
      <c r="N1004" s="71"/>
      <c r="O1004" s="71"/>
      <c r="P1004" s="71" t="s">
        <v>275</v>
      </c>
      <c r="Q1004" s="88">
        <v>-2.5119299979015498E-4</v>
      </c>
      <c r="R1004" s="89" t="s">
        <v>276</v>
      </c>
      <c r="S1004" s="89"/>
      <c r="T1004">
        <v>9.1</v>
      </c>
      <c r="U1004" s="76">
        <v>0.2</v>
      </c>
      <c r="V1004">
        <v>9.3000000000000007</v>
      </c>
      <c r="W1004" s="90">
        <v>0.1</v>
      </c>
      <c r="X1004" s="90"/>
      <c r="Y1004" s="71"/>
      <c r="Z1004" s="71"/>
      <c r="AA1004" s="71"/>
      <c r="AB1004" s="71"/>
      <c r="AC1004" s="71"/>
      <c r="AD1004" s="71"/>
      <c r="AE1004" s="71"/>
      <c r="AF1004" s="71"/>
      <c r="AG1004" s="91">
        <v>0</v>
      </c>
      <c r="AH1004" s="76"/>
      <c r="AI1004" s="76"/>
      <c r="AJ1004" s="76"/>
      <c r="AK1004" s="71">
        <v>0.15</v>
      </c>
      <c r="AL1004" s="88">
        <v>3.32851318158724E-2</v>
      </c>
      <c r="AM1004" s="89">
        <f t="shared" si="15"/>
        <v>0.22190087877248268</v>
      </c>
      <c r="AN1004" s="78"/>
    </row>
    <row r="1005" spans="1:40" x14ac:dyDescent="0.25">
      <c r="A1005" t="s">
        <v>44</v>
      </c>
      <c r="B1005" t="s">
        <v>52</v>
      </c>
      <c r="C1005" s="121" t="s">
        <v>174</v>
      </c>
      <c r="D1005" t="s">
        <v>200</v>
      </c>
      <c r="E1005" t="s">
        <v>63</v>
      </c>
      <c r="F1005">
        <v>2</v>
      </c>
      <c r="G1005">
        <v>60</v>
      </c>
      <c r="H1005" s="86">
        <v>45972.665025300899</v>
      </c>
      <c r="I1005" s="86">
        <v>45972.770551435198</v>
      </c>
      <c r="J1005" s="87">
        <v>2.5326272222222199</v>
      </c>
      <c r="K1005" s="69" t="s">
        <v>274</v>
      </c>
      <c r="L1005" s="69"/>
      <c r="M1005" s="71"/>
      <c r="N1005" s="71"/>
      <c r="O1005" s="71"/>
      <c r="P1005" s="71" t="s">
        <v>275</v>
      </c>
      <c r="Q1005" s="88">
        <v>-1.90183452093817E-3</v>
      </c>
      <c r="R1005" s="89" t="s">
        <v>276</v>
      </c>
      <c r="S1005" s="89"/>
      <c r="T1005">
        <v>8.6</v>
      </c>
      <c r="U1005" s="76">
        <v>0.2</v>
      </c>
      <c r="V1005">
        <v>9.5</v>
      </c>
      <c r="W1005" s="90">
        <v>0.1</v>
      </c>
      <c r="X1005" s="90"/>
      <c r="Y1005" s="71"/>
      <c r="Z1005" s="71"/>
      <c r="AA1005" s="71"/>
      <c r="AB1005" s="71"/>
      <c r="AC1005" s="71"/>
      <c r="AD1005" s="71"/>
      <c r="AE1005" s="71"/>
      <c r="AF1005" s="71"/>
      <c r="AG1005" s="91">
        <v>0</v>
      </c>
      <c r="AH1005" s="76"/>
      <c r="AI1005" s="76"/>
      <c r="AJ1005" s="76"/>
      <c r="AK1005" s="71">
        <v>0.15</v>
      </c>
      <c r="AL1005" s="88">
        <v>3.32851318158724E-2</v>
      </c>
      <c r="AM1005" s="89">
        <f t="shared" si="15"/>
        <v>0.22190087877248268</v>
      </c>
      <c r="AN1005" s="78"/>
    </row>
    <row r="1006" spans="1:40" x14ac:dyDescent="0.25">
      <c r="A1006" t="s">
        <v>44</v>
      </c>
      <c r="B1006" t="s">
        <v>52</v>
      </c>
      <c r="C1006" s="121" t="s">
        <v>174</v>
      </c>
      <c r="D1006" t="s">
        <v>200</v>
      </c>
      <c r="E1006" t="s">
        <v>63</v>
      </c>
      <c r="F1006">
        <v>2</v>
      </c>
      <c r="G1006">
        <v>61</v>
      </c>
      <c r="H1006" s="86">
        <v>45972.770551435198</v>
      </c>
      <c r="I1006" s="86">
        <v>45972.876072384301</v>
      </c>
      <c r="J1006" s="87">
        <v>2.53250277777778</v>
      </c>
      <c r="K1006" s="69" t="s">
        <v>274</v>
      </c>
      <c r="P1006" s="71" t="s">
        <v>275</v>
      </c>
      <c r="Q1006" s="88">
        <v>-2.2893506506405999E-3</v>
      </c>
      <c r="R1006" s="89" t="s">
        <v>276</v>
      </c>
      <c r="T1006">
        <v>8</v>
      </c>
      <c r="U1006" s="76">
        <v>0.2</v>
      </c>
      <c r="V1006">
        <v>9.5</v>
      </c>
      <c r="W1006" s="90">
        <v>0.1</v>
      </c>
      <c r="AG1006" s="91">
        <v>0</v>
      </c>
      <c r="AK1006" s="71">
        <v>0.15</v>
      </c>
      <c r="AL1006" s="88">
        <v>3.32851318158724E-2</v>
      </c>
      <c r="AM1006" s="89">
        <f t="shared" si="15"/>
        <v>0.22190087877248268</v>
      </c>
    </row>
    <row r="1007" spans="1:40" x14ac:dyDescent="0.25">
      <c r="A1007" t="s">
        <v>44</v>
      </c>
      <c r="B1007" t="s">
        <v>52</v>
      </c>
      <c r="C1007" s="121" t="s">
        <v>174</v>
      </c>
      <c r="D1007" t="s">
        <v>200</v>
      </c>
      <c r="E1007" t="s">
        <v>63</v>
      </c>
      <c r="F1007">
        <v>2</v>
      </c>
      <c r="G1007">
        <v>62</v>
      </c>
      <c r="H1007" s="86">
        <v>45972.876072384301</v>
      </c>
      <c r="I1007" s="86">
        <v>45972.981593229197</v>
      </c>
      <c r="J1007" s="87">
        <v>2.5325002777777801</v>
      </c>
      <c r="K1007" s="69" t="s">
        <v>274</v>
      </c>
      <c r="P1007" s="71" t="s">
        <v>275</v>
      </c>
      <c r="Q1007" s="88">
        <v>-1.8703900559638199E-3</v>
      </c>
      <c r="R1007" s="89" t="s">
        <v>276</v>
      </c>
      <c r="T1007">
        <v>6.5</v>
      </c>
      <c r="U1007" s="76">
        <v>0.2</v>
      </c>
      <c r="V1007">
        <v>9.4</v>
      </c>
      <c r="W1007" s="90">
        <v>0.1</v>
      </c>
      <c r="AG1007" s="91">
        <v>0</v>
      </c>
      <c r="AK1007" s="71">
        <v>0.15</v>
      </c>
      <c r="AL1007" s="88">
        <v>3.32851318158724E-2</v>
      </c>
      <c r="AM1007" s="89">
        <f t="shared" si="15"/>
        <v>0.22190087877248268</v>
      </c>
    </row>
    <row r="1008" spans="1:40" x14ac:dyDescent="0.25">
      <c r="A1008" t="s">
        <v>44</v>
      </c>
      <c r="B1008" t="s">
        <v>52</v>
      </c>
      <c r="C1008" s="121" t="s">
        <v>174</v>
      </c>
      <c r="D1008" t="s">
        <v>200</v>
      </c>
      <c r="E1008" t="s">
        <v>63</v>
      </c>
      <c r="F1008">
        <v>2</v>
      </c>
      <c r="G1008">
        <v>63</v>
      </c>
      <c r="H1008" s="86">
        <v>45972.981593229197</v>
      </c>
      <c r="I1008" s="86">
        <v>45973.087108217602</v>
      </c>
      <c r="J1008" s="87">
        <v>2.5323597222222198</v>
      </c>
      <c r="K1008" s="69" t="s">
        <v>274</v>
      </c>
      <c r="P1008" s="71" t="s">
        <v>275</v>
      </c>
      <c r="Q1008" s="88">
        <v>-2.1952337631703902E-3</v>
      </c>
      <c r="R1008" s="89" t="s">
        <v>276</v>
      </c>
      <c r="T1008">
        <v>9.3000000000000007</v>
      </c>
      <c r="U1008" s="76">
        <v>0.2</v>
      </c>
      <c r="V1008">
        <v>9.3000000000000007</v>
      </c>
      <c r="W1008" s="90">
        <v>0.1</v>
      </c>
      <c r="AG1008" s="91">
        <v>0</v>
      </c>
      <c r="AK1008" s="71">
        <v>0.15</v>
      </c>
      <c r="AL1008" s="88">
        <v>3.32851318158724E-2</v>
      </c>
      <c r="AM1008" s="89">
        <f t="shared" si="15"/>
        <v>0.22190087877248268</v>
      </c>
    </row>
    <row r="1009" spans="1:39" x14ac:dyDescent="0.25">
      <c r="A1009" t="s">
        <v>44</v>
      </c>
      <c r="B1009" t="s">
        <v>52</v>
      </c>
      <c r="C1009" s="121" t="s">
        <v>174</v>
      </c>
      <c r="D1009" t="s">
        <v>200</v>
      </c>
      <c r="E1009" t="s">
        <v>63</v>
      </c>
      <c r="F1009">
        <v>2</v>
      </c>
      <c r="G1009">
        <v>64</v>
      </c>
      <c r="H1009" s="86">
        <v>45973.087108217602</v>
      </c>
      <c r="I1009" s="86">
        <v>45973.298171481503</v>
      </c>
      <c r="J1009" s="87">
        <v>5.0655183333333298</v>
      </c>
      <c r="K1009" s="69" t="s">
        <v>274</v>
      </c>
      <c r="P1009" s="71" t="s">
        <v>275</v>
      </c>
      <c r="Q1009" s="88">
        <v>-2.1502687741654599E-3</v>
      </c>
      <c r="R1009" s="89" t="s">
        <v>276</v>
      </c>
      <c r="T1009">
        <v>9.3000000000000007</v>
      </c>
      <c r="U1009" s="76">
        <v>0.2</v>
      </c>
      <c r="V1009">
        <v>9.3000000000000007</v>
      </c>
      <c r="W1009" s="90">
        <v>0.1</v>
      </c>
      <c r="AG1009" s="91">
        <v>0</v>
      </c>
      <c r="AK1009" s="71">
        <v>0.15</v>
      </c>
      <c r="AL1009" s="88">
        <v>3.32851318158724E-2</v>
      </c>
      <c r="AM1009" s="89">
        <f t="shared" si="15"/>
        <v>0.22190087877248268</v>
      </c>
    </row>
    <row r="1010" spans="1:39" x14ac:dyDescent="0.25">
      <c r="A1010" t="s">
        <v>44</v>
      </c>
      <c r="B1010" t="s">
        <v>52</v>
      </c>
      <c r="C1010" s="121" t="s">
        <v>174</v>
      </c>
      <c r="D1010" t="s">
        <v>200</v>
      </c>
      <c r="E1010" t="s">
        <v>63</v>
      </c>
      <c r="F1010">
        <v>2</v>
      </c>
      <c r="G1010">
        <v>65</v>
      </c>
      <c r="H1010" s="86">
        <v>45973.298171481503</v>
      </c>
      <c r="I1010" s="86">
        <v>45973.403689675899</v>
      </c>
      <c r="J1010" s="87">
        <v>2.53243666666667</v>
      </c>
      <c r="K1010" s="69" t="s">
        <v>274</v>
      </c>
      <c r="P1010" s="71" t="s">
        <v>275</v>
      </c>
      <c r="Q1010" s="88">
        <v>-8.2282179744987301E-4</v>
      </c>
      <c r="R1010" s="89" t="s">
        <v>276</v>
      </c>
      <c r="T1010">
        <v>9</v>
      </c>
      <c r="U1010" s="76">
        <v>0.2</v>
      </c>
      <c r="V1010">
        <v>9.4</v>
      </c>
      <c r="W1010" s="90">
        <v>0.1</v>
      </c>
      <c r="AG1010" s="91">
        <v>0</v>
      </c>
      <c r="AK1010" s="71">
        <v>0.15</v>
      </c>
      <c r="AL1010" s="88">
        <v>3.32851318158724E-2</v>
      </c>
      <c r="AM1010" s="89">
        <f t="shared" si="15"/>
        <v>0.22190087877248268</v>
      </c>
    </row>
    <row r="1011" spans="1:39" x14ac:dyDescent="0.25">
      <c r="A1011" t="s">
        <v>44</v>
      </c>
      <c r="B1011" t="s">
        <v>52</v>
      </c>
      <c r="C1011" s="121" t="s">
        <v>174</v>
      </c>
      <c r="D1011" t="s">
        <v>201</v>
      </c>
      <c r="E1011" t="s">
        <v>63</v>
      </c>
      <c r="F1011">
        <v>3</v>
      </c>
      <c r="G1011">
        <v>1</v>
      </c>
      <c r="H1011" s="86">
        <v>45966.502934710697</v>
      </c>
      <c r="I1011" s="86">
        <v>45966.545793761601</v>
      </c>
      <c r="J1011" s="87">
        <v>1.0286172222222201</v>
      </c>
      <c r="K1011" s="69" t="s">
        <v>274</v>
      </c>
      <c r="P1011" s="71" t="s">
        <v>275</v>
      </c>
      <c r="Q1011" s="88">
        <v>3.6909658776046899E-3</v>
      </c>
      <c r="R1011" s="89" t="s">
        <v>276</v>
      </c>
      <c r="T1011">
        <v>12.8</v>
      </c>
      <c r="U1011" s="76">
        <v>0.2</v>
      </c>
      <c r="V1011">
        <v>10.8</v>
      </c>
      <c r="W1011" s="90">
        <v>0.1</v>
      </c>
      <c r="AG1011" s="91">
        <v>0</v>
      </c>
      <c r="AK1011" s="71">
        <v>0.15</v>
      </c>
      <c r="AL1011" s="88">
        <v>3.32174652855994E-2</v>
      </c>
      <c r="AM1011" s="89">
        <f t="shared" si="15"/>
        <v>0.22144976857066268</v>
      </c>
    </row>
    <row r="1012" spans="1:39" x14ac:dyDescent="0.25">
      <c r="A1012" t="s">
        <v>44</v>
      </c>
      <c r="B1012" t="s">
        <v>52</v>
      </c>
      <c r="C1012" s="121" t="s">
        <v>174</v>
      </c>
      <c r="D1012" t="s">
        <v>201</v>
      </c>
      <c r="E1012" t="s">
        <v>63</v>
      </c>
      <c r="F1012">
        <v>3</v>
      </c>
      <c r="G1012">
        <v>2</v>
      </c>
      <c r="H1012" s="86">
        <v>45966.545793761601</v>
      </c>
      <c r="I1012" s="86">
        <v>45966.656358425898</v>
      </c>
      <c r="J1012" s="87">
        <v>2.65355194444445</v>
      </c>
      <c r="K1012" s="69" t="s">
        <v>274</v>
      </c>
      <c r="P1012" s="71" t="s">
        <v>275</v>
      </c>
      <c r="Q1012" s="88">
        <v>3.6312784855741498E-3</v>
      </c>
      <c r="R1012" s="89" t="s">
        <v>276</v>
      </c>
      <c r="T1012">
        <v>13</v>
      </c>
      <c r="U1012" s="76">
        <v>0.2</v>
      </c>
      <c r="V1012">
        <v>10.9</v>
      </c>
      <c r="W1012" s="90">
        <v>0.1</v>
      </c>
      <c r="AG1012" s="91">
        <v>0</v>
      </c>
      <c r="AK1012" s="71">
        <v>0.15</v>
      </c>
      <c r="AL1012" s="88">
        <v>3.32174652855994E-2</v>
      </c>
      <c r="AM1012" s="89">
        <f t="shared" si="15"/>
        <v>0.22144976857066268</v>
      </c>
    </row>
    <row r="1013" spans="1:39" x14ac:dyDescent="0.25">
      <c r="A1013" t="s">
        <v>44</v>
      </c>
      <c r="B1013" t="s">
        <v>52</v>
      </c>
      <c r="C1013" s="121" t="s">
        <v>174</v>
      </c>
      <c r="D1013" t="s">
        <v>201</v>
      </c>
      <c r="E1013" t="s">
        <v>63</v>
      </c>
      <c r="F1013">
        <v>3</v>
      </c>
      <c r="G1013">
        <v>3</v>
      </c>
      <c r="H1013" s="86">
        <v>45966.656358425898</v>
      </c>
      <c r="I1013" s="86">
        <v>45966.761875717602</v>
      </c>
      <c r="J1013" s="87">
        <v>2.5324149999999999</v>
      </c>
      <c r="K1013" s="69" t="s">
        <v>274</v>
      </c>
      <c r="P1013" s="71" t="s">
        <v>275</v>
      </c>
      <c r="Q1013" s="88">
        <v>2.3910322585340499E-4</v>
      </c>
      <c r="R1013" s="89" t="s">
        <v>276</v>
      </c>
      <c r="T1013">
        <v>12.1</v>
      </c>
      <c r="U1013" s="76">
        <v>0.2</v>
      </c>
      <c r="V1013">
        <v>11</v>
      </c>
      <c r="W1013" s="90">
        <v>0.1</v>
      </c>
      <c r="AG1013" s="91">
        <v>0</v>
      </c>
      <c r="AK1013" s="71">
        <v>0.15</v>
      </c>
      <c r="AL1013" s="88">
        <v>3.32174652855994E-2</v>
      </c>
      <c r="AM1013" s="89">
        <f t="shared" si="15"/>
        <v>0.22144976857066268</v>
      </c>
    </row>
    <row r="1014" spans="1:39" x14ac:dyDescent="0.25">
      <c r="A1014" t="s">
        <v>44</v>
      </c>
      <c r="B1014" t="s">
        <v>52</v>
      </c>
      <c r="C1014" s="121" t="s">
        <v>174</v>
      </c>
      <c r="D1014" t="s">
        <v>201</v>
      </c>
      <c r="E1014" t="s">
        <v>63</v>
      </c>
      <c r="F1014">
        <v>3</v>
      </c>
      <c r="G1014">
        <v>4</v>
      </c>
      <c r="H1014" s="86">
        <v>45966.761875717602</v>
      </c>
      <c r="I1014" s="86">
        <v>45966.867408657403</v>
      </c>
      <c r="J1014" s="87">
        <v>2.5327905555555601</v>
      </c>
      <c r="K1014" s="69" t="s">
        <v>274</v>
      </c>
      <c r="P1014" s="71" t="s">
        <v>275</v>
      </c>
      <c r="Q1014" s="88">
        <v>1.1604222482182499E-3</v>
      </c>
      <c r="R1014" s="89" t="s">
        <v>276</v>
      </c>
      <c r="T1014">
        <v>10.6</v>
      </c>
      <c r="U1014" s="76">
        <v>0.2</v>
      </c>
      <c r="V1014">
        <v>11.1</v>
      </c>
      <c r="W1014" s="90">
        <v>0.1</v>
      </c>
      <c r="AG1014" s="91">
        <v>0</v>
      </c>
      <c r="AK1014" s="71">
        <v>0.15</v>
      </c>
      <c r="AL1014" s="88">
        <v>3.32174652855994E-2</v>
      </c>
      <c r="AM1014" s="89">
        <f t="shared" si="15"/>
        <v>0.22144976857066268</v>
      </c>
    </row>
    <row r="1015" spans="1:39" x14ac:dyDescent="0.25">
      <c r="A1015" t="s">
        <v>44</v>
      </c>
      <c r="B1015" t="s">
        <v>52</v>
      </c>
      <c r="C1015" s="121" t="s">
        <v>174</v>
      </c>
      <c r="D1015" t="s">
        <v>201</v>
      </c>
      <c r="E1015" t="s">
        <v>63</v>
      </c>
      <c r="F1015">
        <v>3</v>
      </c>
      <c r="G1015">
        <v>5</v>
      </c>
      <c r="H1015" s="86">
        <v>45966.867408657403</v>
      </c>
      <c r="I1015" s="86">
        <v>45966.972933935198</v>
      </c>
      <c r="J1015" s="87">
        <v>2.5326066666666698</v>
      </c>
      <c r="K1015" s="69" t="s">
        <v>274</v>
      </c>
      <c r="P1015" s="71" t="s">
        <v>275</v>
      </c>
      <c r="Q1015" s="88">
        <v>1.4977762104114399E-3</v>
      </c>
      <c r="R1015" s="89" t="s">
        <v>276</v>
      </c>
      <c r="T1015">
        <v>10.7</v>
      </c>
      <c r="U1015" s="76">
        <v>0.2</v>
      </c>
      <c r="V1015">
        <v>11</v>
      </c>
      <c r="W1015" s="90">
        <v>0.1</v>
      </c>
      <c r="AG1015" s="91">
        <v>0</v>
      </c>
      <c r="AK1015" s="71">
        <v>0.15</v>
      </c>
      <c r="AL1015" s="88">
        <v>3.32174652855994E-2</v>
      </c>
      <c r="AM1015" s="89">
        <f t="shared" si="15"/>
        <v>0.22144976857066268</v>
      </c>
    </row>
    <row r="1016" spans="1:39" x14ac:dyDescent="0.25">
      <c r="A1016" t="s">
        <v>44</v>
      </c>
      <c r="B1016" t="s">
        <v>52</v>
      </c>
      <c r="C1016" s="121" t="s">
        <v>174</v>
      </c>
      <c r="D1016" t="s">
        <v>201</v>
      </c>
      <c r="E1016" t="s">
        <v>63</v>
      </c>
      <c r="F1016">
        <v>3</v>
      </c>
      <c r="G1016">
        <v>6</v>
      </c>
      <c r="H1016" s="86">
        <v>45966.972933935198</v>
      </c>
      <c r="I1016" s="86">
        <v>45967.078467500003</v>
      </c>
      <c r="J1016" s="87">
        <v>2.53280555555556</v>
      </c>
      <c r="K1016" s="69" t="s">
        <v>274</v>
      </c>
      <c r="P1016" s="71" t="s">
        <v>275</v>
      </c>
      <c r="Q1016" s="88">
        <v>1.82962343928437E-3</v>
      </c>
      <c r="R1016" s="89" t="s">
        <v>276</v>
      </c>
      <c r="T1016">
        <v>10.7</v>
      </c>
      <c r="U1016" s="76">
        <v>0.2</v>
      </c>
      <c r="V1016">
        <v>11</v>
      </c>
      <c r="W1016" s="90">
        <v>0.1</v>
      </c>
      <c r="AG1016" s="91">
        <v>0</v>
      </c>
      <c r="AK1016" s="71">
        <v>0.15</v>
      </c>
      <c r="AL1016" s="88">
        <v>3.32174652855994E-2</v>
      </c>
      <c r="AM1016" s="89">
        <f t="shared" si="15"/>
        <v>0.22144976857066268</v>
      </c>
    </row>
    <row r="1017" spans="1:39" x14ac:dyDescent="0.25">
      <c r="A1017" t="s">
        <v>44</v>
      </c>
      <c r="B1017" t="s">
        <v>52</v>
      </c>
      <c r="C1017" s="121" t="s">
        <v>174</v>
      </c>
      <c r="D1017" t="s">
        <v>201</v>
      </c>
      <c r="E1017" t="s">
        <v>63</v>
      </c>
      <c r="F1017">
        <v>3</v>
      </c>
      <c r="G1017">
        <v>7</v>
      </c>
      <c r="H1017" s="86">
        <v>45967.078467500003</v>
      </c>
      <c r="I1017" s="86">
        <v>45967.1839892477</v>
      </c>
      <c r="J1017" s="87">
        <v>2.53252194444444</v>
      </c>
      <c r="K1017" s="69" t="s">
        <v>274</v>
      </c>
      <c r="P1017" s="71" t="s">
        <v>275</v>
      </c>
      <c r="Q1017" s="88">
        <v>9.8689322460713907E-4</v>
      </c>
      <c r="R1017" s="89" t="s">
        <v>276</v>
      </c>
      <c r="T1017">
        <v>10.4</v>
      </c>
      <c r="U1017" s="76">
        <v>0.2</v>
      </c>
      <c r="V1017">
        <v>11</v>
      </c>
      <c r="W1017" s="90">
        <v>0.1</v>
      </c>
      <c r="AG1017" s="91">
        <v>0</v>
      </c>
      <c r="AK1017" s="71">
        <v>0.15</v>
      </c>
      <c r="AL1017" s="88">
        <v>3.32174652855994E-2</v>
      </c>
      <c r="AM1017" s="89">
        <f t="shared" si="15"/>
        <v>0.22144976857066268</v>
      </c>
    </row>
    <row r="1018" spans="1:39" x14ac:dyDescent="0.25">
      <c r="A1018" t="s">
        <v>44</v>
      </c>
      <c r="B1018" t="s">
        <v>52</v>
      </c>
      <c r="C1018" s="121" t="s">
        <v>174</v>
      </c>
      <c r="D1018" t="s">
        <v>201</v>
      </c>
      <c r="E1018" t="s">
        <v>63</v>
      </c>
      <c r="F1018">
        <v>3</v>
      </c>
      <c r="G1018">
        <v>8</v>
      </c>
      <c r="H1018" s="86">
        <v>45967.1839892477</v>
      </c>
      <c r="I1018" s="86">
        <v>45967.289516088</v>
      </c>
      <c r="J1018" s="87">
        <v>2.5326441666666701</v>
      </c>
      <c r="K1018" s="69" t="s">
        <v>274</v>
      </c>
      <c r="P1018" s="71" t="s">
        <v>275</v>
      </c>
      <c r="Q1018" s="88">
        <v>1.7206053655557899E-3</v>
      </c>
      <c r="R1018" s="89" t="s">
        <v>276</v>
      </c>
      <c r="T1018">
        <v>10.5</v>
      </c>
      <c r="U1018" s="76">
        <v>0.2</v>
      </c>
      <c r="V1018">
        <v>10.9</v>
      </c>
      <c r="W1018" s="90">
        <v>0.1</v>
      </c>
      <c r="AG1018" s="91">
        <v>0</v>
      </c>
      <c r="AK1018" s="71">
        <v>0.15</v>
      </c>
      <c r="AL1018" s="88">
        <v>3.32174652855994E-2</v>
      </c>
      <c r="AM1018" s="89">
        <f t="shared" si="15"/>
        <v>0.22144976857066268</v>
      </c>
    </row>
    <row r="1019" spans="1:39" x14ac:dyDescent="0.25">
      <c r="A1019" t="s">
        <v>44</v>
      </c>
      <c r="B1019" t="s">
        <v>52</v>
      </c>
      <c r="C1019" s="121" t="s">
        <v>174</v>
      </c>
      <c r="D1019" t="s">
        <v>201</v>
      </c>
      <c r="E1019" t="s">
        <v>63</v>
      </c>
      <c r="F1019">
        <v>3</v>
      </c>
      <c r="G1019">
        <v>9</v>
      </c>
      <c r="H1019" s="86">
        <v>45967.289516088</v>
      </c>
      <c r="I1019" s="86">
        <v>45967.395042939803</v>
      </c>
      <c r="J1019" s="87">
        <v>2.53264444444445</v>
      </c>
      <c r="K1019" s="69" t="s">
        <v>274</v>
      </c>
      <c r="P1019" s="71" t="s">
        <v>275</v>
      </c>
      <c r="Q1019" s="88">
        <v>2.13089765504007E-3</v>
      </c>
      <c r="R1019" s="89" t="s">
        <v>276</v>
      </c>
      <c r="T1019">
        <v>9.5</v>
      </c>
      <c r="U1019" s="76">
        <v>0.2</v>
      </c>
      <c r="V1019">
        <v>10.9</v>
      </c>
      <c r="W1019" s="90">
        <v>0.1</v>
      </c>
      <c r="AG1019" s="91">
        <v>0</v>
      </c>
      <c r="AK1019" s="71">
        <v>0.15</v>
      </c>
      <c r="AL1019" s="88">
        <v>3.32174652855994E-2</v>
      </c>
      <c r="AM1019" s="89">
        <f t="shared" si="15"/>
        <v>0.22144976857066268</v>
      </c>
    </row>
    <row r="1020" spans="1:39" x14ac:dyDescent="0.25">
      <c r="A1020" t="s">
        <v>44</v>
      </c>
      <c r="B1020" t="s">
        <v>52</v>
      </c>
      <c r="C1020" s="121" t="s">
        <v>174</v>
      </c>
      <c r="D1020" t="s">
        <v>201</v>
      </c>
      <c r="E1020" t="s">
        <v>63</v>
      </c>
      <c r="F1020">
        <v>3</v>
      </c>
      <c r="G1020">
        <v>10</v>
      </c>
      <c r="H1020" s="86">
        <v>45967.395042939803</v>
      </c>
      <c r="I1020" s="86">
        <v>45967.500576030099</v>
      </c>
      <c r="J1020" s="87">
        <v>2.5327941666666698</v>
      </c>
      <c r="K1020" s="69" t="s">
        <v>274</v>
      </c>
      <c r="P1020" s="71" t="s">
        <v>275</v>
      </c>
      <c r="Q1020" s="88">
        <v>1.14569948281899E-2</v>
      </c>
      <c r="R1020" s="89" t="s">
        <v>276</v>
      </c>
      <c r="T1020">
        <v>11.6</v>
      </c>
      <c r="U1020" s="76">
        <v>0.2</v>
      </c>
      <c r="V1020">
        <v>10.8</v>
      </c>
      <c r="W1020" s="90">
        <v>0.1</v>
      </c>
      <c r="AG1020" s="91">
        <v>0</v>
      </c>
      <c r="AK1020" s="71">
        <v>0.15</v>
      </c>
      <c r="AL1020" s="88">
        <v>3.32174652855994E-2</v>
      </c>
      <c r="AM1020" s="89">
        <f t="shared" si="15"/>
        <v>0.22144976857066268</v>
      </c>
    </row>
    <row r="1021" spans="1:39" x14ac:dyDescent="0.25">
      <c r="A1021" t="s">
        <v>44</v>
      </c>
      <c r="B1021" t="s">
        <v>52</v>
      </c>
      <c r="C1021" s="121" t="s">
        <v>174</v>
      </c>
      <c r="D1021" t="s">
        <v>201</v>
      </c>
      <c r="E1021" t="s">
        <v>63</v>
      </c>
      <c r="F1021">
        <v>3</v>
      </c>
      <c r="G1021">
        <v>11</v>
      </c>
      <c r="H1021" s="86">
        <v>45967.500576030099</v>
      </c>
      <c r="I1021" s="86">
        <v>45967.606089629597</v>
      </c>
      <c r="J1021" s="87">
        <v>2.5323263888888898</v>
      </c>
      <c r="K1021" s="69" t="s">
        <v>274</v>
      </c>
      <c r="P1021" s="71" t="s">
        <v>275</v>
      </c>
      <c r="Q1021" s="88">
        <v>5.2199194139629897E-3</v>
      </c>
      <c r="R1021" s="89" t="s">
        <v>276</v>
      </c>
      <c r="T1021">
        <v>14.4</v>
      </c>
      <c r="U1021" s="76">
        <v>0.2</v>
      </c>
      <c r="V1021">
        <v>10.9</v>
      </c>
      <c r="W1021" s="90">
        <v>0.1</v>
      </c>
      <c r="AG1021" s="91">
        <v>0</v>
      </c>
      <c r="AK1021" s="71">
        <v>0.15</v>
      </c>
      <c r="AL1021" s="88">
        <v>3.32174652855994E-2</v>
      </c>
      <c r="AM1021" s="89">
        <f t="shared" si="15"/>
        <v>0.22144976857066268</v>
      </c>
    </row>
    <row r="1022" spans="1:39" x14ac:dyDescent="0.25">
      <c r="A1022" t="s">
        <v>44</v>
      </c>
      <c r="B1022" t="s">
        <v>52</v>
      </c>
      <c r="C1022" s="121" t="s">
        <v>174</v>
      </c>
      <c r="D1022" t="s">
        <v>201</v>
      </c>
      <c r="E1022" t="s">
        <v>63</v>
      </c>
      <c r="F1022">
        <v>3</v>
      </c>
      <c r="G1022">
        <v>12</v>
      </c>
      <c r="H1022" s="86">
        <v>45967.606089629597</v>
      </c>
      <c r="I1022" s="86">
        <v>45967.711623171301</v>
      </c>
      <c r="J1022" s="87">
        <v>2.5328050000000002</v>
      </c>
      <c r="K1022" s="69" t="s">
        <v>274</v>
      </c>
      <c r="P1022" s="71" t="s">
        <v>275</v>
      </c>
      <c r="Q1022" s="88">
        <v>7.9829573270549792E-3</v>
      </c>
      <c r="R1022" s="89" t="s">
        <v>276</v>
      </c>
      <c r="T1022">
        <v>12.7</v>
      </c>
      <c r="U1022" s="76">
        <v>0.2</v>
      </c>
      <c r="V1022">
        <v>11.2</v>
      </c>
      <c r="W1022" s="90">
        <v>0.1</v>
      </c>
      <c r="AG1022" s="91">
        <v>0</v>
      </c>
      <c r="AK1022" s="71">
        <v>0.15</v>
      </c>
      <c r="AL1022" s="88">
        <v>3.32174652855994E-2</v>
      </c>
      <c r="AM1022" s="89">
        <f t="shared" si="15"/>
        <v>0.22144976857066268</v>
      </c>
    </row>
    <row r="1023" spans="1:39" x14ac:dyDescent="0.25">
      <c r="A1023" t="s">
        <v>44</v>
      </c>
      <c r="B1023" t="s">
        <v>52</v>
      </c>
      <c r="C1023" s="121" t="s">
        <v>174</v>
      </c>
      <c r="D1023" t="s">
        <v>201</v>
      </c>
      <c r="E1023" t="s">
        <v>63</v>
      </c>
      <c r="F1023">
        <v>3</v>
      </c>
      <c r="G1023">
        <v>13</v>
      </c>
      <c r="H1023" s="86">
        <v>45967.711623171301</v>
      </c>
      <c r="I1023" s="86">
        <v>45967.817142638902</v>
      </c>
      <c r="J1023" s="87">
        <v>2.5324672222222202</v>
      </c>
      <c r="K1023" s="69" t="s">
        <v>274</v>
      </c>
      <c r="P1023" s="71" t="s">
        <v>275</v>
      </c>
      <c r="Q1023" s="88">
        <v>3.7559040339982201E-3</v>
      </c>
      <c r="R1023" s="89" t="s">
        <v>276</v>
      </c>
      <c r="T1023">
        <v>9.8000000000000007</v>
      </c>
      <c r="U1023" s="76">
        <v>0.2</v>
      </c>
      <c r="V1023">
        <v>11.2</v>
      </c>
      <c r="W1023" s="90">
        <v>0.1</v>
      </c>
      <c r="AG1023" s="91">
        <v>0</v>
      </c>
      <c r="AK1023" s="71">
        <v>0.15</v>
      </c>
      <c r="AL1023" s="88">
        <v>3.32174652855994E-2</v>
      </c>
      <c r="AM1023" s="89">
        <f t="shared" si="15"/>
        <v>0.22144976857066268</v>
      </c>
    </row>
    <row r="1024" spans="1:39" x14ac:dyDescent="0.25">
      <c r="A1024" t="s">
        <v>44</v>
      </c>
      <c r="B1024" t="s">
        <v>52</v>
      </c>
      <c r="C1024" s="121" t="s">
        <v>174</v>
      </c>
      <c r="D1024" t="s">
        <v>201</v>
      </c>
      <c r="E1024" t="s">
        <v>63</v>
      </c>
      <c r="F1024">
        <v>3</v>
      </c>
      <c r="G1024">
        <v>14</v>
      </c>
      <c r="H1024" s="86">
        <v>45967.817142638902</v>
      </c>
      <c r="I1024" s="86">
        <v>45967.922658715303</v>
      </c>
      <c r="J1024" s="87">
        <v>2.53238583333333</v>
      </c>
      <c r="K1024" s="69" t="s">
        <v>274</v>
      </c>
      <c r="P1024" s="71" t="s">
        <v>275</v>
      </c>
      <c r="Q1024" s="88">
        <v>1.48746033281239E-3</v>
      </c>
      <c r="R1024" s="89" t="s">
        <v>276</v>
      </c>
      <c r="T1024">
        <v>6.7</v>
      </c>
      <c r="U1024" s="76">
        <v>0.2</v>
      </c>
      <c r="V1024">
        <v>11</v>
      </c>
      <c r="W1024" s="90">
        <v>0.1</v>
      </c>
      <c r="AG1024" s="91">
        <v>0</v>
      </c>
      <c r="AK1024" s="71">
        <v>0.15</v>
      </c>
      <c r="AL1024" s="88">
        <v>3.32174652855994E-2</v>
      </c>
      <c r="AM1024" s="89">
        <f t="shared" si="15"/>
        <v>0.22144976857066268</v>
      </c>
    </row>
    <row r="1025" spans="1:39" x14ac:dyDescent="0.25">
      <c r="A1025" t="s">
        <v>44</v>
      </c>
      <c r="B1025" t="s">
        <v>52</v>
      </c>
      <c r="C1025" s="121" t="s">
        <v>174</v>
      </c>
      <c r="D1025" t="s">
        <v>201</v>
      </c>
      <c r="E1025" t="s">
        <v>63</v>
      </c>
      <c r="F1025">
        <v>3</v>
      </c>
      <c r="G1025">
        <v>15</v>
      </c>
      <c r="H1025" s="86">
        <v>45967.922658715303</v>
      </c>
      <c r="I1025" s="86">
        <v>45968.028184270799</v>
      </c>
      <c r="J1025" s="87">
        <v>2.5326133333333298</v>
      </c>
      <c r="K1025" s="69" t="s">
        <v>274</v>
      </c>
      <c r="P1025" s="71" t="s">
        <v>275</v>
      </c>
      <c r="Q1025" s="88">
        <v>1.79028169036308E-3</v>
      </c>
      <c r="R1025" s="89" t="s">
        <v>276</v>
      </c>
      <c r="T1025">
        <v>7.4</v>
      </c>
      <c r="U1025" s="76">
        <v>0.2</v>
      </c>
      <c r="V1025">
        <v>10.8</v>
      </c>
      <c r="W1025" s="90">
        <v>0.1</v>
      </c>
      <c r="AG1025" s="91">
        <v>0</v>
      </c>
      <c r="AK1025" s="71">
        <v>0.15</v>
      </c>
      <c r="AL1025" s="88">
        <v>3.32174652855994E-2</v>
      </c>
      <c r="AM1025" s="89">
        <f t="shared" si="15"/>
        <v>0.22144976857066268</v>
      </c>
    </row>
    <row r="1026" spans="1:39" x14ac:dyDescent="0.25">
      <c r="A1026" t="s">
        <v>44</v>
      </c>
      <c r="B1026" t="s">
        <v>52</v>
      </c>
      <c r="C1026" s="121" t="s">
        <v>174</v>
      </c>
      <c r="D1026" t="s">
        <v>201</v>
      </c>
      <c r="E1026" t="s">
        <v>63</v>
      </c>
      <c r="F1026">
        <v>3</v>
      </c>
      <c r="G1026">
        <v>16</v>
      </c>
      <c r="H1026" s="86">
        <v>45968.028184270799</v>
      </c>
      <c r="I1026" s="86">
        <v>45968.133719687503</v>
      </c>
      <c r="J1026" s="87">
        <v>2.5328499999999998</v>
      </c>
      <c r="K1026" s="69" t="s">
        <v>274</v>
      </c>
      <c r="P1026" s="71" t="s">
        <v>275</v>
      </c>
      <c r="Q1026" s="88">
        <v>1.3801931776025601E-3</v>
      </c>
      <c r="R1026" s="89" t="s">
        <v>276</v>
      </c>
      <c r="T1026">
        <v>5.9</v>
      </c>
      <c r="U1026" s="76">
        <v>0.2</v>
      </c>
      <c r="V1026">
        <v>10.5</v>
      </c>
      <c r="W1026" s="90">
        <v>0.1</v>
      </c>
      <c r="AG1026" s="91">
        <v>0</v>
      </c>
      <c r="AK1026" s="71">
        <v>0.15</v>
      </c>
      <c r="AL1026" s="88">
        <v>3.32174652855994E-2</v>
      </c>
      <c r="AM1026" s="89">
        <f t="shared" si="15"/>
        <v>0.22144976857066268</v>
      </c>
    </row>
    <row r="1027" spans="1:39" x14ac:dyDescent="0.25">
      <c r="A1027" t="s">
        <v>44</v>
      </c>
      <c r="B1027" t="s">
        <v>52</v>
      </c>
      <c r="C1027" s="121" t="s">
        <v>174</v>
      </c>
      <c r="D1027" t="s">
        <v>201</v>
      </c>
      <c r="E1027" t="s">
        <v>63</v>
      </c>
      <c r="F1027">
        <v>3</v>
      </c>
      <c r="G1027">
        <v>17</v>
      </c>
      <c r="H1027" s="86">
        <v>45968.133719687503</v>
      </c>
      <c r="I1027" s="86">
        <v>45968.239236643501</v>
      </c>
      <c r="J1027" s="87">
        <v>2.5324069444444501</v>
      </c>
      <c r="K1027" s="69" t="s">
        <v>274</v>
      </c>
      <c r="P1027" s="71" t="s">
        <v>275</v>
      </c>
      <c r="Q1027" s="88">
        <v>1.4185871599509E-3</v>
      </c>
      <c r="R1027" s="89" t="s">
        <v>276</v>
      </c>
      <c r="T1027">
        <v>4.4000000000000004</v>
      </c>
      <c r="U1027" s="76">
        <v>0.2</v>
      </c>
      <c r="V1027">
        <v>10.4</v>
      </c>
      <c r="W1027" s="90">
        <v>0.1</v>
      </c>
      <c r="AG1027" s="91">
        <v>0</v>
      </c>
      <c r="AK1027" s="71">
        <v>0.15</v>
      </c>
      <c r="AL1027" s="88">
        <v>3.32174652855994E-2</v>
      </c>
      <c r="AM1027" s="89">
        <f t="shared" si="15"/>
        <v>0.22144976857066268</v>
      </c>
    </row>
    <row r="1028" spans="1:39" x14ac:dyDescent="0.25">
      <c r="A1028" t="s">
        <v>44</v>
      </c>
      <c r="B1028" t="s">
        <v>52</v>
      </c>
      <c r="C1028" s="121" t="s">
        <v>174</v>
      </c>
      <c r="D1028" t="s">
        <v>201</v>
      </c>
      <c r="E1028" t="s">
        <v>63</v>
      </c>
      <c r="F1028">
        <v>3</v>
      </c>
      <c r="G1028">
        <v>18</v>
      </c>
      <c r="H1028" s="86">
        <v>45968.239236643501</v>
      </c>
      <c r="I1028" s="86">
        <v>45968.344764432899</v>
      </c>
      <c r="J1028" s="87">
        <v>2.5326669444444501</v>
      </c>
      <c r="K1028" s="69" t="s">
        <v>274</v>
      </c>
      <c r="P1028" s="71" t="s">
        <v>275</v>
      </c>
      <c r="Q1028" s="88">
        <v>9.5731497407854505E-4</v>
      </c>
      <c r="R1028" s="89" t="s">
        <v>276</v>
      </c>
      <c r="T1028">
        <v>5.7</v>
      </c>
      <c r="U1028" s="76">
        <v>0.2</v>
      </c>
      <c r="V1028">
        <v>10</v>
      </c>
      <c r="W1028" s="90">
        <v>0.1</v>
      </c>
      <c r="AG1028" s="91">
        <v>0</v>
      </c>
      <c r="AK1028" s="71">
        <v>0.15</v>
      </c>
      <c r="AL1028" s="88">
        <v>3.32174652855994E-2</v>
      </c>
      <c r="AM1028" s="89">
        <f t="shared" si="15"/>
        <v>0.22144976857066268</v>
      </c>
    </row>
    <row r="1029" spans="1:39" x14ac:dyDescent="0.25">
      <c r="A1029" t="s">
        <v>44</v>
      </c>
      <c r="B1029" t="s">
        <v>52</v>
      </c>
      <c r="C1029" s="121" t="s">
        <v>174</v>
      </c>
      <c r="D1029" t="s">
        <v>201</v>
      </c>
      <c r="E1029" t="s">
        <v>63</v>
      </c>
      <c r="F1029">
        <v>3</v>
      </c>
      <c r="G1029">
        <v>19</v>
      </c>
      <c r="H1029" s="86">
        <v>45968.344764432899</v>
      </c>
      <c r="I1029" s="86">
        <v>45968.4502896181</v>
      </c>
      <c r="J1029" s="87">
        <v>2.53260444444444</v>
      </c>
      <c r="K1029" s="69" t="s">
        <v>274</v>
      </c>
      <c r="P1029" s="71" t="s">
        <v>275</v>
      </c>
      <c r="Q1029" s="88">
        <v>1.6613622231848801E-3</v>
      </c>
      <c r="R1029" s="89" t="s">
        <v>276</v>
      </c>
      <c r="T1029">
        <v>7.3</v>
      </c>
      <c r="U1029" s="76">
        <v>0.2</v>
      </c>
      <c r="V1029">
        <v>9.8000000000000007</v>
      </c>
      <c r="W1029" s="90">
        <v>0.1</v>
      </c>
      <c r="AG1029" s="91">
        <v>0</v>
      </c>
      <c r="AK1029" s="71">
        <v>0.15</v>
      </c>
      <c r="AL1029" s="88">
        <v>3.32174652855994E-2</v>
      </c>
      <c r="AM1029" s="89">
        <f t="shared" ref="AM1029:AM1092" si="16">AL1029/AK1029</f>
        <v>0.22144976857066268</v>
      </c>
    </row>
    <row r="1030" spans="1:39" x14ac:dyDescent="0.25">
      <c r="A1030" t="s">
        <v>44</v>
      </c>
      <c r="B1030" t="s">
        <v>52</v>
      </c>
      <c r="C1030" s="121" t="s">
        <v>174</v>
      </c>
      <c r="D1030" t="s">
        <v>201</v>
      </c>
      <c r="E1030" t="s">
        <v>63</v>
      </c>
      <c r="F1030">
        <v>3</v>
      </c>
      <c r="G1030">
        <v>20</v>
      </c>
      <c r="H1030" s="86">
        <v>45968.4502896181</v>
      </c>
      <c r="I1030" s="86">
        <v>45968.555803252297</v>
      </c>
      <c r="J1030" s="87">
        <v>2.5323272222222202</v>
      </c>
      <c r="K1030" s="69" t="s">
        <v>274</v>
      </c>
      <c r="P1030" s="71" t="s">
        <v>275</v>
      </c>
      <c r="Q1030" s="88">
        <v>1.16397601181119E-3</v>
      </c>
      <c r="R1030" s="89" t="s">
        <v>276</v>
      </c>
      <c r="T1030">
        <v>8.9</v>
      </c>
      <c r="U1030" s="76">
        <v>0.2</v>
      </c>
      <c r="V1030">
        <v>9.8000000000000007</v>
      </c>
      <c r="W1030" s="90">
        <v>0.1</v>
      </c>
      <c r="AG1030" s="91">
        <v>0</v>
      </c>
      <c r="AK1030" s="71">
        <v>0.15</v>
      </c>
      <c r="AL1030" s="88">
        <v>3.32174652855994E-2</v>
      </c>
      <c r="AM1030" s="89">
        <f t="shared" si="16"/>
        <v>0.22144976857066268</v>
      </c>
    </row>
    <row r="1031" spans="1:39" x14ac:dyDescent="0.25">
      <c r="A1031" t="s">
        <v>44</v>
      </c>
      <c r="B1031" t="s">
        <v>52</v>
      </c>
      <c r="C1031" s="121" t="s">
        <v>174</v>
      </c>
      <c r="D1031" t="s">
        <v>201</v>
      </c>
      <c r="E1031" t="s">
        <v>63</v>
      </c>
      <c r="F1031">
        <v>3</v>
      </c>
      <c r="G1031">
        <v>21</v>
      </c>
      <c r="H1031" s="86">
        <v>45968.555803252297</v>
      </c>
      <c r="I1031" s="86">
        <v>45968.661303819397</v>
      </c>
      <c r="J1031" s="87">
        <v>2.5320136111111098</v>
      </c>
      <c r="K1031" s="69" t="s">
        <v>274</v>
      </c>
      <c r="P1031" s="71" t="s">
        <v>275</v>
      </c>
      <c r="Q1031" s="88">
        <v>3.1933270440357999E-3</v>
      </c>
      <c r="R1031" s="89" t="s">
        <v>276</v>
      </c>
      <c r="T1031">
        <v>9.6</v>
      </c>
      <c r="U1031" s="76">
        <v>0.2</v>
      </c>
      <c r="V1031">
        <v>9.9</v>
      </c>
      <c r="W1031" s="90">
        <v>0.1</v>
      </c>
      <c r="AG1031" s="91">
        <v>0</v>
      </c>
      <c r="AK1031" s="71">
        <v>0.15</v>
      </c>
      <c r="AL1031" s="88">
        <v>3.32174652855994E-2</v>
      </c>
      <c r="AM1031" s="89">
        <f t="shared" si="16"/>
        <v>0.22144976857066268</v>
      </c>
    </row>
    <row r="1032" spans="1:39" x14ac:dyDescent="0.25">
      <c r="A1032" t="s">
        <v>44</v>
      </c>
      <c r="B1032" t="s">
        <v>52</v>
      </c>
      <c r="C1032" s="121" t="s">
        <v>174</v>
      </c>
      <c r="D1032" t="s">
        <v>201</v>
      </c>
      <c r="E1032" t="s">
        <v>63</v>
      </c>
      <c r="F1032">
        <v>3</v>
      </c>
      <c r="G1032">
        <v>22</v>
      </c>
      <c r="H1032" s="86">
        <v>45968.661303819397</v>
      </c>
      <c r="I1032" s="86">
        <v>45968.766805289401</v>
      </c>
      <c r="J1032" s="87">
        <v>2.5320352777777799</v>
      </c>
      <c r="K1032" s="69" t="s">
        <v>274</v>
      </c>
      <c r="P1032" s="71" t="s">
        <v>275</v>
      </c>
      <c r="Q1032" s="88">
        <v>1.58859490540736E-3</v>
      </c>
      <c r="R1032" s="89" t="s">
        <v>276</v>
      </c>
      <c r="T1032">
        <v>8.1</v>
      </c>
      <c r="U1032" s="76">
        <v>0.2</v>
      </c>
      <c r="V1032">
        <v>10.1</v>
      </c>
      <c r="W1032" s="90">
        <v>0.1</v>
      </c>
      <c r="AG1032" s="91">
        <v>0</v>
      </c>
      <c r="AK1032" s="71">
        <v>0.15</v>
      </c>
      <c r="AL1032" s="88">
        <v>3.32174652855994E-2</v>
      </c>
      <c r="AM1032" s="89">
        <f t="shared" si="16"/>
        <v>0.22144976857066268</v>
      </c>
    </row>
    <row r="1033" spans="1:39" x14ac:dyDescent="0.25">
      <c r="A1033" t="s">
        <v>44</v>
      </c>
      <c r="B1033" t="s">
        <v>52</v>
      </c>
      <c r="C1033" s="121" t="s">
        <v>174</v>
      </c>
      <c r="D1033" t="s">
        <v>201</v>
      </c>
      <c r="E1033" t="s">
        <v>63</v>
      </c>
      <c r="F1033">
        <v>3</v>
      </c>
      <c r="G1033">
        <v>23</v>
      </c>
      <c r="H1033" s="86">
        <v>45968.766805289401</v>
      </c>
      <c r="I1033" s="86">
        <v>45968.872285150501</v>
      </c>
      <c r="J1033" s="87">
        <v>2.5315166666666702</v>
      </c>
      <c r="K1033" s="69" t="s">
        <v>274</v>
      </c>
      <c r="P1033" s="71" t="s">
        <v>275</v>
      </c>
      <c r="Q1033" s="88">
        <v>2.0049904649327298E-3</v>
      </c>
      <c r="R1033" s="89" t="s">
        <v>276</v>
      </c>
      <c r="T1033">
        <v>7.9</v>
      </c>
      <c r="U1033" s="76">
        <v>0.2</v>
      </c>
      <c r="V1033">
        <v>10.199999999999999</v>
      </c>
      <c r="W1033" s="90">
        <v>0.1</v>
      </c>
      <c r="AG1033" s="91">
        <v>0</v>
      </c>
      <c r="AK1033" s="71">
        <v>0.15</v>
      </c>
      <c r="AL1033" s="88">
        <v>3.32174652855994E-2</v>
      </c>
      <c r="AM1033" s="89">
        <f t="shared" si="16"/>
        <v>0.22144976857066268</v>
      </c>
    </row>
    <row r="1034" spans="1:39" x14ac:dyDescent="0.25">
      <c r="A1034" t="s">
        <v>44</v>
      </c>
      <c r="B1034" t="s">
        <v>52</v>
      </c>
      <c r="C1034" s="121" t="s">
        <v>174</v>
      </c>
      <c r="D1034" t="s">
        <v>201</v>
      </c>
      <c r="E1034" t="s">
        <v>63</v>
      </c>
      <c r="F1034">
        <v>3</v>
      </c>
      <c r="G1034">
        <v>24</v>
      </c>
      <c r="H1034" s="86">
        <v>45968.872285150501</v>
      </c>
      <c r="I1034" s="86">
        <v>45968.977806134302</v>
      </c>
      <c r="J1034" s="87">
        <v>2.5325036111111099</v>
      </c>
      <c r="K1034" s="69" t="s">
        <v>274</v>
      </c>
      <c r="P1034" s="71" t="s">
        <v>275</v>
      </c>
      <c r="Q1034" s="88">
        <v>1.76236968550436E-3</v>
      </c>
      <c r="R1034" s="89" t="s">
        <v>276</v>
      </c>
      <c r="T1034">
        <v>7.9</v>
      </c>
      <c r="U1034" s="76">
        <v>0.2</v>
      </c>
      <c r="V1034">
        <v>10.199999999999999</v>
      </c>
      <c r="W1034" s="90">
        <v>0.1</v>
      </c>
      <c r="AG1034" s="91">
        <v>0</v>
      </c>
      <c r="AK1034" s="71">
        <v>0.15</v>
      </c>
      <c r="AL1034" s="88">
        <v>3.32174652855994E-2</v>
      </c>
      <c r="AM1034" s="89">
        <f t="shared" si="16"/>
        <v>0.22144976857066268</v>
      </c>
    </row>
    <row r="1035" spans="1:39" x14ac:dyDescent="0.25">
      <c r="A1035" t="s">
        <v>44</v>
      </c>
      <c r="B1035" t="s">
        <v>52</v>
      </c>
      <c r="C1035" s="121" t="s">
        <v>174</v>
      </c>
      <c r="D1035" t="s">
        <v>201</v>
      </c>
      <c r="E1035" t="s">
        <v>63</v>
      </c>
      <c r="F1035">
        <v>3</v>
      </c>
      <c r="G1035">
        <v>25</v>
      </c>
      <c r="H1035" s="86">
        <v>45968.977806134302</v>
      </c>
      <c r="I1035" s="86">
        <v>45969.083300787002</v>
      </c>
      <c r="J1035" s="87">
        <v>2.5318716666666701</v>
      </c>
      <c r="K1035" s="69" t="s">
        <v>274</v>
      </c>
      <c r="P1035" s="71" t="s">
        <v>275</v>
      </c>
      <c r="Q1035" s="88">
        <v>2.2173674657915599E-3</v>
      </c>
      <c r="R1035" s="89" t="s">
        <v>276</v>
      </c>
      <c r="T1035">
        <v>8</v>
      </c>
      <c r="U1035" s="76">
        <v>0.2</v>
      </c>
      <c r="V1035">
        <v>10.1</v>
      </c>
      <c r="W1035" s="90">
        <v>0.1</v>
      </c>
      <c r="AG1035" s="91">
        <v>0</v>
      </c>
      <c r="AK1035" s="71">
        <v>0.15</v>
      </c>
      <c r="AL1035" s="88">
        <v>3.32174652855994E-2</v>
      </c>
      <c r="AM1035" s="89">
        <f t="shared" si="16"/>
        <v>0.22144976857066268</v>
      </c>
    </row>
    <row r="1036" spans="1:39" x14ac:dyDescent="0.25">
      <c r="A1036" t="s">
        <v>44</v>
      </c>
      <c r="B1036" t="s">
        <v>52</v>
      </c>
      <c r="C1036" s="121" t="s">
        <v>174</v>
      </c>
      <c r="D1036" t="s">
        <v>201</v>
      </c>
      <c r="E1036" t="s">
        <v>63</v>
      </c>
      <c r="F1036">
        <v>3</v>
      </c>
      <c r="G1036">
        <v>26</v>
      </c>
      <c r="H1036" s="86">
        <v>45969.083300787002</v>
      </c>
      <c r="I1036" s="86">
        <v>45969.188800428201</v>
      </c>
      <c r="J1036" s="87">
        <v>2.5319913888888901</v>
      </c>
      <c r="K1036" s="69" t="s">
        <v>274</v>
      </c>
      <c r="P1036" s="71" t="s">
        <v>275</v>
      </c>
      <c r="Q1036" s="88">
        <v>2.0851019823124599E-3</v>
      </c>
      <c r="R1036" s="89" t="s">
        <v>276</v>
      </c>
      <c r="T1036">
        <v>8.1999999999999993</v>
      </c>
      <c r="U1036" s="76">
        <v>0.2</v>
      </c>
      <c r="V1036">
        <v>10.1</v>
      </c>
      <c r="W1036" s="90">
        <v>0.1</v>
      </c>
      <c r="AG1036" s="91">
        <v>0</v>
      </c>
      <c r="AK1036" s="71">
        <v>0.15</v>
      </c>
      <c r="AL1036" s="88">
        <v>3.32174652855994E-2</v>
      </c>
      <c r="AM1036" s="89">
        <f t="shared" si="16"/>
        <v>0.22144976857066268</v>
      </c>
    </row>
    <row r="1037" spans="1:39" x14ac:dyDescent="0.25">
      <c r="A1037" t="s">
        <v>44</v>
      </c>
      <c r="B1037" t="s">
        <v>52</v>
      </c>
      <c r="C1037" s="121" t="s">
        <v>174</v>
      </c>
      <c r="D1037" t="s">
        <v>201</v>
      </c>
      <c r="E1037" t="s">
        <v>63</v>
      </c>
      <c r="F1037">
        <v>3</v>
      </c>
      <c r="G1037">
        <v>27</v>
      </c>
      <c r="H1037" s="86">
        <v>45969.188800428201</v>
      </c>
      <c r="I1037" s="86">
        <v>45969.294296759297</v>
      </c>
      <c r="J1037" s="87">
        <v>2.53191194444444</v>
      </c>
      <c r="K1037" s="69" t="s">
        <v>274</v>
      </c>
      <c r="P1037" s="71" t="s">
        <v>275</v>
      </c>
      <c r="Q1037" s="88">
        <v>2.0671933543581701E-3</v>
      </c>
      <c r="R1037" s="89" t="s">
        <v>276</v>
      </c>
      <c r="T1037">
        <v>8.1</v>
      </c>
      <c r="U1037" s="76">
        <v>0.2</v>
      </c>
      <c r="V1037">
        <v>10.1</v>
      </c>
      <c r="W1037" s="90">
        <v>0.1</v>
      </c>
      <c r="AG1037" s="91">
        <v>0</v>
      </c>
      <c r="AK1037" s="71">
        <v>0.15</v>
      </c>
      <c r="AL1037" s="88">
        <v>3.32174652855994E-2</v>
      </c>
      <c r="AM1037" s="89">
        <f t="shared" si="16"/>
        <v>0.22144976857066268</v>
      </c>
    </row>
    <row r="1038" spans="1:39" x14ac:dyDescent="0.25">
      <c r="A1038" t="s">
        <v>44</v>
      </c>
      <c r="B1038" t="s">
        <v>52</v>
      </c>
      <c r="C1038" s="121" t="s">
        <v>174</v>
      </c>
      <c r="D1038" t="s">
        <v>201</v>
      </c>
      <c r="E1038" t="s">
        <v>63</v>
      </c>
      <c r="F1038">
        <v>3</v>
      </c>
      <c r="G1038">
        <v>28</v>
      </c>
      <c r="H1038" s="86">
        <v>45969.294296759297</v>
      </c>
      <c r="I1038" s="86">
        <v>45969.399808044</v>
      </c>
      <c r="J1038" s="87">
        <v>2.5322708333333299</v>
      </c>
      <c r="K1038" s="69" t="s">
        <v>274</v>
      </c>
      <c r="P1038" s="71" t="s">
        <v>275</v>
      </c>
      <c r="Q1038" s="88">
        <v>2.3305453712035898E-3</v>
      </c>
      <c r="R1038" s="89" t="s">
        <v>276</v>
      </c>
      <c r="T1038">
        <v>8</v>
      </c>
      <c r="U1038" s="76">
        <v>0.2</v>
      </c>
      <c r="V1038">
        <v>10.1</v>
      </c>
      <c r="W1038" s="90">
        <v>0.1</v>
      </c>
      <c r="AG1038" s="91">
        <v>0</v>
      </c>
      <c r="AK1038" s="71">
        <v>0.15</v>
      </c>
      <c r="AL1038" s="88">
        <v>3.32174652855994E-2</v>
      </c>
      <c r="AM1038" s="89">
        <f t="shared" si="16"/>
        <v>0.22144976857066268</v>
      </c>
    </row>
    <row r="1039" spans="1:39" x14ac:dyDescent="0.25">
      <c r="A1039" t="s">
        <v>44</v>
      </c>
      <c r="B1039" t="s">
        <v>52</v>
      </c>
      <c r="C1039" s="121" t="s">
        <v>174</v>
      </c>
      <c r="D1039" t="s">
        <v>201</v>
      </c>
      <c r="E1039" t="s">
        <v>63</v>
      </c>
      <c r="F1039">
        <v>3</v>
      </c>
      <c r="G1039">
        <v>29</v>
      </c>
      <c r="H1039" s="86">
        <v>45969.399808044</v>
      </c>
      <c r="I1039" s="86">
        <v>45969.505306817096</v>
      </c>
      <c r="J1039" s="87">
        <v>2.5319705555555601</v>
      </c>
      <c r="K1039" s="69" t="s">
        <v>274</v>
      </c>
      <c r="P1039" s="71" t="s">
        <v>275</v>
      </c>
      <c r="Q1039" s="88">
        <v>2.0250738298169301E-3</v>
      </c>
      <c r="R1039" s="89" t="s">
        <v>276</v>
      </c>
      <c r="T1039">
        <v>8.4</v>
      </c>
      <c r="U1039" s="76">
        <v>0.2</v>
      </c>
      <c r="V1039">
        <v>10.1</v>
      </c>
      <c r="W1039" s="90">
        <v>0.1</v>
      </c>
      <c r="AG1039" s="91">
        <v>0</v>
      </c>
      <c r="AK1039" s="71">
        <v>0.15</v>
      </c>
      <c r="AL1039" s="88">
        <v>3.32174652855994E-2</v>
      </c>
      <c r="AM1039" s="89">
        <f t="shared" si="16"/>
        <v>0.22144976857066268</v>
      </c>
    </row>
    <row r="1040" spans="1:39" x14ac:dyDescent="0.25">
      <c r="A1040" t="s">
        <v>44</v>
      </c>
      <c r="B1040" t="s">
        <v>52</v>
      </c>
      <c r="C1040" s="121" t="s">
        <v>174</v>
      </c>
      <c r="D1040" t="s">
        <v>201</v>
      </c>
      <c r="E1040" t="s">
        <v>63</v>
      </c>
      <c r="F1040">
        <v>3</v>
      </c>
      <c r="G1040">
        <v>30</v>
      </c>
      <c r="H1040" s="86">
        <v>45969.505306817096</v>
      </c>
      <c r="I1040" s="86">
        <v>45969.610808888901</v>
      </c>
      <c r="J1040" s="87">
        <v>2.53204972222222</v>
      </c>
      <c r="K1040" s="69" t="s">
        <v>274</v>
      </c>
      <c r="P1040" s="71" t="s">
        <v>275</v>
      </c>
      <c r="Q1040" s="88">
        <v>2.3599753192227201E-3</v>
      </c>
      <c r="R1040" s="89" t="s">
        <v>276</v>
      </c>
      <c r="T1040">
        <v>8.6</v>
      </c>
      <c r="U1040" s="76">
        <v>0.2</v>
      </c>
      <c r="V1040">
        <v>10.1</v>
      </c>
      <c r="W1040" s="90">
        <v>0.1</v>
      </c>
      <c r="AG1040" s="91">
        <v>0</v>
      </c>
      <c r="AK1040" s="71">
        <v>0.15</v>
      </c>
      <c r="AL1040" s="88">
        <v>3.32174652855994E-2</v>
      </c>
      <c r="AM1040" s="89">
        <f t="shared" si="16"/>
        <v>0.22144976857066268</v>
      </c>
    </row>
    <row r="1041" spans="1:39" x14ac:dyDescent="0.25">
      <c r="A1041" t="s">
        <v>44</v>
      </c>
      <c r="B1041" t="s">
        <v>52</v>
      </c>
      <c r="C1041" s="121" t="s">
        <v>174</v>
      </c>
      <c r="D1041" t="s">
        <v>201</v>
      </c>
      <c r="E1041" t="s">
        <v>63</v>
      </c>
      <c r="F1041">
        <v>3</v>
      </c>
      <c r="G1041">
        <v>31</v>
      </c>
      <c r="H1041" s="86">
        <v>45969.610808888901</v>
      </c>
      <c r="I1041" s="86">
        <v>45969.716309039402</v>
      </c>
      <c r="J1041" s="87">
        <v>2.5320036111111102</v>
      </c>
      <c r="K1041" s="69" t="s">
        <v>274</v>
      </c>
      <c r="P1041" s="71" t="s">
        <v>275</v>
      </c>
      <c r="Q1041" s="88">
        <v>2.9788742989752398E-3</v>
      </c>
      <c r="R1041" s="89" t="s">
        <v>276</v>
      </c>
      <c r="T1041">
        <v>8.4</v>
      </c>
      <c r="U1041" s="76">
        <v>0.2</v>
      </c>
      <c r="V1041">
        <v>10.199999999999999</v>
      </c>
      <c r="W1041" s="90">
        <v>0.1</v>
      </c>
      <c r="AG1041" s="91">
        <v>0</v>
      </c>
      <c r="AK1041" s="71">
        <v>0.15</v>
      </c>
      <c r="AL1041" s="88">
        <v>3.32174652855994E-2</v>
      </c>
      <c r="AM1041" s="89">
        <f t="shared" si="16"/>
        <v>0.22144976857066268</v>
      </c>
    </row>
    <row r="1042" spans="1:39" x14ac:dyDescent="0.25">
      <c r="A1042" t="s">
        <v>44</v>
      </c>
      <c r="B1042" t="s">
        <v>52</v>
      </c>
      <c r="C1042" s="121" t="s">
        <v>174</v>
      </c>
      <c r="D1042" t="s">
        <v>201</v>
      </c>
      <c r="E1042" t="s">
        <v>63</v>
      </c>
      <c r="F1042">
        <v>3</v>
      </c>
      <c r="G1042">
        <v>32</v>
      </c>
      <c r="H1042" s="86">
        <v>45969.716309039402</v>
      </c>
      <c r="I1042" s="86">
        <v>45969.821812337999</v>
      </c>
      <c r="J1042" s="87">
        <v>2.5320791666666702</v>
      </c>
      <c r="K1042" s="69" t="s">
        <v>274</v>
      </c>
      <c r="P1042" s="71" t="s">
        <v>275</v>
      </c>
      <c r="Q1042" s="88">
        <v>2.0005119137076902E-3</v>
      </c>
      <c r="R1042" s="89" t="s">
        <v>276</v>
      </c>
      <c r="T1042">
        <v>8</v>
      </c>
      <c r="U1042" s="76">
        <v>0.2</v>
      </c>
      <c r="V1042">
        <v>10.199999999999999</v>
      </c>
      <c r="W1042" s="90">
        <v>0.1</v>
      </c>
      <c r="AG1042" s="91">
        <v>0</v>
      </c>
      <c r="AK1042" s="71">
        <v>0.15</v>
      </c>
      <c r="AL1042" s="88">
        <v>3.32174652855994E-2</v>
      </c>
      <c r="AM1042" s="89">
        <f t="shared" si="16"/>
        <v>0.22144976857066268</v>
      </c>
    </row>
    <row r="1043" spans="1:39" x14ac:dyDescent="0.25">
      <c r="A1043" t="s">
        <v>44</v>
      </c>
      <c r="B1043" t="s">
        <v>52</v>
      </c>
      <c r="C1043" s="121" t="s">
        <v>174</v>
      </c>
      <c r="D1043" t="s">
        <v>201</v>
      </c>
      <c r="E1043" t="s">
        <v>63</v>
      </c>
      <c r="F1043">
        <v>3</v>
      </c>
      <c r="G1043">
        <v>33</v>
      </c>
      <c r="H1043" s="86">
        <v>45969.821812337999</v>
      </c>
      <c r="I1043" s="86">
        <v>45969.927308749997</v>
      </c>
      <c r="J1043" s="87">
        <v>2.5319138888888899</v>
      </c>
      <c r="K1043" s="69" t="s">
        <v>274</v>
      </c>
      <c r="P1043" s="71" t="s">
        <v>275</v>
      </c>
      <c r="Q1043" s="88">
        <v>2.2137002549848898E-3</v>
      </c>
      <c r="R1043" s="89" t="s">
        <v>276</v>
      </c>
      <c r="T1043">
        <v>7.8</v>
      </c>
      <c r="U1043" s="76">
        <v>0.2</v>
      </c>
      <c r="V1043">
        <v>10.199999999999999</v>
      </c>
      <c r="W1043" s="90">
        <v>0.1</v>
      </c>
      <c r="AG1043" s="91">
        <v>0</v>
      </c>
      <c r="AK1043" s="71">
        <v>0.15</v>
      </c>
      <c r="AL1043" s="88">
        <v>3.32174652855994E-2</v>
      </c>
      <c r="AM1043" s="89">
        <f t="shared" si="16"/>
        <v>0.22144976857066268</v>
      </c>
    </row>
    <row r="1044" spans="1:39" x14ac:dyDescent="0.25">
      <c r="A1044" t="s">
        <v>44</v>
      </c>
      <c r="B1044" t="s">
        <v>52</v>
      </c>
      <c r="C1044" s="121" t="s">
        <v>174</v>
      </c>
      <c r="D1044" t="s">
        <v>201</v>
      </c>
      <c r="E1044" t="s">
        <v>63</v>
      </c>
      <c r="F1044">
        <v>3</v>
      </c>
      <c r="G1044">
        <v>34</v>
      </c>
      <c r="H1044" s="86">
        <v>45969.927308749997</v>
      </c>
      <c r="I1044" s="86">
        <v>45970.032810590303</v>
      </c>
      <c r="J1044" s="87">
        <v>2.5320441666666702</v>
      </c>
      <c r="K1044" s="69" t="s">
        <v>274</v>
      </c>
      <c r="P1044" s="71" t="s">
        <v>275</v>
      </c>
      <c r="Q1044" s="88">
        <v>2.2325920603867701E-3</v>
      </c>
      <c r="R1044" s="89" t="s">
        <v>276</v>
      </c>
      <c r="T1044">
        <v>7.8</v>
      </c>
      <c r="U1044" s="76">
        <v>0.2</v>
      </c>
      <c r="V1044">
        <v>10.199999999999999</v>
      </c>
      <c r="W1044" s="90">
        <v>0.1</v>
      </c>
      <c r="AG1044" s="91">
        <v>0</v>
      </c>
      <c r="AK1044" s="71">
        <v>0.15</v>
      </c>
      <c r="AL1044" s="88">
        <v>3.32174652855994E-2</v>
      </c>
      <c r="AM1044" s="89">
        <f t="shared" si="16"/>
        <v>0.22144976857066268</v>
      </c>
    </row>
    <row r="1045" spans="1:39" x14ac:dyDescent="0.25">
      <c r="A1045" t="s">
        <v>44</v>
      </c>
      <c r="B1045" t="s">
        <v>52</v>
      </c>
      <c r="C1045" s="121" t="s">
        <v>174</v>
      </c>
      <c r="D1045" t="s">
        <v>201</v>
      </c>
      <c r="E1045" t="s">
        <v>63</v>
      </c>
      <c r="F1045">
        <v>3</v>
      </c>
      <c r="G1045">
        <v>35</v>
      </c>
      <c r="H1045" s="86">
        <v>45970.032810590303</v>
      </c>
      <c r="I1045" s="86">
        <v>45970.138311782401</v>
      </c>
      <c r="J1045" s="87">
        <v>2.5320286111111101</v>
      </c>
      <c r="K1045" s="69" t="s">
        <v>274</v>
      </c>
      <c r="P1045" s="71" t="s">
        <v>275</v>
      </c>
      <c r="Q1045" s="88">
        <v>2.80235231913594E-3</v>
      </c>
      <c r="R1045" s="89" t="s">
        <v>276</v>
      </c>
      <c r="T1045">
        <v>7.4</v>
      </c>
      <c r="U1045" s="76">
        <v>0.2</v>
      </c>
      <c r="V1045">
        <v>10.1</v>
      </c>
      <c r="W1045" s="90">
        <v>0.1</v>
      </c>
      <c r="AG1045" s="91">
        <v>0.1</v>
      </c>
      <c r="AK1045" s="71">
        <v>0.15</v>
      </c>
      <c r="AL1045" s="88">
        <v>3.32174652855994E-2</v>
      </c>
      <c r="AM1045" s="89">
        <f t="shared" si="16"/>
        <v>0.22144976857066268</v>
      </c>
    </row>
    <row r="1046" spans="1:39" x14ac:dyDescent="0.25">
      <c r="A1046" t="s">
        <v>44</v>
      </c>
      <c r="B1046" t="s">
        <v>52</v>
      </c>
      <c r="C1046" s="121" t="s">
        <v>174</v>
      </c>
      <c r="D1046" t="s">
        <v>201</v>
      </c>
      <c r="E1046" t="s">
        <v>63</v>
      </c>
      <c r="F1046">
        <v>3</v>
      </c>
      <c r="G1046">
        <v>36</v>
      </c>
      <c r="H1046" s="86">
        <v>45970.138311782401</v>
      </c>
      <c r="I1046" s="86">
        <v>45970.243813275498</v>
      </c>
      <c r="J1046" s="87">
        <v>2.5320358333333299</v>
      </c>
      <c r="K1046" s="69" t="s">
        <v>274</v>
      </c>
      <c r="P1046" s="71" t="s">
        <v>275</v>
      </c>
      <c r="Q1046" s="88">
        <v>2.0682935725149002E-3</v>
      </c>
      <c r="R1046" s="89" t="s">
        <v>276</v>
      </c>
      <c r="T1046">
        <v>7.1</v>
      </c>
      <c r="U1046" s="76">
        <v>0.2</v>
      </c>
      <c r="V1046">
        <v>10.1</v>
      </c>
      <c r="W1046" s="90">
        <v>0.1</v>
      </c>
      <c r="AG1046" s="91">
        <v>0</v>
      </c>
      <c r="AK1046" s="71">
        <v>0.15</v>
      </c>
      <c r="AL1046" s="88">
        <v>3.32174652855994E-2</v>
      </c>
      <c r="AM1046" s="89">
        <f t="shared" si="16"/>
        <v>0.22144976857066268</v>
      </c>
    </row>
    <row r="1047" spans="1:39" x14ac:dyDescent="0.25">
      <c r="A1047" t="s">
        <v>44</v>
      </c>
      <c r="B1047" t="s">
        <v>52</v>
      </c>
      <c r="C1047" s="121" t="s">
        <v>174</v>
      </c>
      <c r="D1047" t="s">
        <v>201</v>
      </c>
      <c r="E1047" t="s">
        <v>63</v>
      </c>
      <c r="F1047">
        <v>3</v>
      </c>
      <c r="G1047">
        <v>37</v>
      </c>
      <c r="H1047" s="86">
        <v>45970.243813275498</v>
      </c>
      <c r="I1047" s="86">
        <v>45970.349313958301</v>
      </c>
      <c r="J1047" s="87">
        <v>2.53201638888889</v>
      </c>
      <c r="K1047" s="69" t="s">
        <v>274</v>
      </c>
      <c r="P1047" s="71" t="s">
        <v>275</v>
      </c>
      <c r="Q1047" s="88">
        <v>2.3433691308312899E-3</v>
      </c>
      <c r="R1047" s="89" t="s">
        <v>276</v>
      </c>
      <c r="T1047">
        <v>6.8</v>
      </c>
      <c r="U1047" s="76">
        <v>0.2</v>
      </c>
      <c r="V1047">
        <v>10</v>
      </c>
      <c r="W1047" s="90">
        <v>0.1</v>
      </c>
      <c r="AG1047" s="91">
        <v>0</v>
      </c>
      <c r="AK1047" s="71">
        <v>0.15</v>
      </c>
      <c r="AL1047" s="88">
        <v>3.32174652855994E-2</v>
      </c>
      <c r="AM1047" s="89">
        <f t="shared" si="16"/>
        <v>0.22144976857066268</v>
      </c>
    </row>
    <row r="1048" spans="1:39" x14ac:dyDescent="0.25">
      <c r="A1048" t="s">
        <v>44</v>
      </c>
      <c r="B1048" t="s">
        <v>52</v>
      </c>
      <c r="C1048" s="121" t="s">
        <v>174</v>
      </c>
      <c r="D1048" t="s">
        <v>201</v>
      </c>
      <c r="E1048" t="s">
        <v>63</v>
      </c>
      <c r="F1048">
        <v>3</v>
      </c>
      <c r="G1048">
        <v>38</v>
      </c>
      <c r="H1048" s="86">
        <v>45970.349313958301</v>
      </c>
      <c r="I1048" s="86">
        <v>45970.454817233804</v>
      </c>
      <c r="J1048" s="87">
        <v>2.53207861111111</v>
      </c>
      <c r="K1048" s="69" t="s">
        <v>274</v>
      </c>
      <c r="P1048" s="71" t="s">
        <v>275</v>
      </c>
      <c r="Q1048" s="88">
        <v>2.4853304890674198E-3</v>
      </c>
      <c r="R1048" s="89" t="s">
        <v>276</v>
      </c>
      <c r="T1048">
        <v>6.8</v>
      </c>
      <c r="U1048" s="76">
        <v>0.2</v>
      </c>
      <c r="V1048">
        <v>10</v>
      </c>
      <c r="W1048" s="90">
        <v>0.1</v>
      </c>
      <c r="AG1048" s="91">
        <v>0</v>
      </c>
      <c r="AK1048" s="71">
        <v>0.15</v>
      </c>
      <c r="AL1048" s="88">
        <v>3.32174652855994E-2</v>
      </c>
      <c r="AM1048" s="89">
        <f t="shared" si="16"/>
        <v>0.22144976857066268</v>
      </c>
    </row>
    <row r="1049" spans="1:39" x14ac:dyDescent="0.25">
      <c r="A1049" t="s">
        <v>44</v>
      </c>
      <c r="B1049" t="s">
        <v>52</v>
      </c>
      <c r="C1049" s="121" t="s">
        <v>174</v>
      </c>
      <c r="D1049" t="s">
        <v>201</v>
      </c>
      <c r="E1049" t="s">
        <v>63</v>
      </c>
      <c r="F1049">
        <v>3</v>
      </c>
      <c r="G1049">
        <v>39</v>
      </c>
      <c r="H1049" s="86">
        <v>45970.454817233804</v>
      </c>
      <c r="I1049" s="86">
        <v>45970.560323611098</v>
      </c>
      <c r="J1049" s="87">
        <v>2.5321530555555598</v>
      </c>
      <c r="K1049" s="69" t="s">
        <v>274</v>
      </c>
      <c r="P1049" s="71" t="s">
        <v>275</v>
      </c>
      <c r="Q1049" s="88">
        <v>3.3003639554277701E-3</v>
      </c>
      <c r="R1049" s="89" t="s">
        <v>276</v>
      </c>
      <c r="T1049">
        <v>7.6</v>
      </c>
      <c r="U1049" s="76">
        <v>0.2</v>
      </c>
      <c r="V1049">
        <v>9.9</v>
      </c>
      <c r="W1049" s="90">
        <v>0.1</v>
      </c>
      <c r="AG1049" s="91">
        <v>0</v>
      </c>
      <c r="AK1049" s="71">
        <v>0.15</v>
      </c>
      <c r="AL1049" s="88">
        <v>3.32174652855994E-2</v>
      </c>
      <c r="AM1049" s="89">
        <f t="shared" si="16"/>
        <v>0.22144976857066268</v>
      </c>
    </row>
    <row r="1050" spans="1:39" x14ac:dyDescent="0.25">
      <c r="A1050" t="s">
        <v>44</v>
      </c>
      <c r="B1050" t="s">
        <v>52</v>
      </c>
      <c r="C1050" s="121" t="s">
        <v>174</v>
      </c>
      <c r="D1050" t="s">
        <v>201</v>
      </c>
      <c r="E1050" t="s">
        <v>63</v>
      </c>
      <c r="F1050">
        <v>3</v>
      </c>
      <c r="G1050">
        <v>40</v>
      </c>
      <c r="H1050" s="86">
        <v>45970.560323611098</v>
      </c>
      <c r="I1050" s="86">
        <v>45970.665824536998</v>
      </c>
      <c r="J1050" s="87">
        <v>2.5320222222222202</v>
      </c>
      <c r="K1050" s="69" t="s">
        <v>274</v>
      </c>
      <c r="P1050" s="71" t="s">
        <v>275</v>
      </c>
      <c r="Q1050" s="88">
        <v>4.7569057077059499E-3</v>
      </c>
      <c r="R1050" s="89" t="s">
        <v>276</v>
      </c>
      <c r="T1050">
        <v>7.5</v>
      </c>
      <c r="U1050" s="76">
        <v>0.2</v>
      </c>
      <c r="V1050">
        <v>10</v>
      </c>
      <c r="W1050" s="90">
        <v>0.1</v>
      </c>
      <c r="AG1050" s="91">
        <v>0</v>
      </c>
      <c r="AK1050" s="71">
        <v>0.15</v>
      </c>
      <c r="AL1050" s="88">
        <v>3.32174652855994E-2</v>
      </c>
      <c r="AM1050" s="89">
        <f t="shared" si="16"/>
        <v>0.22144976857066268</v>
      </c>
    </row>
    <row r="1051" spans="1:39" x14ac:dyDescent="0.25">
      <c r="A1051" t="s">
        <v>44</v>
      </c>
      <c r="B1051" t="s">
        <v>52</v>
      </c>
      <c r="C1051" s="121" t="s">
        <v>174</v>
      </c>
      <c r="D1051" t="s">
        <v>201</v>
      </c>
      <c r="E1051" t="s">
        <v>63</v>
      </c>
      <c r="F1051">
        <v>3</v>
      </c>
      <c r="G1051">
        <v>41</v>
      </c>
      <c r="H1051" s="86">
        <v>45970.665824536998</v>
      </c>
      <c r="I1051" s="86">
        <v>45970.771331354197</v>
      </c>
      <c r="J1051" s="87">
        <v>2.5321636111111099</v>
      </c>
      <c r="K1051" s="69" t="s">
        <v>274</v>
      </c>
      <c r="P1051" s="71" t="s">
        <v>275</v>
      </c>
      <c r="Q1051" s="88">
        <v>3.8992137339607098E-3</v>
      </c>
      <c r="R1051" s="89" t="s">
        <v>276</v>
      </c>
      <c r="T1051">
        <v>7</v>
      </c>
      <c r="U1051" s="76">
        <v>0.2</v>
      </c>
      <c r="V1051">
        <v>10.1</v>
      </c>
      <c r="W1051" s="90">
        <v>0.1</v>
      </c>
      <c r="AG1051" s="91">
        <v>0</v>
      </c>
      <c r="AK1051" s="71">
        <v>0.15</v>
      </c>
      <c r="AL1051" s="88">
        <v>3.32174652855994E-2</v>
      </c>
      <c r="AM1051" s="89">
        <f t="shared" si="16"/>
        <v>0.22144976857066268</v>
      </c>
    </row>
    <row r="1052" spans="1:39" x14ac:dyDescent="0.25">
      <c r="A1052" t="s">
        <v>44</v>
      </c>
      <c r="B1052" t="s">
        <v>52</v>
      </c>
      <c r="C1052" s="121" t="s">
        <v>174</v>
      </c>
      <c r="D1052" t="s">
        <v>201</v>
      </c>
      <c r="E1052" t="s">
        <v>63</v>
      </c>
      <c r="F1052">
        <v>3</v>
      </c>
      <c r="G1052">
        <v>42</v>
      </c>
      <c r="H1052" s="86">
        <v>45970.771331354197</v>
      </c>
      <c r="I1052" s="86">
        <v>45970.876837418997</v>
      </c>
      <c r="J1052" s="87">
        <v>2.5321455555555601</v>
      </c>
      <c r="K1052" s="69" t="s">
        <v>274</v>
      </c>
      <c r="P1052" s="71" t="s">
        <v>275</v>
      </c>
      <c r="Q1052" s="88">
        <v>3.3286894298790999E-3</v>
      </c>
      <c r="R1052" s="89" t="s">
        <v>276</v>
      </c>
      <c r="T1052">
        <v>6.1</v>
      </c>
      <c r="U1052" s="76">
        <v>0.2</v>
      </c>
      <c r="V1052">
        <v>10</v>
      </c>
      <c r="W1052" s="90">
        <v>0.1</v>
      </c>
      <c r="AG1052" s="91">
        <v>0</v>
      </c>
      <c r="AK1052" s="71">
        <v>0.15</v>
      </c>
      <c r="AL1052" s="88">
        <v>3.32174652855994E-2</v>
      </c>
      <c r="AM1052" s="89">
        <f t="shared" si="16"/>
        <v>0.22144976857066268</v>
      </c>
    </row>
    <row r="1053" spans="1:39" x14ac:dyDescent="0.25">
      <c r="A1053" t="s">
        <v>44</v>
      </c>
      <c r="B1053" t="s">
        <v>52</v>
      </c>
      <c r="C1053" s="121" t="s">
        <v>174</v>
      </c>
      <c r="D1053" t="s">
        <v>201</v>
      </c>
      <c r="E1053" t="s">
        <v>63</v>
      </c>
      <c r="F1053">
        <v>3</v>
      </c>
      <c r="G1053">
        <v>43</v>
      </c>
      <c r="H1053" s="86">
        <v>45970.876837418997</v>
      </c>
      <c r="I1053" s="86">
        <v>45970.982333796303</v>
      </c>
      <c r="J1053" s="87">
        <v>2.53191305555556</v>
      </c>
      <c r="K1053" s="69" t="s">
        <v>274</v>
      </c>
      <c r="P1053" s="71" t="s">
        <v>275</v>
      </c>
      <c r="Q1053" s="88">
        <v>2.8904378786776199E-3</v>
      </c>
      <c r="R1053" s="89" t="s">
        <v>276</v>
      </c>
      <c r="T1053">
        <v>6.3</v>
      </c>
      <c r="U1053" s="76">
        <v>0.2</v>
      </c>
      <c r="V1053">
        <v>10</v>
      </c>
      <c r="W1053" s="90">
        <v>0.1</v>
      </c>
      <c r="AG1053" s="91">
        <v>0</v>
      </c>
      <c r="AK1053" s="71">
        <v>0.15</v>
      </c>
      <c r="AL1053" s="88">
        <v>3.32174652855994E-2</v>
      </c>
      <c r="AM1053" s="89">
        <f t="shared" si="16"/>
        <v>0.22144976857066268</v>
      </c>
    </row>
    <row r="1054" spans="1:39" x14ac:dyDescent="0.25">
      <c r="A1054" t="s">
        <v>44</v>
      </c>
      <c r="B1054" t="s">
        <v>52</v>
      </c>
      <c r="C1054" s="121" t="s">
        <v>174</v>
      </c>
      <c r="D1054" t="s">
        <v>201</v>
      </c>
      <c r="E1054" t="s">
        <v>63</v>
      </c>
      <c r="F1054">
        <v>3</v>
      </c>
      <c r="G1054">
        <v>44</v>
      </c>
      <c r="H1054" s="86">
        <v>45970.982333796303</v>
      </c>
      <c r="I1054" s="86">
        <v>45971.087833773199</v>
      </c>
      <c r="J1054" s="87">
        <v>2.53199944444445</v>
      </c>
      <c r="K1054" s="69" t="s">
        <v>274</v>
      </c>
      <c r="P1054" s="71" t="s">
        <v>275</v>
      </c>
      <c r="Q1054" s="88">
        <v>1.94789571292025E-3</v>
      </c>
      <c r="R1054" s="89" t="s">
        <v>276</v>
      </c>
      <c r="T1054">
        <v>5.7</v>
      </c>
      <c r="U1054" s="76">
        <v>0.2</v>
      </c>
      <c r="V1054">
        <v>9.9</v>
      </c>
      <c r="W1054" s="90">
        <v>0.1</v>
      </c>
      <c r="AG1054" s="91">
        <v>0</v>
      </c>
      <c r="AK1054" s="71">
        <v>0.15</v>
      </c>
      <c r="AL1054" s="88">
        <v>3.32174652855994E-2</v>
      </c>
      <c r="AM1054" s="89">
        <f t="shared" si="16"/>
        <v>0.22144976857066268</v>
      </c>
    </row>
    <row r="1055" spans="1:39" x14ac:dyDescent="0.25">
      <c r="A1055" t="s">
        <v>44</v>
      </c>
      <c r="B1055" t="s">
        <v>52</v>
      </c>
      <c r="C1055" s="121" t="s">
        <v>174</v>
      </c>
      <c r="D1055" t="s">
        <v>201</v>
      </c>
      <c r="E1055" t="s">
        <v>63</v>
      </c>
      <c r="F1055">
        <v>3</v>
      </c>
      <c r="G1055">
        <v>45</v>
      </c>
      <c r="H1055" s="86">
        <v>45971.087833773199</v>
      </c>
      <c r="I1055" s="86">
        <v>45971.193340601902</v>
      </c>
      <c r="J1055" s="87">
        <v>2.5321638888888902</v>
      </c>
      <c r="K1055" s="69" t="s">
        <v>274</v>
      </c>
      <c r="P1055" s="71" t="s">
        <v>275</v>
      </c>
      <c r="Q1055" s="88">
        <v>2.5197850317053099E-3</v>
      </c>
      <c r="R1055" s="89" t="s">
        <v>276</v>
      </c>
      <c r="T1055">
        <v>6.5</v>
      </c>
      <c r="U1055" s="76">
        <v>0.2</v>
      </c>
      <c r="V1055">
        <v>9.8000000000000007</v>
      </c>
      <c r="W1055" s="90">
        <v>0.1</v>
      </c>
      <c r="AG1055" s="91">
        <v>0</v>
      </c>
      <c r="AK1055" s="71">
        <v>0.15</v>
      </c>
      <c r="AL1055" s="88">
        <v>3.32174652855994E-2</v>
      </c>
      <c r="AM1055" s="89">
        <f t="shared" si="16"/>
        <v>0.22144976857066268</v>
      </c>
    </row>
    <row r="1056" spans="1:39" x14ac:dyDescent="0.25">
      <c r="A1056" t="s">
        <v>44</v>
      </c>
      <c r="B1056" t="s">
        <v>52</v>
      </c>
      <c r="C1056" s="121" t="s">
        <v>174</v>
      </c>
      <c r="D1056" t="s">
        <v>201</v>
      </c>
      <c r="E1056" t="s">
        <v>63</v>
      </c>
      <c r="F1056">
        <v>3</v>
      </c>
      <c r="G1056">
        <v>46</v>
      </c>
      <c r="H1056" s="86">
        <v>45971.193340601902</v>
      </c>
      <c r="I1056" s="86">
        <v>45971.2988342014</v>
      </c>
      <c r="J1056" s="87">
        <v>2.5318463888888898</v>
      </c>
      <c r="K1056" s="69" t="s">
        <v>274</v>
      </c>
      <c r="P1056" s="71" t="s">
        <v>275</v>
      </c>
      <c r="Q1056" s="88">
        <v>2.5099852461359898E-3</v>
      </c>
      <c r="R1056" s="89" t="s">
        <v>276</v>
      </c>
      <c r="T1056">
        <v>5</v>
      </c>
      <c r="U1056" s="76">
        <v>0.2</v>
      </c>
      <c r="V1056">
        <v>9.6999999999999993</v>
      </c>
      <c r="W1056" s="90">
        <v>0.1</v>
      </c>
      <c r="AG1056" s="91">
        <v>0</v>
      </c>
      <c r="AK1056" s="71">
        <v>0.15</v>
      </c>
      <c r="AL1056" s="88">
        <v>3.32174652855994E-2</v>
      </c>
      <c r="AM1056" s="89">
        <f t="shared" si="16"/>
        <v>0.22144976857066268</v>
      </c>
    </row>
    <row r="1057" spans="1:39" x14ac:dyDescent="0.25">
      <c r="A1057" t="s">
        <v>44</v>
      </c>
      <c r="B1057" t="s">
        <v>52</v>
      </c>
      <c r="C1057" s="121" t="s">
        <v>174</v>
      </c>
      <c r="D1057" t="s">
        <v>201</v>
      </c>
      <c r="E1057" t="s">
        <v>63</v>
      </c>
      <c r="F1057">
        <v>3</v>
      </c>
      <c r="G1057">
        <v>47</v>
      </c>
      <c r="H1057" s="86">
        <v>45971.2988342014</v>
      </c>
      <c r="I1057" s="86">
        <v>45971.404334571802</v>
      </c>
      <c r="J1057" s="87">
        <v>2.5320088888888899</v>
      </c>
      <c r="K1057" s="69" t="s">
        <v>274</v>
      </c>
      <c r="P1057" s="71" t="s">
        <v>275</v>
      </c>
      <c r="Q1057" s="88">
        <v>2.93709058426787E-3</v>
      </c>
      <c r="R1057" s="89" t="s">
        <v>276</v>
      </c>
      <c r="T1057">
        <v>6</v>
      </c>
      <c r="U1057" s="76">
        <v>0.2</v>
      </c>
      <c r="V1057">
        <v>9.6</v>
      </c>
      <c r="W1057" s="90">
        <v>0.1</v>
      </c>
      <c r="AG1057" s="91">
        <v>0</v>
      </c>
      <c r="AK1057" s="71">
        <v>0.15</v>
      </c>
      <c r="AL1057" s="88">
        <v>3.32174652855994E-2</v>
      </c>
      <c r="AM1057" s="89">
        <f t="shared" si="16"/>
        <v>0.22144976857066268</v>
      </c>
    </row>
    <row r="1058" spans="1:39" x14ac:dyDescent="0.25">
      <c r="A1058" t="s">
        <v>44</v>
      </c>
      <c r="B1058" t="s">
        <v>52</v>
      </c>
      <c r="C1058" s="121" t="s">
        <v>174</v>
      </c>
      <c r="D1058" t="s">
        <v>201</v>
      </c>
      <c r="E1058" t="s">
        <v>63</v>
      </c>
      <c r="F1058">
        <v>3</v>
      </c>
      <c r="G1058">
        <v>48</v>
      </c>
      <c r="H1058" s="86">
        <v>45971.404334571802</v>
      </c>
      <c r="I1058" s="86">
        <v>45971.509840243103</v>
      </c>
      <c r="J1058" s="87">
        <v>2.53213611111111</v>
      </c>
      <c r="K1058" s="69" t="s">
        <v>274</v>
      </c>
      <c r="P1058" s="71" t="s">
        <v>275</v>
      </c>
      <c r="Q1058" s="88">
        <v>4.5634284606572099E-3</v>
      </c>
      <c r="R1058" s="89" t="s">
        <v>276</v>
      </c>
      <c r="T1058">
        <v>7.1</v>
      </c>
      <c r="U1058" s="76">
        <v>0.2</v>
      </c>
      <c r="V1058">
        <v>9.5</v>
      </c>
      <c r="W1058" s="90">
        <v>0.1</v>
      </c>
      <c r="AG1058" s="91">
        <v>0</v>
      </c>
      <c r="AK1058" s="71">
        <v>0.15</v>
      </c>
      <c r="AL1058" s="88">
        <v>3.32174652855994E-2</v>
      </c>
      <c r="AM1058" s="89">
        <f t="shared" si="16"/>
        <v>0.22144976857066268</v>
      </c>
    </row>
    <row r="1059" spans="1:39" x14ac:dyDescent="0.25">
      <c r="A1059" t="s">
        <v>44</v>
      </c>
      <c r="B1059" t="s">
        <v>52</v>
      </c>
      <c r="C1059" s="121" t="s">
        <v>174</v>
      </c>
      <c r="D1059" t="s">
        <v>201</v>
      </c>
      <c r="E1059" t="s">
        <v>63</v>
      </c>
      <c r="F1059">
        <v>3</v>
      </c>
      <c r="G1059">
        <v>49</v>
      </c>
      <c r="H1059" s="86">
        <v>45971.509840243103</v>
      </c>
      <c r="I1059" s="86">
        <v>45971.6153509375</v>
      </c>
      <c r="J1059" s="87">
        <v>2.5322566666666702</v>
      </c>
      <c r="K1059" s="69" t="s">
        <v>274</v>
      </c>
      <c r="P1059" s="71" t="s">
        <v>275</v>
      </c>
      <c r="Q1059" s="88">
        <v>3.5626551328365098E-2</v>
      </c>
      <c r="R1059" s="89" t="s">
        <v>276</v>
      </c>
      <c r="T1059">
        <v>10</v>
      </c>
      <c r="U1059" s="76">
        <v>0.2</v>
      </c>
      <c r="V1059">
        <v>9.5</v>
      </c>
      <c r="W1059" s="90">
        <v>0.1</v>
      </c>
      <c r="AG1059" s="91">
        <v>0</v>
      </c>
      <c r="AK1059" s="71">
        <v>0.15</v>
      </c>
      <c r="AL1059" s="88">
        <v>3.32174652855994E-2</v>
      </c>
      <c r="AM1059" s="89">
        <f t="shared" si="16"/>
        <v>0.22144976857066268</v>
      </c>
    </row>
    <row r="1060" spans="1:39" x14ac:dyDescent="0.25">
      <c r="A1060" t="s">
        <v>44</v>
      </c>
      <c r="B1060" t="s">
        <v>52</v>
      </c>
      <c r="C1060" s="121" t="s">
        <v>174</v>
      </c>
      <c r="D1060" t="s">
        <v>201</v>
      </c>
      <c r="E1060" t="s">
        <v>63</v>
      </c>
      <c r="F1060">
        <v>3</v>
      </c>
      <c r="G1060">
        <v>50</v>
      </c>
      <c r="H1060" s="86">
        <v>45971.6153509375</v>
      </c>
      <c r="I1060" s="86">
        <v>45971.720850532402</v>
      </c>
      <c r="J1060" s="87">
        <v>2.5319902777777799</v>
      </c>
      <c r="K1060" s="69" t="s">
        <v>274</v>
      </c>
      <c r="P1060" s="71" t="s">
        <v>275</v>
      </c>
      <c r="Q1060" s="88">
        <v>1.0988985690473799E-2</v>
      </c>
      <c r="R1060" s="89" t="s">
        <v>276</v>
      </c>
      <c r="T1060">
        <v>8.6</v>
      </c>
      <c r="U1060" s="76">
        <v>0.2</v>
      </c>
      <c r="V1060">
        <v>9.6999999999999993</v>
      </c>
      <c r="W1060" s="90">
        <v>0.1</v>
      </c>
      <c r="AG1060" s="91">
        <v>0</v>
      </c>
      <c r="AK1060" s="71">
        <v>0.15</v>
      </c>
      <c r="AL1060" s="88">
        <v>3.32174652855994E-2</v>
      </c>
      <c r="AM1060" s="89">
        <f t="shared" si="16"/>
        <v>0.22144976857066268</v>
      </c>
    </row>
    <row r="1061" spans="1:39" x14ac:dyDescent="0.25">
      <c r="A1061" t="s">
        <v>44</v>
      </c>
      <c r="B1061" t="s">
        <v>52</v>
      </c>
      <c r="C1061" s="121" t="s">
        <v>174</v>
      </c>
      <c r="D1061" t="s">
        <v>201</v>
      </c>
      <c r="E1061" t="s">
        <v>63</v>
      </c>
      <c r="F1061">
        <v>3</v>
      </c>
      <c r="G1061">
        <v>51</v>
      </c>
      <c r="H1061" s="86">
        <v>45971.720850532402</v>
      </c>
      <c r="I1061" s="86">
        <v>45971.826375370401</v>
      </c>
      <c r="J1061" s="87">
        <v>2.5325961111111099</v>
      </c>
      <c r="K1061" s="69" t="s">
        <v>274</v>
      </c>
      <c r="P1061" s="71" t="s">
        <v>275</v>
      </c>
      <c r="Q1061" s="88">
        <v>6.5592961863133103E-3</v>
      </c>
      <c r="R1061" s="89" t="s">
        <v>276</v>
      </c>
      <c r="T1061">
        <v>8.1999999999999993</v>
      </c>
      <c r="U1061" s="76">
        <v>0.2</v>
      </c>
      <c r="V1061">
        <v>9.8000000000000007</v>
      </c>
      <c r="W1061" s="90">
        <v>0.1</v>
      </c>
      <c r="AG1061" s="91">
        <v>0</v>
      </c>
      <c r="AK1061" s="71">
        <v>0.15</v>
      </c>
      <c r="AL1061" s="88">
        <v>3.32174652855994E-2</v>
      </c>
      <c r="AM1061" s="89">
        <f t="shared" si="16"/>
        <v>0.22144976857066268</v>
      </c>
    </row>
    <row r="1062" spans="1:39" x14ac:dyDescent="0.25">
      <c r="A1062" t="s">
        <v>44</v>
      </c>
      <c r="B1062" t="s">
        <v>52</v>
      </c>
      <c r="C1062" s="121" t="s">
        <v>174</v>
      </c>
      <c r="D1062" t="s">
        <v>201</v>
      </c>
      <c r="E1062" t="s">
        <v>63</v>
      </c>
      <c r="F1062">
        <v>3</v>
      </c>
      <c r="G1062">
        <v>52</v>
      </c>
      <c r="H1062" s="86">
        <v>45971.826375370401</v>
      </c>
      <c r="I1062" s="86">
        <v>45971.931900428201</v>
      </c>
      <c r="J1062" s="87">
        <v>2.5326013888888901</v>
      </c>
      <c r="K1062" s="69" t="s">
        <v>274</v>
      </c>
      <c r="P1062" s="71" t="s">
        <v>275</v>
      </c>
      <c r="Q1062" s="88">
        <v>5.8315733406281598E-3</v>
      </c>
      <c r="R1062" s="89" t="s">
        <v>276</v>
      </c>
      <c r="T1062">
        <v>7.8</v>
      </c>
      <c r="U1062" s="76">
        <v>0.2</v>
      </c>
      <c r="V1062">
        <v>9.8000000000000007</v>
      </c>
      <c r="W1062" s="90">
        <v>0.1</v>
      </c>
      <c r="AG1062" s="91">
        <v>0</v>
      </c>
      <c r="AK1062" s="71">
        <v>0.15</v>
      </c>
      <c r="AL1062" s="88">
        <v>3.32174652855994E-2</v>
      </c>
      <c r="AM1062" s="89">
        <f t="shared" si="16"/>
        <v>0.22144976857066268</v>
      </c>
    </row>
    <row r="1063" spans="1:39" x14ac:dyDescent="0.25">
      <c r="A1063" t="s">
        <v>44</v>
      </c>
      <c r="B1063" t="s">
        <v>52</v>
      </c>
      <c r="C1063" s="121" t="s">
        <v>174</v>
      </c>
      <c r="D1063" t="s">
        <v>201</v>
      </c>
      <c r="E1063" t="s">
        <v>63</v>
      </c>
      <c r="F1063">
        <v>3</v>
      </c>
      <c r="G1063">
        <v>53</v>
      </c>
      <c r="H1063" s="86">
        <v>45971.931900428201</v>
      </c>
      <c r="I1063" s="86">
        <v>45972.0374229398</v>
      </c>
      <c r="J1063" s="87">
        <v>2.5325402777777799</v>
      </c>
      <c r="K1063" s="69" t="s">
        <v>274</v>
      </c>
      <c r="P1063" s="71" t="s">
        <v>275</v>
      </c>
      <c r="Q1063" s="88">
        <v>6.6801784193271704E-3</v>
      </c>
      <c r="R1063" s="89" t="s">
        <v>276</v>
      </c>
      <c r="T1063">
        <v>7.9</v>
      </c>
      <c r="U1063" s="76">
        <v>0.2</v>
      </c>
      <c r="V1063">
        <v>9.8000000000000007</v>
      </c>
      <c r="W1063" s="90">
        <v>0.1</v>
      </c>
      <c r="AG1063" s="91">
        <v>0</v>
      </c>
      <c r="AK1063" s="71">
        <v>0.15</v>
      </c>
      <c r="AL1063" s="88">
        <v>3.32174652855994E-2</v>
      </c>
      <c r="AM1063" s="89">
        <f t="shared" si="16"/>
        <v>0.22144976857066268</v>
      </c>
    </row>
    <row r="1064" spans="1:39" x14ac:dyDescent="0.25">
      <c r="A1064" t="s">
        <v>44</v>
      </c>
      <c r="B1064" t="s">
        <v>52</v>
      </c>
      <c r="C1064" s="121" t="s">
        <v>174</v>
      </c>
      <c r="D1064" t="s">
        <v>201</v>
      </c>
      <c r="E1064" t="s">
        <v>63</v>
      </c>
      <c r="F1064">
        <v>3</v>
      </c>
      <c r="G1064">
        <v>54</v>
      </c>
      <c r="H1064" s="86">
        <v>45972.0374229398</v>
      </c>
      <c r="I1064" s="86">
        <v>45972.142948333298</v>
      </c>
      <c r="J1064" s="87">
        <v>2.53260944444445</v>
      </c>
      <c r="K1064" s="69" t="s">
        <v>274</v>
      </c>
      <c r="P1064" s="71" t="s">
        <v>275</v>
      </c>
      <c r="Q1064" s="88">
        <v>3.90542865168144E-3</v>
      </c>
      <c r="R1064" s="89" t="s">
        <v>276</v>
      </c>
      <c r="T1064">
        <v>6.3</v>
      </c>
      <c r="U1064" s="76">
        <v>0.2</v>
      </c>
      <c r="V1064">
        <v>9.6</v>
      </c>
      <c r="W1064" s="90">
        <v>0.1</v>
      </c>
      <c r="AG1064" s="91">
        <v>0</v>
      </c>
      <c r="AK1064" s="71">
        <v>0.15</v>
      </c>
      <c r="AL1064" s="88">
        <v>3.32174652855994E-2</v>
      </c>
      <c r="AM1064" s="89">
        <f t="shared" si="16"/>
        <v>0.22144976857066268</v>
      </c>
    </row>
    <row r="1065" spans="1:39" x14ac:dyDescent="0.25">
      <c r="A1065" t="s">
        <v>44</v>
      </c>
      <c r="B1065" t="s">
        <v>52</v>
      </c>
      <c r="C1065" s="121" t="s">
        <v>174</v>
      </c>
      <c r="D1065" t="s">
        <v>201</v>
      </c>
      <c r="E1065" t="s">
        <v>63</v>
      </c>
      <c r="F1065">
        <v>3</v>
      </c>
      <c r="G1065">
        <v>55</v>
      </c>
      <c r="H1065" s="86">
        <v>45972.142948333298</v>
      </c>
      <c r="I1065" s="86">
        <v>45972.2484722222</v>
      </c>
      <c r="J1065" s="87">
        <v>2.53257333333333</v>
      </c>
      <c r="K1065" s="69" t="s">
        <v>274</v>
      </c>
      <c r="P1065" s="71" t="s">
        <v>275</v>
      </c>
      <c r="Q1065" s="88">
        <v>3.9139671634060196E-3</v>
      </c>
      <c r="R1065" s="89" t="s">
        <v>276</v>
      </c>
      <c r="T1065">
        <v>5.9</v>
      </c>
      <c r="U1065" s="76">
        <v>0.2</v>
      </c>
      <c r="V1065">
        <v>9.5</v>
      </c>
      <c r="W1065" s="90">
        <v>0.1</v>
      </c>
      <c r="AG1065" s="91">
        <v>0</v>
      </c>
      <c r="AK1065" s="71">
        <v>0.15</v>
      </c>
      <c r="AL1065" s="88">
        <v>3.32174652855994E-2</v>
      </c>
      <c r="AM1065" s="89">
        <f t="shared" si="16"/>
        <v>0.22144976857066268</v>
      </c>
    </row>
    <row r="1066" spans="1:39" x14ac:dyDescent="0.25">
      <c r="A1066" t="s">
        <v>44</v>
      </c>
      <c r="B1066" t="s">
        <v>52</v>
      </c>
      <c r="C1066" s="121" t="s">
        <v>174</v>
      </c>
      <c r="D1066" t="s">
        <v>201</v>
      </c>
      <c r="E1066" t="s">
        <v>63</v>
      </c>
      <c r="F1066">
        <v>3</v>
      </c>
      <c r="G1066">
        <v>56</v>
      </c>
      <c r="H1066" s="86">
        <v>45972.2484722222</v>
      </c>
      <c r="I1066" s="86">
        <v>45972.3540018403</v>
      </c>
      <c r="J1066" s="87">
        <v>2.5327108333333301</v>
      </c>
      <c r="K1066" s="69" t="s">
        <v>274</v>
      </c>
      <c r="P1066" s="71" t="s">
        <v>275</v>
      </c>
      <c r="Q1066" s="88">
        <v>4.1512049360566796E-3</v>
      </c>
      <c r="R1066" s="89" t="s">
        <v>276</v>
      </c>
      <c r="T1066">
        <v>6.6</v>
      </c>
      <c r="U1066" s="76">
        <v>0.2</v>
      </c>
      <c r="V1066">
        <v>9.4</v>
      </c>
      <c r="W1066" s="90">
        <v>0.1</v>
      </c>
      <c r="AG1066" s="91">
        <v>0</v>
      </c>
      <c r="AK1066" s="71">
        <v>0.15</v>
      </c>
      <c r="AL1066" s="88">
        <v>3.32174652855994E-2</v>
      </c>
      <c r="AM1066" s="89">
        <f t="shared" si="16"/>
        <v>0.22144976857066268</v>
      </c>
    </row>
    <row r="1067" spans="1:39" x14ac:dyDescent="0.25">
      <c r="A1067" t="s">
        <v>44</v>
      </c>
      <c r="B1067" t="s">
        <v>52</v>
      </c>
      <c r="C1067" s="121" t="s">
        <v>174</v>
      </c>
      <c r="D1067" t="s">
        <v>201</v>
      </c>
      <c r="E1067" t="s">
        <v>63</v>
      </c>
      <c r="F1067">
        <v>3</v>
      </c>
      <c r="G1067">
        <v>57</v>
      </c>
      <c r="H1067" s="86">
        <v>45972.3540018403</v>
      </c>
      <c r="I1067" s="86">
        <v>45972.459520162003</v>
      </c>
      <c r="J1067" s="87">
        <v>2.5324397222222199</v>
      </c>
      <c r="K1067" s="69" t="s">
        <v>274</v>
      </c>
      <c r="P1067" s="71" t="s">
        <v>275</v>
      </c>
      <c r="Q1067" s="88">
        <v>5.6583538104278599E-3</v>
      </c>
      <c r="R1067" s="89" t="s">
        <v>276</v>
      </c>
      <c r="T1067">
        <v>7.2</v>
      </c>
      <c r="U1067" s="76">
        <v>0.2</v>
      </c>
      <c r="V1067">
        <v>9.3000000000000007</v>
      </c>
      <c r="W1067" s="90">
        <v>0.1</v>
      </c>
      <c r="AG1067" s="91">
        <v>0</v>
      </c>
      <c r="AK1067" s="71">
        <v>0.15</v>
      </c>
      <c r="AL1067" s="88">
        <v>3.32174652855994E-2</v>
      </c>
      <c r="AM1067" s="89">
        <f t="shared" si="16"/>
        <v>0.22144976857066268</v>
      </c>
    </row>
    <row r="1068" spans="1:39" x14ac:dyDescent="0.25">
      <c r="A1068" t="s">
        <v>44</v>
      </c>
      <c r="B1068" t="s">
        <v>52</v>
      </c>
      <c r="C1068" s="121" t="s">
        <v>174</v>
      </c>
      <c r="D1068" t="s">
        <v>201</v>
      </c>
      <c r="E1068" t="s">
        <v>63</v>
      </c>
      <c r="F1068">
        <v>3</v>
      </c>
      <c r="G1068">
        <v>58</v>
      </c>
      <c r="H1068" s="86">
        <v>45972.459520162003</v>
      </c>
      <c r="I1068" s="86">
        <v>45972.565048541699</v>
      </c>
      <c r="J1068" s="87">
        <v>2.5326811111111098</v>
      </c>
      <c r="K1068" s="69" t="s">
        <v>274</v>
      </c>
      <c r="P1068" s="71" t="s">
        <v>275</v>
      </c>
      <c r="Q1068" s="88">
        <v>6.57275047355892E-3</v>
      </c>
      <c r="R1068" s="89" t="s">
        <v>276</v>
      </c>
      <c r="T1068">
        <v>8</v>
      </c>
      <c r="U1068" s="76">
        <v>0.2</v>
      </c>
      <c r="V1068">
        <v>9.3000000000000007</v>
      </c>
      <c r="W1068" s="90">
        <v>0.1</v>
      </c>
      <c r="AG1068" s="91">
        <v>0</v>
      </c>
      <c r="AK1068" s="71">
        <v>0.15</v>
      </c>
      <c r="AL1068" s="88">
        <v>3.32174652855994E-2</v>
      </c>
      <c r="AM1068" s="89">
        <f t="shared" si="16"/>
        <v>0.22144976857066268</v>
      </c>
    </row>
    <row r="1069" spans="1:39" x14ac:dyDescent="0.25">
      <c r="A1069" t="s">
        <v>44</v>
      </c>
      <c r="B1069" t="s">
        <v>52</v>
      </c>
      <c r="C1069" s="121" t="s">
        <v>174</v>
      </c>
      <c r="D1069" t="s">
        <v>201</v>
      </c>
      <c r="E1069" t="s">
        <v>63</v>
      </c>
      <c r="F1069">
        <v>3</v>
      </c>
      <c r="G1069">
        <v>59</v>
      </c>
      <c r="H1069" s="86">
        <v>45972.565048541699</v>
      </c>
      <c r="I1069" s="86">
        <v>45972.670569791699</v>
      </c>
      <c r="J1069" s="87">
        <v>2.5325099999999998</v>
      </c>
      <c r="K1069" s="69" t="s">
        <v>274</v>
      </c>
      <c r="P1069" s="71" t="s">
        <v>275</v>
      </c>
      <c r="Q1069" s="88">
        <v>1.12826072299661E-2</v>
      </c>
      <c r="R1069" s="89" t="s">
        <v>276</v>
      </c>
      <c r="T1069">
        <v>9.1999999999999993</v>
      </c>
      <c r="U1069" s="76">
        <v>0.2</v>
      </c>
      <c r="V1069">
        <v>9.4</v>
      </c>
      <c r="W1069" s="90">
        <v>0.1</v>
      </c>
      <c r="AG1069" s="91">
        <v>0</v>
      </c>
      <c r="AK1069" s="71">
        <v>0.15</v>
      </c>
      <c r="AL1069" s="88">
        <v>3.32174652855994E-2</v>
      </c>
      <c r="AM1069" s="89">
        <f t="shared" si="16"/>
        <v>0.22144976857066268</v>
      </c>
    </row>
    <row r="1070" spans="1:39" x14ac:dyDescent="0.25">
      <c r="A1070" t="s">
        <v>44</v>
      </c>
      <c r="B1070" t="s">
        <v>52</v>
      </c>
      <c r="C1070" s="121" t="s">
        <v>174</v>
      </c>
      <c r="D1070" t="s">
        <v>201</v>
      </c>
      <c r="E1070" t="s">
        <v>63</v>
      </c>
      <c r="F1070">
        <v>3</v>
      </c>
      <c r="G1070">
        <v>60</v>
      </c>
      <c r="H1070" s="86">
        <v>45972.670569791699</v>
      </c>
      <c r="I1070" s="86">
        <v>45972.776099456001</v>
      </c>
      <c r="J1070" s="87">
        <v>2.5327119444444501</v>
      </c>
      <c r="K1070" s="69" t="s">
        <v>274</v>
      </c>
      <c r="P1070" s="71" t="s">
        <v>275</v>
      </c>
      <c r="Q1070" s="88">
        <v>8.1084874679791304E-3</v>
      </c>
      <c r="R1070" s="89" t="s">
        <v>276</v>
      </c>
      <c r="T1070">
        <v>8.6</v>
      </c>
      <c r="U1070" s="76">
        <v>0.2</v>
      </c>
      <c r="V1070">
        <v>9.5</v>
      </c>
      <c r="W1070" s="90">
        <v>0.1</v>
      </c>
      <c r="AG1070" s="91">
        <v>0</v>
      </c>
      <c r="AK1070" s="71">
        <v>0.15</v>
      </c>
      <c r="AL1070" s="88">
        <v>3.32174652855994E-2</v>
      </c>
      <c r="AM1070" s="89">
        <f t="shared" si="16"/>
        <v>0.22144976857066268</v>
      </c>
    </row>
    <row r="1071" spans="1:39" x14ac:dyDescent="0.25">
      <c r="A1071" t="s">
        <v>44</v>
      </c>
      <c r="B1071" t="s">
        <v>52</v>
      </c>
      <c r="C1071" s="121" t="s">
        <v>174</v>
      </c>
      <c r="D1071" t="s">
        <v>201</v>
      </c>
      <c r="E1071" t="s">
        <v>63</v>
      </c>
      <c r="F1071">
        <v>3</v>
      </c>
      <c r="G1071">
        <v>61</v>
      </c>
      <c r="H1071" s="86">
        <v>45972.776099456001</v>
      </c>
      <c r="I1071" s="86">
        <v>45972.881625844901</v>
      </c>
      <c r="J1071" s="87">
        <v>2.53263333333333</v>
      </c>
      <c r="K1071" s="69" t="s">
        <v>274</v>
      </c>
      <c r="P1071" s="71" t="s">
        <v>275</v>
      </c>
      <c r="Q1071" s="88">
        <v>4.9782415550906102E-3</v>
      </c>
      <c r="R1071" s="89" t="s">
        <v>276</v>
      </c>
      <c r="T1071">
        <v>7</v>
      </c>
      <c r="U1071" s="76">
        <v>0.2</v>
      </c>
      <c r="V1071">
        <v>9.5</v>
      </c>
      <c r="W1071" s="90">
        <v>0.1</v>
      </c>
      <c r="AG1071" s="91">
        <v>0</v>
      </c>
      <c r="AK1071" s="71">
        <v>0.15</v>
      </c>
      <c r="AL1071" s="88">
        <v>3.32174652855994E-2</v>
      </c>
      <c r="AM1071" s="89">
        <f t="shared" si="16"/>
        <v>0.22144976857066268</v>
      </c>
    </row>
    <row r="1072" spans="1:39" x14ac:dyDescent="0.25">
      <c r="A1072" t="s">
        <v>44</v>
      </c>
      <c r="B1072" t="s">
        <v>52</v>
      </c>
      <c r="C1072" s="121" t="s">
        <v>174</v>
      </c>
      <c r="D1072" t="s">
        <v>201</v>
      </c>
      <c r="E1072" t="s">
        <v>63</v>
      </c>
      <c r="F1072">
        <v>3</v>
      </c>
      <c r="G1072">
        <v>62</v>
      </c>
      <c r="H1072" s="86">
        <v>45972.881625844901</v>
      </c>
      <c r="I1072" s="86">
        <v>45972.987135115698</v>
      </c>
      <c r="J1072" s="87">
        <v>2.5322225</v>
      </c>
      <c r="K1072" s="69" t="s">
        <v>274</v>
      </c>
      <c r="P1072" s="71" t="s">
        <v>275</v>
      </c>
      <c r="Q1072" s="88">
        <v>4.0567921580390003E-3</v>
      </c>
      <c r="R1072" s="89" t="s">
        <v>276</v>
      </c>
      <c r="T1072">
        <v>6.5</v>
      </c>
      <c r="U1072" s="76">
        <v>0.2</v>
      </c>
      <c r="V1072">
        <v>9.4</v>
      </c>
      <c r="W1072" s="90">
        <v>0.1</v>
      </c>
      <c r="AG1072" s="91">
        <v>0</v>
      </c>
      <c r="AK1072" s="71">
        <v>0.15</v>
      </c>
      <c r="AL1072" s="88">
        <v>3.32174652855994E-2</v>
      </c>
      <c r="AM1072" s="89">
        <f t="shared" si="16"/>
        <v>0.22144976857066268</v>
      </c>
    </row>
    <row r="1073" spans="1:39" x14ac:dyDescent="0.25">
      <c r="A1073" t="s">
        <v>44</v>
      </c>
      <c r="B1073" t="s">
        <v>52</v>
      </c>
      <c r="C1073" s="121" t="s">
        <v>174</v>
      </c>
      <c r="D1073" t="s">
        <v>201</v>
      </c>
      <c r="E1073" t="s">
        <v>63</v>
      </c>
      <c r="F1073">
        <v>3</v>
      </c>
      <c r="G1073">
        <v>63</v>
      </c>
      <c r="H1073" s="86">
        <v>45972.987135115698</v>
      </c>
      <c r="I1073" s="86">
        <v>45973.092672696803</v>
      </c>
      <c r="J1073" s="87">
        <v>2.5329019444444398</v>
      </c>
      <c r="K1073" s="69" t="s">
        <v>274</v>
      </c>
      <c r="P1073" s="71" t="s">
        <v>275</v>
      </c>
      <c r="Q1073" s="88">
        <v>4.3237785390274099E-3</v>
      </c>
      <c r="R1073" s="89" t="s">
        <v>276</v>
      </c>
      <c r="T1073">
        <v>9.3000000000000007</v>
      </c>
      <c r="U1073" s="76">
        <v>0.2</v>
      </c>
      <c r="V1073">
        <v>9.3000000000000007</v>
      </c>
      <c r="W1073" s="90">
        <v>0.1</v>
      </c>
      <c r="AG1073" s="91">
        <v>0</v>
      </c>
      <c r="AK1073" s="71">
        <v>0.15</v>
      </c>
      <c r="AL1073" s="88">
        <v>3.32174652855994E-2</v>
      </c>
      <c r="AM1073" s="89">
        <f t="shared" si="16"/>
        <v>0.22144976857066268</v>
      </c>
    </row>
    <row r="1074" spans="1:39" x14ac:dyDescent="0.25">
      <c r="A1074" t="s">
        <v>44</v>
      </c>
      <c r="B1074" t="s">
        <v>52</v>
      </c>
      <c r="C1074" s="121" t="s">
        <v>174</v>
      </c>
      <c r="D1074" t="s">
        <v>201</v>
      </c>
      <c r="E1074" t="s">
        <v>63</v>
      </c>
      <c r="F1074">
        <v>3</v>
      </c>
      <c r="G1074">
        <v>64</v>
      </c>
      <c r="H1074" s="86">
        <v>45973.092672696803</v>
      </c>
      <c r="I1074" s="86">
        <v>45973.198191481497</v>
      </c>
      <c r="J1074" s="87">
        <v>2.5324508333333302</v>
      </c>
      <c r="K1074" s="69" t="s">
        <v>274</v>
      </c>
      <c r="P1074" s="71" t="s">
        <v>275</v>
      </c>
      <c r="Q1074" s="88">
        <v>1.0467049682732901E-2</v>
      </c>
      <c r="R1074" s="89" t="s">
        <v>276</v>
      </c>
      <c r="T1074">
        <v>9.3000000000000007</v>
      </c>
      <c r="U1074" s="76">
        <v>0.2</v>
      </c>
      <c r="V1074">
        <v>9.3000000000000007</v>
      </c>
      <c r="W1074" s="90">
        <v>0.1</v>
      </c>
      <c r="AG1074" s="91">
        <v>0</v>
      </c>
      <c r="AK1074" s="71">
        <v>0.15</v>
      </c>
      <c r="AL1074" s="88">
        <v>3.32174652855994E-2</v>
      </c>
      <c r="AM1074" s="89">
        <f t="shared" si="16"/>
        <v>0.22144976857066268</v>
      </c>
    </row>
    <row r="1075" spans="1:39" x14ac:dyDescent="0.25">
      <c r="A1075" t="s">
        <v>44</v>
      </c>
      <c r="B1075" t="s">
        <v>52</v>
      </c>
      <c r="C1075" s="121" t="s">
        <v>174</v>
      </c>
      <c r="D1075" t="s">
        <v>201</v>
      </c>
      <c r="E1075" t="s">
        <v>63</v>
      </c>
      <c r="F1075">
        <v>3</v>
      </c>
      <c r="G1075">
        <v>65</v>
      </c>
      <c r="H1075" s="86">
        <v>45973.198191481497</v>
      </c>
      <c r="I1075" s="86">
        <v>45973.303730960703</v>
      </c>
      <c r="J1075" s="87">
        <v>2.5329475000000001</v>
      </c>
      <c r="K1075" s="69" t="s">
        <v>274</v>
      </c>
      <c r="P1075" s="71" t="s">
        <v>275</v>
      </c>
      <c r="Q1075" s="88">
        <v>1.23769297130108E-2</v>
      </c>
      <c r="R1075" s="89" t="s">
        <v>276</v>
      </c>
      <c r="T1075">
        <v>9</v>
      </c>
      <c r="U1075" s="76">
        <v>0.2</v>
      </c>
      <c r="V1075">
        <v>9.4</v>
      </c>
      <c r="W1075" s="90">
        <v>0.1</v>
      </c>
      <c r="AG1075" s="91">
        <v>0</v>
      </c>
      <c r="AK1075" s="71">
        <v>0.15</v>
      </c>
      <c r="AL1075" s="88">
        <v>3.32174652855994E-2</v>
      </c>
      <c r="AM1075" s="89">
        <f t="shared" si="16"/>
        <v>0.22144976857066268</v>
      </c>
    </row>
    <row r="1076" spans="1:39" x14ac:dyDescent="0.25">
      <c r="A1076" t="s">
        <v>44</v>
      </c>
      <c r="B1076" t="s">
        <v>52</v>
      </c>
      <c r="C1076" s="121" t="s">
        <v>174</v>
      </c>
      <c r="D1076" t="s">
        <v>201</v>
      </c>
      <c r="E1076" t="s">
        <v>63</v>
      </c>
      <c r="F1076">
        <v>3</v>
      </c>
      <c r="G1076">
        <v>66</v>
      </c>
      <c r="H1076" s="86">
        <v>45973.303730960703</v>
      </c>
      <c r="I1076" s="86">
        <v>45973.409256238403</v>
      </c>
      <c r="J1076" s="87">
        <v>2.5326066666666698</v>
      </c>
      <c r="K1076" s="69" t="s">
        <v>274</v>
      </c>
      <c r="P1076" s="71" t="s">
        <v>275</v>
      </c>
      <c r="Q1076" s="88">
        <v>1.47337388281254E-2</v>
      </c>
      <c r="R1076" s="89" t="s">
        <v>276</v>
      </c>
      <c r="T1076">
        <v>9</v>
      </c>
      <c r="U1076" s="76">
        <v>0.2</v>
      </c>
      <c r="V1076">
        <v>9.4</v>
      </c>
      <c r="W1076" s="90">
        <v>0.1</v>
      </c>
      <c r="AG1076" s="91">
        <v>0</v>
      </c>
      <c r="AK1076" s="71">
        <v>0.15</v>
      </c>
      <c r="AL1076" s="88">
        <v>3.32174652855994E-2</v>
      </c>
      <c r="AM1076" s="89">
        <f t="shared" si="16"/>
        <v>0.22144976857066268</v>
      </c>
    </row>
    <row r="1077" spans="1:39" x14ac:dyDescent="0.25">
      <c r="A1077" t="s">
        <v>44</v>
      </c>
      <c r="B1077" t="s">
        <v>52</v>
      </c>
      <c r="C1077" s="121" t="s">
        <v>174</v>
      </c>
      <c r="D1077" t="s">
        <v>202</v>
      </c>
      <c r="E1077" t="s">
        <v>65</v>
      </c>
      <c r="F1077">
        <v>1</v>
      </c>
      <c r="G1077">
        <v>1</v>
      </c>
      <c r="H1077" s="86">
        <v>45966.508490868102</v>
      </c>
      <c r="I1077" s="86">
        <v>45966.5513404167</v>
      </c>
      <c r="J1077" s="87">
        <v>1.02838916666667</v>
      </c>
      <c r="K1077" s="69" t="s">
        <v>274</v>
      </c>
      <c r="P1077" s="71" t="s">
        <v>275</v>
      </c>
      <c r="Q1077" s="88">
        <v>1.07174415481869E-2</v>
      </c>
      <c r="R1077" s="89" t="s">
        <v>276</v>
      </c>
      <c r="T1077">
        <v>12.8</v>
      </c>
      <c r="U1077" s="76">
        <v>0.2</v>
      </c>
      <c r="V1077">
        <v>10.8</v>
      </c>
      <c r="W1077" s="90">
        <v>0.1</v>
      </c>
      <c r="AG1077" s="91">
        <v>0</v>
      </c>
      <c r="AK1077" s="71">
        <v>0.15</v>
      </c>
      <c r="AL1077" s="88">
        <v>3.3231009614515201E-2</v>
      </c>
      <c r="AM1077" s="89">
        <f t="shared" si="16"/>
        <v>0.22154006409676802</v>
      </c>
    </row>
    <row r="1078" spans="1:39" x14ac:dyDescent="0.25">
      <c r="A1078" t="s">
        <v>44</v>
      </c>
      <c r="B1078" t="s">
        <v>52</v>
      </c>
      <c r="C1078" s="121" t="s">
        <v>174</v>
      </c>
      <c r="D1078" t="s">
        <v>202</v>
      </c>
      <c r="E1078" t="s">
        <v>65</v>
      </c>
      <c r="F1078">
        <v>1</v>
      </c>
      <c r="G1078">
        <v>2</v>
      </c>
      <c r="H1078" s="86">
        <v>45966.5513404167</v>
      </c>
      <c r="I1078" s="86">
        <v>45966.661915034703</v>
      </c>
      <c r="J1078" s="87">
        <v>2.6537908333333302</v>
      </c>
      <c r="K1078" s="69" t="s">
        <v>274</v>
      </c>
      <c r="P1078" s="71" t="s">
        <v>275</v>
      </c>
      <c r="Q1078" s="88">
        <v>1.0519222181686201E-2</v>
      </c>
      <c r="R1078" s="89" t="s">
        <v>276</v>
      </c>
      <c r="T1078">
        <v>13</v>
      </c>
      <c r="U1078" s="76">
        <v>0.2</v>
      </c>
      <c r="V1078">
        <v>10.9</v>
      </c>
      <c r="W1078" s="90">
        <v>0.1</v>
      </c>
      <c r="AG1078" s="91">
        <v>0</v>
      </c>
      <c r="AK1078" s="71">
        <v>0.15</v>
      </c>
      <c r="AL1078" s="88">
        <v>3.3231009614515201E-2</v>
      </c>
      <c r="AM1078" s="89">
        <f t="shared" si="16"/>
        <v>0.22154006409676802</v>
      </c>
    </row>
    <row r="1079" spans="1:39" x14ac:dyDescent="0.25">
      <c r="A1079" t="s">
        <v>44</v>
      </c>
      <c r="B1079" t="s">
        <v>52</v>
      </c>
      <c r="C1079" s="121" t="s">
        <v>174</v>
      </c>
      <c r="D1079" t="s">
        <v>202</v>
      </c>
      <c r="E1079" t="s">
        <v>65</v>
      </c>
      <c r="F1079">
        <v>1</v>
      </c>
      <c r="G1079">
        <v>3</v>
      </c>
      <c r="H1079" s="86">
        <v>45966.661915034703</v>
      </c>
      <c r="I1079" s="86">
        <v>45966.767431041699</v>
      </c>
      <c r="J1079" s="87">
        <v>2.5323841666666702</v>
      </c>
      <c r="K1079" s="69" t="s">
        <v>274</v>
      </c>
      <c r="P1079" s="71" t="s">
        <v>275</v>
      </c>
      <c r="Q1079" s="88">
        <v>1.31975379301276E-2</v>
      </c>
      <c r="R1079" s="89" t="s">
        <v>276</v>
      </c>
      <c r="T1079">
        <v>12.1</v>
      </c>
      <c r="U1079" s="76">
        <v>0.2</v>
      </c>
      <c r="V1079">
        <v>11</v>
      </c>
      <c r="W1079" s="90">
        <v>0.1</v>
      </c>
      <c r="AG1079" s="91">
        <v>0</v>
      </c>
      <c r="AK1079" s="71">
        <v>0.15</v>
      </c>
      <c r="AL1079" s="88">
        <v>3.3231009614515201E-2</v>
      </c>
      <c r="AM1079" s="89">
        <f t="shared" si="16"/>
        <v>0.22154006409676802</v>
      </c>
    </row>
    <row r="1080" spans="1:39" x14ac:dyDescent="0.25">
      <c r="A1080" t="s">
        <v>44</v>
      </c>
      <c r="B1080" t="s">
        <v>52</v>
      </c>
      <c r="C1080" s="121" t="s">
        <v>174</v>
      </c>
      <c r="D1080" t="s">
        <v>202</v>
      </c>
      <c r="E1080" t="s">
        <v>65</v>
      </c>
      <c r="F1080">
        <v>1</v>
      </c>
      <c r="G1080">
        <v>4</v>
      </c>
      <c r="H1080" s="86">
        <v>45966.767431041699</v>
      </c>
      <c r="I1080" s="86">
        <v>45966.872955486098</v>
      </c>
      <c r="J1080" s="87">
        <v>2.5325866666666701</v>
      </c>
      <c r="K1080" s="69" t="s">
        <v>274</v>
      </c>
      <c r="P1080" s="71" t="s">
        <v>275</v>
      </c>
      <c r="Q1080" s="88">
        <v>8.6077922082309997E-3</v>
      </c>
      <c r="R1080" s="89" t="s">
        <v>276</v>
      </c>
      <c r="T1080">
        <v>10.6</v>
      </c>
      <c r="U1080" s="76">
        <v>0.2</v>
      </c>
      <c r="V1080">
        <v>11.1</v>
      </c>
      <c r="W1080" s="90">
        <v>0.1</v>
      </c>
      <c r="AG1080" s="91">
        <v>0</v>
      </c>
      <c r="AK1080" s="71">
        <v>0.15</v>
      </c>
      <c r="AL1080" s="88">
        <v>3.3231009614515201E-2</v>
      </c>
      <c r="AM1080" s="89">
        <f t="shared" si="16"/>
        <v>0.22154006409676802</v>
      </c>
    </row>
    <row r="1081" spans="1:39" x14ac:dyDescent="0.25">
      <c r="A1081" t="s">
        <v>44</v>
      </c>
      <c r="B1081" t="s">
        <v>52</v>
      </c>
      <c r="C1081" s="121" t="s">
        <v>174</v>
      </c>
      <c r="D1081" t="s">
        <v>202</v>
      </c>
      <c r="E1081" t="s">
        <v>65</v>
      </c>
      <c r="F1081">
        <v>1</v>
      </c>
      <c r="G1081">
        <v>5</v>
      </c>
      <c r="H1081" s="86">
        <v>45966.872955486098</v>
      </c>
      <c r="I1081" s="86">
        <v>45966.978482916697</v>
      </c>
      <c r="J1081" s="87">
        <v>2.5326583333333299</v>
      </c>
      <c r="K1081" s="69" t="s">
        <v>274</v>
      </c>
      <c r="P1081" s="71" t="s">
        <v>275</v>
      </c>
      <c r="Q1081" s="88">
        <v>1.5404911913038799E-2</v>
      </c>
      <c r="R1081" s="89" t="s">
        <v>276</v>
      </c>
      <c r="T1081">
        <v>10.7</v>
      </c>
      <c r="U1081" s="76">
        <v>0.2</v>
      </c>
      <c r="V1081">
        <v>11</v>
      </c>
      <c r="W1081" s="90">
        <v>0.1</v>
      </c>
      <c r="AG1081" s="91">
        <v>0</v>
      </c>
      <c r="AK1081" s="71">
        <v>0.15</v>
      </c>
      <c r="AL1081" s="88">
        <v>3.3231009614515201E-2</v>
      </c>
      <c r="AM1081" s="89">
        <f t="shared" si="16"/>
        <v>0.22154006409676802</v>
      </c>
    </row>
    <row r="1082" spans="1:39" x14ac:dyDescent="0.25">
      <c r="A1082" t="s">
        <v>44</v>
      </c>
      <c r="B1082" t="s">
        <v>52</v>
      </c>
      <c r="C1082" s="121" t="s">
        <v>174</v>
      </c>
      <c r="D1082" t="s">
        <v>202</v>
      </c>
      <c r="E1082" t="s">
        <v>65</v>
      </c>
      <c r="F1082">
        <v>1</v>
      </c>
      <c r="G1082">
        <v>6</v>
      </c>
      <c r="H1082" s="86">
        <v>45966.978482916697</v>
      </c>
      <c r="I1082" s="86">
        <v>45967.0840136806</v>
      </c>
      <c r="J1082" s="87">
        <v>2.53273833333333</v>
      </c>
      <c r="K1082" s="69" t="s">
        <v>274</v>
      </c>
      <c r="P1082" s="71" t="s">
        <v>275</v>
      </c>
      <c r="Q1082" s="88">
        <v>1.59593967093303E-2</v>
      </c>
      <c r="R1082" s="89" t="s">
        <v>276</v>
      </c>
      <c r="T1082">
        <v>10.7</v>
      </c>
      <c r="U1082" s="76">
        <v>0.2</v>
      </c>
      <c r="V1082">
        <v>11</v>
      </c>
      <c r="W1082" s="90">
        <v>0.1</v>
      </c>
      <c r="AG1082" s="91">
        <v>0</v>
      </c>
      <c r="AK1082" s="71">
        <v>0.15</v>
      </c>
      <c r="AL1082" s="88">
        <v>3.3231009614515201E-2</v>
      </c>
      <c r="AM1082" s="89">
        <f t="shared" si="16"/>
        <v>0.22154006409676802</v>
      </c>
    </row>
    <row r="1083" spans="1:39" x14ac:dyDescent="0.25">
      <c r="A1083" t="s">
        <v>44</v>
      </c>
      <c r="B1083" t="s">
        <v>52</v>
      </c>
      <c r="C1083" s="121" t="s">
        <v>174</v>
      </c>
      <c r="D1083" t="s">
        <v>202</v>
      </c>
      <c r="E1083" t="s">
        <v>65</v>
      </c>
      <c r="F1083">
        <v>1</v>
      </c>
      <c r="G1083">
        <v>7</v>
      </c>
      <c r="H1083" s="86">
        <v>45967.0840136806</v>
      </c>
      <c r="I1083" s="86">
        <v>45967.1895495602</v>
      </c>
      <c r="J1083" s="87">
        <v>2.5328611111111101</v>
      </c>
      <c r="K1083" s="69" t="s">
        <v>274</v>
      </c>
      <c r="P1083" s="71" t="s">
        <v>275</v>
      </c>
      <c r="Q1083" s="88">
        <v>1.4539005956075201E-2</v>
      </c>
      <c r="R1083" s="89" t="s">
        <v>276</v>
      </c>
      <c r="T1083">
        <v>10.4</v>
      </c>
      <c r="U1083" s="76">
        <v>0.2</v>
      </c>
      <c r="V1083">
        <v>11</v>
      </c>
      <c r="W1083" s="90">
        <v>0.1</v>
      </c>
      <c r="AG1083" s="91">
        <v>0</v>
      </c>
      <c r="AK1083" s="71">
        <v>0.15</v>
      </c>
      <c r="AL1083" s="88">
        <v>3.3231009614515201E-2</v>
      </c>
      <c r="AM1083" s="89">
        <f t="shared" si="16"/>
        <v>0.22154006409676802</v>
      </c>
    </row>
    <row r="1084" spans="1:39" x14ac:dyDescent="0.25">
      <c r="A1084" t="s">
        <v>44</v>
      </c>
      <c r="B1084" t="s">
        <v>52</v>
      </c>
      <c r="C1084" s="121" t="s">
        <v>174</v>
      </c>
      <c r="D1084" t="s">
        <v>202</v>
      </c>
      <c r="E1084" t="s">
        <v>65</v>
      </c>
      <c r="F1084">
        <v>1</v>
      </c>
      <c r="G1084">
        <v>8</v>
      </c>
      <c r="H1084" s="86">
        <v>45967.1895495602</v>
      </c>
      <c r="I1084" s="86">
        <v>45967.295068553198</v>
      </c>
      <c r="J1084" s="87">
        <v>2.53245583333333</v>
      </c>
      <c r="K1084" s="69" t="s">
        <v>274</v>
      </c>
      <c r="P1084" s="71" t="s">
        <v>275</v>
      </c>
      <c r="Q1084" s="88">
        <v>1.8298715911170198E-2</v>
      </c>
      <c r="R1084" s="89" t="s">
        <v>276</v>
      </c>
      <c r="T1084">
        <v>10.3</v>
      </c>
      <c r="U1084" s="76">
        <v>0.2</v>
      </c>
      <c r="V1084">
        <v>10.9</v>
      </c>
      <c r="W1084" s="90">
        <v>0.1</v>
      </c>
      <c r="AG1084" s="91">
        <v>0</v>
      </c>
      <c r="AK1084" s="71">
        <v>0.15</v>
      </c>
      <c r="AL1084" s="88">
        <v>3.3231009614515201E-2</v>
      </c>
      <c r="AM1084" s="89">
        <f t="shared" si="16"/>
        <v>0.22154006409676802</v>
      </c>
    </row>
    <row r="1085" spans="1:39" x14ac:dyDescent="0.25">
      <c r="A1085" t="s">
        <v>44</v>
      </c>
      <c r="B1085" t="s">
        <v>52</v>
      </c>
      <c r="C1085" s="121" t="s">
        <v>174</v>
      </c>
      <c r="D1085" t="s">
        <v>202</v>
      </c>
      <c r="E1085" t="s">
        <v>65</v>
      </c>
      <c r="F1085">
        <v>1</v>
      </c>
      <c r="G1085">
        <v>9</v>
      </c>
      <c r="H1085" s="86">
        <v>45967.295068553198</v>
      </c>
      <c r="I1085" s="86">
        <v>45967.400590648198</v>
      </c>
      <c r="J1085" s="87">
        <v>2.5325302777777798</v>
      </c>
      <c r="K1085" s="69" t="s">
        <v>274</v>
      </c>
      <c r="P1085" s="71" t="s">
        <v>275</v>
      </c>
      <c r="Q1085" s="88">
        <v>1.5441153307595301E-2</v>
      </c>
      <c r="R1085" s="89" t="s">
        <v>276</v>
      </c>
      <c r="T1085">
        <v>9.5</v>
      </c>
      <c r="U1085" s="76">
        <v>0.2</v>
      </c>
      <c r="V1085">
        <v>10.9</v>
      </c>
      <c r="W1085" s="90">
        <v>0.1</v>
      </c>
      <c r="AG1085" s="91">
        <v>0</v>
      </c>
      <c r="AK1085" s="71">
        <v>0.15</v>
      </c>
      <c r="AL1085" s="88">
        <v>3.3231009614515201E-2</v>
      </c>
      <c r="AM1085" s="89">
        <f t="shared" si="16"/>
        <v>0.22154006409676802</v>
      </c>
    </row>
    <row r="1086" spans="1:39" x14ac:dyDescent="0.25">
      <c r="A1086" t="s">
        <v>44</v>
      </c>
      <c r="B1086" t="s">
        <v>52</v>
      </c>
      <c r="C1086" s="121" t="s">
        <v>174</v>
      </c>
      <c r="D1086" t="s">
        <v>202</v>
      </c>
      <c r="E1086" t="s">
        <v>65</v>
      </c>
      <c r="F1086">
        <v>1</v>
      </c>
      <c r="G1086">
        <v>10</v>
      </c>
      <c r="H1086" s="86">
        <v>45967.400590648198</v>
      </c>
      <c r="I1086" s="86">
        <v>45967.506124432897</v>
      </c>
      <c r="J1086" s="87">
        <v>2.5328108333333299</v>
      </c>
      <c r="K1086" s="69" t="s">
        <v>274</v>
      </c>
      <c r="P1086" s="71" t="s">
        <v>275</v>
      </c>
      <c r="Q1086" s="88">
        <v>5.9381253505415101E-2</v>
      </c>
      <c r="R1086" s="89" t="s">
        <v>276</v>
      </c>
      <c r="T1086">
        <v>13.3</v>
      </c>
      <c r="U1086" s="76">
        <v>0.2</v>
      </c>
      <c r="V1086">
        <v>10.8</v>
      </c>
      <c r="W1086" s="90">
        <v>0.1</v>
      </c>
      <c r="AG1086" s="91">
        <v>0</v>
      </c>
      <c r="AK1086" s="71">
        <v>0.15</v>
      </c>
      <c r="AL1086" s="88">
        <v>3.3231009614515201E-2</v>
      </c>
      <c r="AM1086" s="89">
        <f t="shared" si="16"/>
        <v>0.22154006409676802</v>
      </c>
    </row>
    <row r="1087" spans="1:39" x14ac:dyDescent="0.25">
      <c r="A1087" t="s">
        <v>44</v>
      </c>
      <c r="B1087" t="s">
        <v>52</v>
      </c>
      <c r="C1087" s="121" t="s">
        <v>174</v>
      </c>
      <c r="D1087" t="s">
        <v>202</v>
      </c>
      <c r="E1087" t="s">
        <v>65</v>
      </c>
      <c r="F1087">
        <v>1</v>
      </c>
      <c r="G1087">
        <v>11</v>
      </c>
      <c r="H1087" s="86">
        <v>45967.506124432897</v>
      </c>
      <c r="I1087" s="86">
        <v>45967.611648310201</v>
      </c>
      <c r="J1087" s="87">
        <v>2.5325730555555599</v>
      </c>
      <c r="K1087" s="69" t="s">
        <v>274</v>
      </c>
      <c r="P1087" s="71" t="s">
        <v>275</v>
      </c>
      <c r="Q1087" s="88">
        <v>5.2672280250281499E-2</v>
      </c>
      <c r="R1087" s="89" t="s">
        <v>276</v>
      </c>
      <c r="T1087">
        <v>14.4</v>
      </c>
      <c r="U1087" s="76">
        <v>0.2</v>
      </c>
      <c r="V1087">
        <v>10.9</v>
      </c>
      <c r="W1087" s="90">
        <v>0.1</v>
      </c>
      <c r="AG1087" s="91">
        <v>0</v>
      </c>
      <c r="AK1087" s="71">
        <v>0.15</v>
      </c>
      <c r="AL1087" s="88">
        <v>3.3231009614515201E-2</v>
      </c>
      <c r="AM1087" s="89">
        <f t="shared" si="16"/>
        <v>0.22154006409676802</v>
      </c>
    </row>
    <row r="1088" spans="1:39" x14ac:dyDescent="0.25">
      <c r="A1088" t="s">
        <v>44</v>
      </c>
      <c r="B1088" t="s">
        <v>52</v>
      </c>
      <c r="C1088" s="121" t="s">
        <v>174</v>
      </c>
      <c r="D1088" t="s">
        <v>202</v>
      </c>
      <c r="E1088" t="s">
        <v>65</v>
      </c>
      <c r="F1088">
        <v>1</v>
      </c>
      <c r="G1088">
        <v>12</v>
      </c>
      <c r="H1088" s="86">
        <v>45967.611648310201</v>
      </c>
      <c r="I1088" s="86">
        <v>45967.717177939798</v>
      </c>
      <c r="J1088" s="87">
        <v>2.53271111111111</v>
      </c>
      <c r="K1088" s="69" t="s">
        <v>274</v>
      </c>
      <c r="P1088" s="71" t="s">
        <v>275</v>
      </c>
      <c r="Q1088" s="88">
        <v>4.28077971307739E-2</v>
      </c>
      <c r="R1088" s="89" t="s">
        <v>276</v>
      </c>
      <c r="T1088">
        <v>12.7</v>
      </c>
      <c r="U1088" s="76">
        <v>0.2</v>
      </c>
      <c r="V1088">
        <v>11.2</v>
      </c>
      <c r="W1088" s="90">
        <v>0.1</v>
      </c>
      <c r="AG1088" s="91">
        <v>0</v>
      </c>
      <c r="AK1088" s="71">
        <v>0.15</v>
      </c>
      <c r="AL1088" s="88">
        <v>3.3231009614515201E-2</v>
      </c>
      <c r="AM1088" s="89">
        <f t="shared" si="16"/>
        <v>0.22154006409676802</v>
      </c>
    </row>
    <row r="1089" spans="1:39" x14ac:dyDescent="0.25">
      <c r="A1089" t="s">
        <v>44</v>
      </c>
      <c r="B1089" t="s">
        <v>52</v>
      </c>
      <c r="C1089" s="121" t="s">
        <v>174</v>
      </c>
      <c r="D1089" t="s">
        <v>202</v>
      </c>
      <c r="E1089" t="s">
        <v>65</v>
      </c>
      <c r="F1089">
        <v>1</v>
      </c>
      <c r="G1089">
        <v>13</v>
      </c>
      <c r="H1089" s="86">
        <v>45967.717177939798</v>
      </c>
      <c r="I1089" s="86">
        <v>45967.822694016199</v>
      </c>
      <c r="J1089" s="87">
        <v>2.53238583333333</v>
      </c>
      <c r="K1089" s="69" t="s">
        <v>274</v>
      </c>
      <c r="P1089" s="71" t="s">
        <v>275</v>
      </c>
      <c r="Q1089" s="88">
        <v>1.3471235401204601E-2</v>
      </c>
      <c r="R1089" s="89" t="s">
        <v>276</v>
      </c>
      <c r="T1089">
        <v>9.8000000000000007</v>
      </c>
      <c r="U1089" s="76">
        <v>0.2</v>
      </c>
      <c r="V1089">
        <v>11.2</v>
      </c>
      <c r="W1089" s="90">
        <v>0.1</v>
      </c>
      <c r="AG1089" s="91">
        <v>0</v>
      </c>
      <c r="AK1089" s="71">
        <v>0.15</v>
      </c>
      <c r="AL1089" s="88">
        <v>3.3231009614515201E-2</v>
      </c>
      <c r="AM1089" s="89">
        <f t="shared" si="16"/>
        <v>0.22154006409676802</v>
      </c>
    </row>
    <row r="1090" spans="1:39" x14ac:dyDescent="0.25">
      <c r="A1090" t="s">
        <v>44</v>
      </c>
      <c r="B1090" t="s">
        <v>52</v>
      </c>
      <c r="C1090" s="121" t="s">
        <v>174</v>
      </c>
      <c r="D1090" t="s">
        <v>202</v>
      </c>
      <c r="E1090" t="s">
        <v>65</v>
      </c>
      <c r="F1090">
        <v>1</v>
      </c>
      <c r="G1090">
        <v>14</v>
      </c>
      <c r="H1090" s="86">
        <v>45967.822694016199</v>
      </c>
      <c r="I1090" s="86">
        <v>45967.928219606503</v>
      </c>
      <c r="J1090" s="87">
        <v>2.5326141666666699</v>
      </c>
      <c r="K1090" s="69" t="s">
        <v>274</v>
      </c>
      <c r="P1090" s="71" t="s">
        <v>275</v>
      </c>
      <c r="Q1090" s="88">
        <v>4.8237846389673602E-3</v>
      </c>
      <c r="R1090" s="89" t="s">
        <v>276</v>
      </c>
      <c r="T1090">
        <v>6.7</v>
      </c>
      <c r="U1090" s="76">
        <v>0.2</v>
      </c>
      <c r="V1090">
        <v>11</v>
      </c>
      <c r="W1090" s="90">
        <v>0.1</v>
      </c>
      <c r="AG1090" s="91">
        <v>0</v>
      </c>
      <c r="AK1090" s="71">
        <v>0.15</v>
      </c>
      <c r="AL1090" s="88">
        <v>3.3231009614515201E-2</v>
      </c>
      <c r="AM1090" s="89">
        <f t="shared" si="16"/>
        <v>0.22154006409676802</v>
      </c>
    </row>
    <row r="1091" spans="1:39" x14ac:dyDescent="0.25">
      <c r="A1091" t="s">
        <v>44</v>
      </c>
      <c r="B1091" t="s">
        <v>52</v>
      </c>
      <c r="C1091" s="121" t="s">
        <v>174</v>
      </c>
      <c r="D1091" t="s">
        <v>202</v>
      </c>
      <c r="E1091" t="s">
        <v>65</v>
      </c>
      <c r="F1091">
        <v>1</v>
      </c>
      <c r="G1091">
        <v>15</v>
      </c>
      <c r="H1091" s="86">
        <v>45967.928219606503</v>
      </c>
      <c r="I1091" s="86">
        <v>45968.033737048601</v>
      </c>
      <c r="J1091" s="87">
        <v>2.53241861111111</v>
      </c>
      <c r="K1091" s="69" t="s">
        <v>274</v>
      </c>
      <c r="P1091" s="71" t="s">
        <v>275</v>
      </c>
      <c r="Q1091" s="88">
        <v>5.3157604003678796E-3</v>
      </c>
      <c r="R1091" s="89" t="s">
        <v>276</v>
      </c>
      <c r="T1091">
        <v>7.4</v>
      </c>
      <c r="U1091" s="76">
        <v>0.2</v>
      </c>
      <c r="V1091">
        <v>10.8</v>
      </c>
      <c r="W1091" s="90">
        <v>0.1</v>
      </c>
      <c r="AG1091" s="91">
        <v>0</v>
      </c>
      <c r="AK1091" s="71">
        <v>0.15</v>
      </c>
      <c r="AL1091" s="88">
        <v>3.3231009614515201E-2</v>
      </c>
      <c r="AM1091" s="89">
        <f t="shared" si="16"/>
        <v>0.22154006409676802</v>
      </c>
    </row>
    <row r="1092" spans="1:39" x14ac:dyDescent="0.25">
      <c r="A1092" t="s">
        <v>44</v>
      </c>
      <c r="B1092" t="s">
        <v>52</v>
      </c>
      <c r="C1092" s="121" t="s">
        <v>174</v>
      </c>
      <c r="D1092" t="s">
        <v>202</v>
      </c>
      <c r="E1092" t="s">
        <v>65</v>
      </c>
      <c r="F1092">
        <v>1</v>
      </c>
      <c r="G1092">
        <v>16</v>
      </c>
      <c r="H1092" s="86">
        <v>45968.033737048601</v>
      </c>
      <c r="I1092" s="86">
        <v>45968.139264062498</v>
      </c>
      <c r="J1092" s="87">
        <v>2.5326483333333298</v>
      </c>
      <c r="K1092" s="69" t="s">
        <v>274</v>
      </c>
      <c r="P1092" s="71" t="s">
        <v>275</v>
      </c>
      <c r="Q1092" s="88">
        <v>5.3392640890211696E-3</v>
      </c>
      <c r="R1092" s="89" t="s">
        <v>276</v>
      </c>
      <c r="T1092">
        <v>5.9</v>
      </c>
      <c r="U1092" s="76">
        <v>0.2</v>
      </c>
      <c r="V1092">
        <v>10.5</v>
      </c>
      <c r="W1092" s="90">
        <v>0.1</v>
      </c>
      <c r="AG1092" s="91">
        <v>0</v>
      </c>
      <c r="AK1092" s="71">
        <v>0.15</v>
      </c>
      <c r="AL1092" s="88">
        <v>3.3231009614515201E-2</v>
      </c>
      <c r="AM1092" s="89">
        <f t="shared" si="16"/>
        <v>0.22154006409676802</v>
      </c>
    </row>
    <row r="1093" spans="1:39" x14ac:dyDescent="0.25">
      <c r="A1093" t="s">
        <v>44</v>
      </c>
      <c r="B1093" t="s">
        <v>52</v>
      </c>
      <c r="C1093" s="121" t="s">
        <v>174</v>
      </c>
      <c r="D1093" t="s">
        <v>202</v>
      </c>
      <c r="E1093" t="s">
        <v>65</v>
      </c>
      <c r="F1093">
        <v>1</v>
      </c>
      <c r="G1093">
        <v>17</v>
      </c>
      <c r="H1093" s="86">
        <v>45968.139264062498</v>
      </c>
      <c r="I1093" s="86">
        <v>45968.244794560203</v>
      </c>
      <c r="J1093" s="87">
        <v>2.5327319444444401</v>
      </c>
      <c r="K1093" s="69" t="s">
        <v>274</v>
      </c>
      <c r="P1093" s="71" t="s">
        <v>275</v>
      </c>
      <c r="Q1093" s="88">
        <v>1.6770966239584701E-3</v>
      </c>
      <c r="R1093" s="89" t="s">
        <v>276</v>
      </c>
      <c r="T1093">
        <v>4.4000000000000004</v>
      </c>
      <c r="U1093" s="76">
        <v>0.2</v>
      </c>
      <c r="V1093">
        <v>10.4</v>
      </c>
      <c r="W1093" s="90">
        <v>0.1</v>
      </c>
      <c r="AG1093" s="91">
        <v>0</v>
      </c>
      <c r="AK1093" s="71">
        <v>0.15</v>
      </c>
      <c r="AL1093" s="88">
        <v>3.3231009614515201E-2</v>
      </c>
      <c r="AM1093" s="89">
        <f t="shared" ref="AM1093:AM1156" si="17">AL1093/AK1093</f>
        <v>0.22154006409676802</v>
      </c>
    </row>
    <row r="1094" spans="1:39" x14ac:dyDescent="0.25">
      <c r="A1094" t="s">
        <v>44</v>
      </c>
      <c r="B1094" t="s">
        <v>52</v>
      </c>
      <c r="C1094" s="121" t="s">
        <v>174</v>
      </c>
      <c r="D1094" t="s">
        <v>202</v>
      </c>
      <c r="E1094" t="s">
        <v>65</v>
      </c>
      <c r="F1094">
        <v>1</v>
      </c>
      <c r="G1094">
        <v>18</v>
      </c>
      <c r="H1094" s="86">
        <v>45968.244794560203</v>
      </c>
      <c r="I1094" s="86">
        <v>45968.350319166697</v>
      </c>
      <c r="J1094" s="87">
        <v>2.5325905555555601</v>
      </c>
      <c r="K1094" s="69" t="s">
        <v>274</v>
      </c>
      <c r="P1094" s="71" t="s">
        <v>275</v>
      </c>
      <c r="Q1094" s="88">
        <v>1.9860267975082501E-3</v>
      </c>
      <c r="R1094" s="89" t="s">
        <v>276</v>
      </c>
      <c r="T1094">
        <v>5.7</v>
      </c>
      <c r="U1094" s="76">
        <v>0.2</v>
      </c>
      <c r="V1094">
        <v>10</v>
      </c>
      <c r="W1094" s="90">
        <v>0.1</v>
      </c>
      <c r="AG1094" s="91">
        <v>0</v>
      </c>
      <c r="AK1094" s="71">
        <v>0.15</v>
      </c>
      <c r="AL1094" s="88">
        <v>3.3231009614515201E-2</v>
      </c>
      <c r="AM1094" s="89">
        <f t="shared" si="17"/>
        <v>0.22154006409676802</v>
      </c>
    </row>
    <row r="1095" spans="1:39" x14ac:dyDescent="0.25">
      <c r="A1095" t="s">
        <v>44</v>
      </c>
      <c r="B1095" t="s">
        <v>52</v>
      </c>
      <c r="C1095" s="121" t="s">
        <v>174</v>
      </c>
      <c r="D1095" t="s">
        <v>202</v>
      </c>
      <c r="E1095" t="s">
        <v>65</v>
      </c>
      <c r="F1095">
        <v>1</v>
      </c>
      <c r="G1095">
        <v>19</v>
      </c>
      <c r="H1095" s="86">
        <v>45968.350319166697</v>
      </c>
      <c r="I1095" s="86">
        <v>45968.455850648199</v>
      </c>
      <c r="J1095" s="87">
        <v>2.5327555555555601</v>
      </c>
      <c r="K1095" s="69" t="s">
        <v>274</v>
      </c>
      <c r="P1095" s="71" t="s">
        <v>275</v>
      </c>
      <c r="Q1095" s="88">
        <v>3.0960129980460199E-3</v>
      </c>
      <c r="R1095" s="89" t="s">
        <v>276</v>
      </c>
      <c r="T1095">
        <v>7.3</v>
      </c>
      <c r="U1095" s="76">
        <v>0.2</v>
      </c>
      <c r="V1095">
        <v>9.8000000000000007</v>
      </c>
      <c r="W1095" s="90">
        <v>0.1</v>
      </c>
      <c r="AG1095" s="91">
        <v>0</v>
      </c>
      <c r="AK1095" s="71">
        <v>0.15</v>
      </c>
      <c r="AL1095" s="88">
        <v>3.3231009614515201E-2</v>
      </c>
      <c r="AM1095" s="89">
        <f t="shared" si="17"/>
        <v>0.22154006409676802</v>
      </c>
    </row>
    <row r="1096" spans="1:39" x14ac:dyDescent="0.25">
      <c r="A1096" t="s">
        <v>44</v>
      </c>
      <c r="B1096" t="s">
        <v>52</v>
      </c>
      <c r="C1096" s="121" t="s">
        <v>174</v>
      </c>
      <c r="D1096" t="s">
        <v>202</v>
      </c>
      <c r="E1096" t="s">
        <v>65</v>
      </c>
      <c r="F1096">
        <v>1</v>
      </c>
      <c r="G1096">
        <v>20</v>
      </c>
      <c r="H1096" s="86">
        <v>45968.455850648199</v>
      </c>
      <c r="I1096" s="86">
        <v>45968.561354085701</v>
      </c>
      <c r="J1096" s="87">
        <v>2.5320825</v>
      </c>
      <c r="K1096" s="69" t="s">
        <v>274</v>
      </c>
      <c r="P1096" s="71" t="s">
        <v>275</v>
      </c>
      <c r="Q1096" s="88">
        <v>1.1233063382190701E-2</v>
      </c>
      <c r="R1096" s="89" t="s">
        <v>276</v>
      </c>
      <c r="T1096">
        <v>8.9</v>
      </c>
      <c r="U1096" s="76">
        <v>0.2</v>
      </c>
      <c r="V1096">
        <v>9.8000000000000007</v>
      </c>
      <c r="W1096" s="90">
        <v>0.1</v>
      </c>
      <c r="AG1096" s="91">
        <v>0</v>
      </c>
      <c r="AK1096" s="71">
        <v>0.15</v>
      </c>
      <c r="AL1096" s="88">
        <v>3.3231009614515201E-2</v>
      </c>
      <c r="AM1096" s="89">
        <f t="shared" si="17"/>
        <v>0.22154006409676802</v>
      </c>
    </row>
    <row r="1097" spans="1:39" x14ac:dyDescent="0.25">
      <c r="A1097" t="s">
        <v>44</v>
      </c>
      <c r="B1097" t="s">
        <v>52</v>
      </c>
      <c r="C1097" s="121" t="s">
        <v>174</v>
      </c>
      <c r="D1097" t="s">
        <v>202</v>
      </c>
      <c r="E1097" t="s">
        <v>65</v>
      </c>
      <c r="F1097">
        <v>1</v>
      </c>
      <c r="G1097">
        <v>21</v>
      </c>
      <c r="H1097" s="86">
        <v>45968.561354085701</v>
      </c>
      <c r="I1097" s="86">
        <v>45968.666852986098</v>
      </c>
      <c r="J1097" s="87">
        <v>2.53197361111111</v>
      </c>
      <c r="K1097" s="69" t="s">
        <v>274</v>
      </c>
      <c r="P1097" s="71" t="s">
        <v>275</v>
      </c>
      <c r="Q1097" s="88">
        <v>2.0873122689211699E-2</v>
      </c>
      <c r="R1097" s="89" t="s">
        <v>276</v>
      </c>
      <c r="T1097">
        <v>9.6</v>
      </c>
      <c r="U1097" s="76">
        <v>0.2</v>
      </c>
      <c r="V1097">
        <v>9.9</v>
      </c>
      <c r="W1097" s="90">
        <v>0.1</v>
      </c>
      <c r="AG1097" s="91">
        <v>0</v>
      </c>
      <c r="AK1097" s="71">
        <v>0.15</v>
      </c>
      <c r="AL1097" s="88">
        <v>3.3231009614515201E-2</v>
      </c>
      <c r="AM1097" s="89">
        <f t="shared" si="17"/>
        <v>0.22154006409676802</v>
      </c>
    </row>
    <row r="1098" spans="1:39" x14ac:dyDescent="0.25">
      <c r="A1098" t="s">
        <v>44</v>
      </c>
      <c r="B1098" t="s">
        <v>52</v>
      </c>
      <c r="C1098" s="121" t="s">
        <v>174</v>
      </c>
      <c r="D1098" t="s">
        <v>202</v>
      </c>
      <c r="E1098" t="s">
        <v>65</v>
      </c>
      <c r="F1098">
        <v>1</v>
      </c>
      <c r="G1098">
        <v>22</v>
      </c>
      <c r="H1098" s="86">
        <v>45968.666852986098</v>
      </c>
      <c r="I1098" s="86">
        <v>45968.7723464468</v>
      </c>
      <c r="J1098" s="87">
        <v>2.53184305555556</v>
      </c>
      <c r="K1098" s="69" t="s">
        <v>274</v>
      </c>
      <c r="P1098" s="71" t="s">
        <v>275</v>
      </c>
      <c r="Q1098" s="88">
        <v>1.1464343210188899E-2</v>
      </c>
      <c r="R1098" s="89" t="s">
        <v>276</v>
      </c>
      <c r="T1098">
        <v>8.1</v>
      </c>
      <c r="U1098" s="76">
        <v>0.2</v>
      </c>
      <c r="V1098">
        <v>10.1</v>
      </c>
      <c r="W1098" s="90">
        <v>0.1</v>
      </c>
      <c r="AG1098" s="91">
        <v>0</v>
      </c>
      <c r="AK1098" s="71">
        <v>0.15</v>
      </c>
      <c r="AL1098" s="88">
        <v>3.3231009614515201E-2</v>
      </c>
      <c r="AM1098" s="89">
        <f t="shared" si="17"/>
        <v>0.22154006409676802</v>
      </c>
    </row>
    <row r="1099" spans="1:39" x14ac:dyDescent="0.25">
      <c r="A1099" t="s">
        <v>44</v>
      </c>
      <c r="B1099" t="s">
        <v>52</v>
      </c>
      <c r="C1099" s="121" t="s">
        <v>174</v>
      </c>
      <c r="D1099" t="s">
        <v>202</v>
      </c>
      <c r="E1099" t="s">
        <v>65</v>
      </c>
      <c r="F1099">
        <v>1</v>
      </c>
      <c r="G1099">
        <v>23</v>
      </c>
      <c r="H1099" s="86">
        <v>45968.7723464468</v>
      </c>
      <c r="I1099" s="86">
        <v>45968.877852164398</v>
      </c>
      <c r="J1099" s="87">
        <v>2.5321372222222198</v>
      </c>
      <c r="K1099" s="69" t="s">
        <v>274</v>
      </c>
      <c r="P1099" s="71" t="s">
        <v>275</v>
      </c>
      <c r="Q1099" s="88">
        <v>8.8708318693040602E-3</v>
      </c>
      <c r="R1099" s="89" t="s">
        <v>276</v>
      </c>
      <c r="T1099">
        <v>7.9</v>
      </c>
      <c r="U1099" s="76">
        <v>0.2</v>
      </c>
      <c r="V1099">
        <v>10.199999999999999</v>
      </c>
      <c r="W1099" s="90">
        <v>0.1</v>
      </c>
      <c r="AG1099" s="91">
        <v>0</v>
      </c>
      <c r="AK1099" s="71">
        <v>0.15</v>
      </c>
      <c r="AL1099" s="88">
        <v>3.3231009614515201E-2</v>
      </c>
      <c r="AM1099" s="89">
        <f t="shared" si="17"/>
        <v>0.22154006409676802</v>
      </c>
    </row>
    <row r="1100" spans="1:39" x14ac:dyDescent="0.25">
      <c r="A1100" t="s">
        <v>44</v>
      </c>
      <c r="B1100" t="s">
        <v>52</v>
      </c>
      <c r="C1100" s="121" t="s">
        <v>174</v>
      </c>
      <c r="D1100" t="s">
        <v>202</v>
      </c>
      <c r="E1100" t="s">
        <v>65</v>
      </c>
      <c r="F1100">
        <v>1</v>
      </c>
      <c r="G1100">
        <v>24</v>
      </c>
      <c r="H1100" s="86">
        <v>45968.877852164398</v>
      </c>
      <c r="I1100" s="86">
        <v>45968.9833491319</v>
      </c>
      <c r="J1100" s="87">
        <v>2.5319272222222202</v>
      </c>
      <c r="K1100" s="69" t="s">
        <v>274</v>
      </c>
      <c r="P1100" s="71" t="s">
        <v>275</v>
      </c>
      <c r="Q1100" s="88">
        <v>5.8755588366658498E-3</v>
      </c>
      <c r="R1100" s="89" t="s">
        <v>276</v>
      </c>
      <c r="T1100">
        <v>7.9</v>
      </c>
      <c r="U1100" s="76">
        <v>0.2</v>
      </c>
      <c r="V1100">
        <v>10.199999999999999</v>
      </c>
      <c r="W1100" s="90">
        <v>0.1</v>
      </c>
      <c r="AG1100" s="91">
        <v>0</v>
      </c>
      <c r="AK1100" s="71">
        <v>0.15</v>
      </c>
      <c r="AL1100" s="88">
        <v>3.3231009614515201E-2</v>
      </c>
      <c r="AM1100" s="89">
        <f t="shared" si="17"/>
        <v>0.22154006409676802</v>
      </c>
    </row>
    <row r="1101" spans="1:39" x14ac:dyDescent="0.25">
      <c r="A1101" t="s">
        <v>44</v>
      </c>
      <c r="B1101" t="s">
        <v>52</v>
      </c>
      <c r="C1101" s="121" t="s">
        <v>174</v>
      </c>
      <c r="D1101" t="s">
        <v>202</v>
      </c>
      <c r="E1101" t="s">
        <v>65</v>
      </c>
      <c r="F1101">
        <v>1</v>
      </c>
      <c r="G1101">
        <v>25</v>
      </c>
      <c r="H1101" s="86">
        <v>45968.9833491319</v>
      </c>
      <c r="I1101" s="86">
        <v>45969.088861898199</v>
      </c>
      <c r="J1101" s="87">
        <v>2.5323063888888901</v>
      </c>
      <c r="K1101" s="69" t="s">
        <v>274</v>
      </c>
      <c r="P1101" s="71" t="s">
        <v>275</v>
      </c>
      <c r="Q1101" s="88">
        <v>5.8217034107664401E-3</v>
      </c>
      <c r="R1101" s="89" t="s">
        <v>276</v>
      </c>
      <c r="T1101">
        <v>8.1</v>
      </c>
      <c r="U1101" s="76">
        <v>0.2</v>
      </c>
      <c r="V1101">
        <v>10.1</v>
      </c>
      <c r="W1101" s="90">
        <v>0.1</v>
      </c>
      <c r="AG1101" s="91">
        <v>0</v>
      </c>
      <c r="AK1101" s="71">
        <v>0.15</v>
      </c>
      <c r="AL1101" s="88">
        <v>3.3231009614515201E-2</v>
      </c>
      <c r="AM1101" s="89">
        <f t="shared" si="17"/>
        <v>0.22154006409676802</v>
      </c>
    </row>
    <row r="1102" spans="1:39" x14ac:dyDescent="0.25">
      <c r="A1102" t="s">
        <v>44</v>
      </c>
      <c r="B1102" t="s">
        <v>52</v>
      </c>
      <c r="C1102" s="121" t="s">
        <v>174</v>
      </c>
      <c r="D1102" t="s">
        <v>202</v>
      </c>
      <c r="E1102" t="s">
        <v>65</v>
      </c>
      <c r="F1102">
        <v>1</v>
      </c>
      <c r="G1102">
        <v>26</v>
      </c>
      <c r="H1102" s="86">
        <v>45969.088861898199</v>
      </c>
      <c r="I1102" s="86">
        <v>45969.299845648202</v>
      </c>
      <c r="J1102" s="87">
        <v>5.0636099999999997</v>
      </c>
      <c r="K1102" s="69" t="s">
        <v>274</v>
      </c>
      <c r="P1102" s="71" t="s">
        <v>275</v>
      </c>
      <c r="Q1102" s="88">
        <v>5.9870123079258097E-3</v>
      </c>
      <c r="R1102" s="89" t="s">
        <v>276</v>
      </c>
      <c r="T1102">
        <v>8.1999999999999993</v>
      </c>
      <c r="U1102" s="76">
        <v>0.2</v>
      </c>
      <c r="V1102">
        <v>10.1</v>
      </c>
      <c r="W1102" s="90">
        <v>0.1</v>
      </c>
      <c r="AG1102" s="91">
        <v>0</v>
      </c>
      <c r="AK1102" s="71">
        <v>0.15</v>
      </c>
      <c r="AL1102" s="88">
        <v>3.3231009614515201E-2</v>
      </c>
      <c r="AM1102" s="89">
        <f t="shared" si="17"/>
        <v>0.22154006409676802</v>
      </c>
    </row>
    <row r="1103" spans="1:39" x14ac:dyDescent="0.25">
      <c r="A1103" t="s">
        <v>44</v>
      </c>
      <c r="B1103" t="s">
        <v>52</v>
      </c>
      <c r="C1103" s="121" t="s">
        <v>174</v>
      </c>
      <c r="D1103" t="s">
        <v>202</v>
      </c>
      <c r="E1103" t="s">
        <v>65</v>
      </c>
      <c r="F1103">
        <v>1</v>
      </c>
      <c r="G1103">
        <v>27</v>
      </c>
      <c r="H1103" s="86">
        <v>45969.299845648202</v>
      </c>
      <c r="I1103" s="86">
        <v>45969.4053550463</v>
      </c>
      <c r="J1103" s="87">
        <v>2.5322255555555602</v>
      </c>
      <c r="K1103" s="69" t="s">
        <v>274</v>
      </c>
      <c r="P1103" s="71" t="s">
        <v>275</v>
      </c>
      <c r="Q1103" s="88">
        <v>6.1706888948793196E-3</v>
      </c>
      <c r="R1103" s="89" t="s">
        <v>276</v>
      </c>
      <c r="T1103">
        <v>8</v>
      </c>
      <c r="U1103" s="76">
        <v>0.2</v>
      </c>
      <c r="V1103">
        <v>10.1</v>
      </c>
      <c r="W1103" s="90">
        <v>0.1</v>
      </c>
      <c r="AG1103" s="91">
        <v>0</v>
      </c>
      <c r="AK1103" s="71">
        <v>0.15</v>
      </c>
      <c r="AL1103" s="88">
        <v>3.3231009614515201E-2</v>
      </c>
      <c r="AM1103" s="89">
        <f t="shared" si="17"/>
        <v>0.22154006409676802</v>
      </c>
    </row>
    <row r="1104" spans="1:39" x14ac:dyDescent="0.25">
      <c r="A1104" t="s">
        <v>44</v>
      </c>
      <c r="B1104" t="s">
        <v>52</v>
      </c>
      <c r="C1104" s="121" t="s">
        <v>174</v>
      </c>
      <c r="D1104" t="s">
        <v>202</v>
      </c>
      <c r="E1104" t="s">
        <v>65</v>
      </c>
      <c r="F1104">
        <v>1</v>
      </c>
      <c r="G1104">
        <v>28</v>
      </c>
      <c r="H1104" s="86">
        <v>45969.4053550463</v>
      </c>
      <c r="I1104" s="86">
        <v>45969.510855856497</v>
      </c>
      <c r="J1104" s="87">
        <v>2.5320194444444399</v>
      </c>
      <c r="K1104" s="69" t="s">
        <v>274</v>
      </c>
      <c r="P1104" s="71" t="s">
        <v>275</v>
      </c>
      <c r="Q1104" s="88">
        <v>7.3511289270510498E-3</v>
      </c>
      <c r="R1104" s="89" t="s">
        <v>276</v>
      </c>
      <c r="T1104">
        <v>8.4</v>
      </c>
      <c r="U1104" s="76">
        <v>0.2</v>
      </c>
      <c r="V1104">
        <v>10.1</v>
      </c>
      <c r="W1104" s="90">
        <v>0.1</v>
      </c>
      <c r="AG1104" s="91">
        <v>0</v>
      </c>
      <c r="AK1104" s="71">
        <v>0.15</v>
      </c>
      <c r="AL1104" s="88">
        <v>3.3231009614515201E-2</v>
      </c>
      <c r="AM1104" s="89">
        <f t="shared" si="17"/>
        <v>0.22154006409676802</v>
      </c>
    </row>
    <row r="1105" spans="1:39" x14ac:dyDescent="0.25">
      <c r="A1105" t="s">
        <v>44</v>
      </c>
      <c r="B1105" t="s">
        <v>52</v>
      </c>
      <c r="C1105" s="121" t="s">
        <v>174</v>
      </c>
      <c r="D1105" t="s">
        <v>202</v>
      </c>
      <c r="E1105" t="s">
        <v>65</v>
      </c>
      <c r="F1105">
        <v>1</v>
      </c>
      <c r="G1105">
        <v>29</v>
      </c>
      <c r="H1105" s="86">
        <v>45969.510855856497</v>
      </c>
      <c r="I1105" s="86">
        <v>45969.616360173597</v>
      </c>
      <c r="J1105" s="87">
        <v>2.5321036111111099</v>
      </c>
      <c r="K1105" s="69" t="s">
        <v>274</v>
      </c>
      <c r="P1105" s="71" t="s">
        <v>275</v>
      </c>
      <c r="Q1105" s="88">
        <v>8.2429012772092594E-3</v>
      </c>
      <c r="R1105" s="89" t="s">
        <v>276</v>
      </c>
      <c r="T1105">
        <v>8.6</v>
      </c>
      <c r="U1105" s="76">
        <v>0.2</v>
      </c>
      <c r="V1105">
        <v>10.1</v>
      </c>
      <c r="W1105" s="90">
        <v>0.1</v>
      </c>
      <c r="AG1105" s="91">
        <v>0</v>
      </c>
      <c r="AK1105" s="71">
        <v>0.15</v>
      </c>
      <c r="AL1105" s="88">
        <v>3.3231009614515201E-2</v>
      </c>
      <c r="AM1105" s="89">
        <f t="shared" si="17"/>
        <v>0.22154006409676802</v>
      </c>
    </row>
    <row r="1106" spans="1:39" x14ac:dyDescent="0.25">
      <c r="A1106" t="s">
        <v>44</v>
      </c>
      <c r="B1106" t="s">
        <v>52</v>
      </c>
      <c r="C1106" s="121" t="s">
        <v>174</v>
      </c>
      <c r="D1106" t="s">
        <v>202</v>
      </c>
      <c r="E1106" t="s">
        <v>65</v>
      </c>
      <c r="F1106">
        <v>1</v>
      </c>
      <c r="G1106">
        <v>30</v>
      </c>
      <c r="H1106" s="86">
        <v>45969.616360173597</v>
      </c>
      <c r="I1106" s="86">
        <v>45969.721867638902</v>
      </c>
      <c r="J1106" s="87">
        <v>2.53217916666667</v>
      </c>
      <c r="K1106" s="69" t="s">
        <v>274</v>
      </c>
      <c r="P1106" s="71" t="s">
        <v>275</v>
      </c>
      <c r="Q1106" s="88">
        <v>1.01499274257375E-2</v>
      </c>
      <c r="R1106" s="89" t="s">
        <v>276</v>
      </c>
      <c r="T1106">
        <v>8.4</v>
      </c>
      <c r="U1106" s="76">
        <v>0.2</v>
      </c>
      <c r="V1106">
        <v>10.199999999999999</v>
      </c>
      <c r="W1106" s="90">
        <v>0.1</v>
      </c>
      <c r="AG1106" s="91">
        <v>0</v>
      </c>
      <c r="AK1106" s="71">
        <v>0.15</v>
      </c>
      <c r="AL1106" s="88">
        <v>3.3231009614515201E-2</v>
      </c>
      <c r="AM1106" s="89">
        <f t="shared" si="17"/>
        <v>0.22154006409676802</v>
      </c>
    </row>
    <row r="1107" spans="1:39" x14ac:dyDescent="0.25">
      <c r="A1107" t="s">
        <v>44</v>
      </c>
      <c r="B1107" t="s">
        <v>52</v>
      </c>
      <c r="C1107" s="121" t="s">
        <v>174</v>
      </c>
      <c r="D1107" t="s">
        <v>202</v>
      </c>
      <c r="E1107" t="s">
        <v>65</v>
      </c>
      <c r="F1107">
        <v>1</v>
      </c>
      <c r="G1107">
        <v>31</v>
      </c>
      <c r="H1107" s="86">
        <v>45969.721867638902</v>
      </c>
      <c r="I1107" s="86">
        <v>45969.827367731501</v>
      </c>
      <c r="J1107" s="87">
        <v>2.53200222222222</v>
      </c>
      <c r="K1107" s="69" t="s">
        <v>274</v>
      </c>
      <c r="P1107" s="71" t="s">
        <v>275</v>
      </c>
      <c r="Q1107" s="88">
        <v>6.0751615586319002E-3</v>
      </c>
      <c r="R1107" s="89" t="s">
        <v>276</v>
      </c>
      <c r="T1107">
        <v>8</v>
      </c>
      <c r="U1107" s="76">
        <v>0.2</v>
      </c>
      <c r="V1107">
        <v>10.199999999999999</v>
      </c>
      <c r="W1107" s="90">
        <v>0.1</v>
      </c>
      <c r="AG1107" s="91">
        <v>0</v>
      </c>
      <c r="AK1107" s="71">
        <v>0.15</v>
      </c>
      <c r="AL1107" s="88">
        <v>3.3231009614515201E-2</v>
      </c>
      <c r="AM1107" s="89">
        <f t="shared" si="17"/>
        <v>0.22154006409676802</v>
      </c>
    </row>
    <row r="1108" spans="1:39" x14ac:dyDescent="0.25">
      <c r="A1108" t="s">
        <v>44</v>
      </c>
      <c r="B1108" t="s">
        <v>52</v>
      </c>
      <c r="C1108" s="121" t="s">
        <v>174</v>
      </c>
      <c r="D1108" t="s">
        <v>202</v>
      </c>
      <c r="E1108" t="s">
        <v>65</v>
      </c>
      <c r="F1108">
        <v>1</v>
      </c>
      <c r="G1108">
        <v>32</v>
      </c>
      <c r="H1108" s="86">
        <v>45969.827367731501</v>
      </c>
      <c r="I1108" s="86">
        <v>45969.932860925903</v>
      </c>
      <c r="J1108" s="87">
        <v>2.5318366666666701</v>
      </c>
      <c r="K1108" s="69" t="s">
        <v>274</v>
      </c>
      <c r="P1108" s="71" t="s">
        <v>275</v>
      </c>
      <c r="Q1108" s="88">
        <v>6.4540840576645204E-3</v>
      </c>
      <c r="R1108" s="89" t="s">
        <v>276</v>
      </c>
      <c r="T1108">
        <v>7.8</v>
      </c>
      <c r="U1108" s="76">
        <v>0.2</v>
      </c>
      <c r="V1108">
        <v>10.199999999999999</v>
      </c>
      <c r="W1108" s="90">
        <v>0.1</v>
      </c>
      <c r="AG1108" s="91">
        <v>0</v>
      </c>
      <c r="AK1108" s="71">
        <v>0.15</v>
      </c>
      <c r="AL1108" s="88">
        <v>3.3231009614515201E-2</v>
      </c>
      <c r="AM1108" s="89">
        <f t="shared" si="17"/>
        <v>0.22154006409676802</v>
      </c>
    </row>
    <row r="1109" spans="1:39" x14ac:dyDescent="0.25">
      <c r="A1109" t="s">
        <v>44</v>
      </c>
      <c r="B1109" t="s">
        <v>52</v>
      </c>
      <c r="C1109" s="121" t="s">
        <v>174</v>
      </c>
      <c r="D1109" t="s">
        <v>202</v>
      </c>
      <c r="E1109" t="s">
        <v>65</v>
      </c>
      <c r="F1109">
        <v>1</v>
      </c>
      <c r="G1109">
        <v>33</v>
      </c>
      <c r="H1109" s="86">
        <v>45969.932860925903</v>
      </c>
      <c r="I1109" s="86">
        <v>45970.038371134302</v>
      </c>
      <c r="J1109" s="87">
        <v>2.5322450000000001</v>
      </c>
      <c r="K1109" s="69" t="s">
        <v>274</v>
      </c>
      <c r="P1109" s="71" t="s">
        <v>275</v>
      </c>
      <c r="Q1109" s="88">
        <v>6.3139556077138502E-3</v>
      </c>
      <c r="R1109" s="89" t="s">
        <v>276</v>
      </c>
      <c r="T1109">
        <v>7.8</v>
      </c>
      <c r="U1109" s="76">
        <v>0.2</v>
      </c>
      <c r="V1109">
        <v>10.199999999999999</v>
      </c>
      <c r="W1109" s="90">
        <v>0.1</v>
      </c>
      <c r="AG1109" s="91">
        <v>0</v>
      </c>
      <c r="AK1109" s="71">
        <v>0.15</v>
      </c>
      <c r="AL1109" s="88">
        <v>3.3231009614515201E-2</v>
      </c>
      <c r="AM1109" s="89">
        <f t="shared" si="17"/>
        <v>0.22154006409676802</v>
      </c>
    </row>
    <row r="1110" spans="1:39" x14ac:dyDescent="0.25">
      <c r="A1110" t="s">
        <v>44</v>
      </c>
      <c r="B1110" t="s">
        <v>52</v>
      </c>
      <c r="C1110" s="121" t="s">
        <v>174</v>
      </c>
      <c r="D1110" t="s">
        <v>202</v>
      </c>
      <c r="E1110" t="s">
        <v>65</v>
      </c>
      <c r="F1110">
        <v>1</v>
      </c>
      <c r="G1110">
        <v>34</v>
      </c>
      <c r="H1110" s="86">
        <v>45970.038371134302</v>
      </c>
      <c r="I1110" s="86">
        <v>45970.143872592598</v>
      </c>
      <c r="J1110" s="87">
        <v>2.532035</v>
      </c>
      <c r="K1110" s="69" t="s">
        <v>274</v>
      </c>
      <c r="P1110" s="71" t="s">
        <v>275</v>
      </c>
      <c r="Q1110" s="88">
        <v>5.9358078883158102E-3</v>
      </c>
      <c r="R1110" s="89" t="s">
        <v>276</v>
      </c>
      <c r="T1110">
        <v>7.4</v>
      </c>
      <c r="U1110" s="76">
        <v>0.2</v>
      </c>
      <c r="V1110">
        <v>10.1</v>
      </c>
      <c r="W1110" s="90">
        <v>0.1</v>
      </c>
      <c r="AG1110" s="91">
        <v>0.1</v>
      </c>
      <c r="AK1110" s="71">
        <v>0.15</v>
      </c>
      <c r="AL1110" s="88">
        <v>3.3231009614515201E-2</v>
      </c>
      <c r="AM1110" s="89">
        <f t="shared" si="17"/>
        <v>0.22154006409676802</v>
      </c>
    </row>
    <row r="1111" spans="1:39" x14ac:dyDescent="0.25">
      <c r="A1111" t="s">
        <v>44</v>
      </c>
      <c r="B1111" t="s">
        <v>52</v>
      </c>
      <c r="C1111" s="121" t="s">
        <v>174</v>
      </c>
      <c r="D1111" t="s">
        <v>202</v>
      </c>
      <c r="E1111" t="s">
        <v>65</v>
      </c>
      <c r="F1111">
        <v>1</v>
      </c>
      <c r="G1111">
        <v>35</v>
      </c>
      <c r="H1111" s="86">
        <v>45970.143872592598</v>
      </c>
      <c r="I1111" s="86">
        <v>45970.249376400498</v>
      </c>
      <c r="J1111" s="87">
        <v>2.5320913888888898</v>
      </c>
      <c r="K1111" s="69" t="s">
        <v>274</v>
      </c>
      <c r="P1111" s="71" t="s">
        <v>275</v>
      </c>
      <c r="Q1111" s="88">
        <v>5.5906932993628504E-3</v>
      </c>
      <c r="R1111" s="89" t="s">
        <v>276</v>
      </c>
      <c r="T1111">
        <v>7.1</v>
      </c>
      <c r="U1111" s="76">
        <v>0.2</v>
      </c>
      <c r="V1111">
        <v>10.1</v>
      </c>
      <c r="W1111" s="90">
        <v>0.1</v>
      </c>
      <c r="AG1111" s="91">
        <v>0</v>
      </c>
      <c r="AK1111" s="71">
        <v>0.15</v>
      </c>
      <c r="AL1111" s="88">
        <v>3.3231009614515201E-2</v>
      </c>
      <c r="AM1111" s="89">
        <f t="shared" si="17"/>
        <v>0.22154006409676802</v>
      </c>
    </row>
    <row r="1112" spans="1:39" x14ac:dyDescent="0.25">
      <c r="A1112" t="s">
        <v>44</v>
      </c>
      <c r="B1112" t="s">
        <v>52</v>
      </c>
      <c r="C1112" s="121" t="s">
        <v>174</v>
      </c>
      <c r="D1112" t="s">
        <v>202</v>
      </c>
      <c r="E1112" t="s">
        <v>65</v>
      </c>
      <c r="F1112">
        <v>1</v>
      </c>
      <c r="G1112">
        <v>36</v>
      </c>
      <c r="H1112" s="86">
        <v>45970.249376400498</v>
      </c>
      <c r="I1112" s="86">
        <v>45970.354881064799</v>
      </c>
      <c r="J1112" s="87">
        <v>2.53211194444444</v>
      </c>
      <c r="K1112" s="69" t="s">
        <v>274</v>
      </c>
      <c r="P1112" s="71" t="s">
        <v>275</v>
      </c>
      <c r="Q1112" s="88">
        <v>5.9103711272759903E-3</v>
      </c>
      <c r="R1112" s="89" t="s">
        <v>276</v>
      </c>
      <c r="T1112">
        <v>6.8</v>
      </c>
      <c r="U1112" s="76">
        <v>0.2</v>
      </c>
      <c r="V1112">
        <v>10</v>
      </c>
      <c r="W1112" s="90">
        <v>0.1</v>
      </c>
      <c r="AG1112" s="91">
        <v>0</v>
      </c>
      <c r="AK1112" s="71">
        <v>0.15</v>
      </c>
      <c r="AL1112" s="88">
        <v>3.3231009614515201E-2</v>
      </c>
      <c r="AM1112" s="89">
        <f t="shared" si="17"/>
        <v>0.22154006409676802</v>
      </c>
    </row>
    <row r="1113" spans="1:39" x14ac:dyDescent="0.25">
      <c r="A1113" t="s">
        <v>44</v>
      </c>
      <c r="B1113" t="s">
        <v>52</v>
      </c>
      <c r="C1113" s="121" t="s">
        <v>174</v>
      </c>
      <c r="D1113" t="s">
        <v>202</v>
      </c>
      <c r="E1113" t="s">
        <v>65</v>
      </c>
      <c r="F1113">
        <v>1</v>
      </c>
      <c r="G1113">
        <v>37</v>
      </c>
      <c r="H1113" s="86">
        <v>45970.354881064799</v>
      </c>
      <c r="I1113" s="86">
        <v>45970.460368888896</v>
      </c>
      <c r="J1113" s="87">
        <v>2.5317077777777799</v>
      </c>
      <c r="K1113" s="69" t="s">
        <v>274</v>
      </c>
      <c r="P1113" s="71" t="s">
        <v>275</v>
      </c>
      <c r="Q1113" s="88">
        <v>6.2108789261118603E-3</v>
      </c>
      <c r="R1113" s="89" t="s">
        <v>276</v>
      </c>
      <c r="T1113">
        <v>7</v>
      </c>
      <c r="U1113" s="76">
        <v>0.2</v>
      </c>
      <c r="V1113">
        <v>10</v>
      </c>
      <c r="W1113" s="90">
        <v>0.1</v>
      </c>
      <c r="AG1113" s="91">
        <v>0</v>
      </c>
      <c r="AK1113" s="71">
        <v>0.15</v>
      </c>
      <c r="AL1113" s="88">
        <v>3.3231009614515201E-2</v>
      </c>
      <c r="AM1113" s="89">
        <f t="shared" si="17"/>
        <v>0.22154006409676802</v>
      </c>
    </row>
    <row r="1114" spans="1:39" x14ac:dyDescent="0.25">
      <c r="A1114" t="s">
        <v>44</v>
      </c>
      <c r="B1114" t="s">
        <v>52</v>
      </c>
      <c r="C1114" s="121" t="s">
        <v>174</v>
      </c>
      <c r="D1114" t="s">
        <v>202</v>
      </c>
      <c r="E1114" t="s">
        <v>65</v>
      </c>
      <c r="F1114">
        <v>1</v>
      </c>
      <c r="G1114">
        <v>38</v>
      </c>
      <c r="H1114" s="86">
        <v>45970.460368888896</v>
      </c>
      <c r="I1114" s="86">
        <v>45970.565866794001</v>
      </c>
      <c r="J1114" s="87">
        <v>2.5319497222222198</v>
      </c>
      <c r="K1114" s="69" t="s">
        <v>274</v>
      </c>
      <c r="P1114" s="71" t="s">
        <v>275</v>
      </c>
      <c r="Q1114" s="88">
        <v>1.2127109030905499E-2</v>
      </c>
      <c r="R1114" s="89" t="s">
        <v>276</v>
      </c>
      <c r="T1114">
        <v>7.6</v>
      </c>
      <c r="U1114" s="76">
        <v>0.2</v>
      </c>
      <c r="V1114">
        <v>9.9</v>
      </c>
      <c r="W1114" s="90">
        <v>0.1</v>
      </c>
      <c r="AG1114" s="91">
        <v>0</v>
      </c>
      <c r="AK1114" s="71">
        <v>0.15</v>
      </c>
      <c r="AL1114" s="88">
        <v>3.3231009614515201E-2</v>
      </c>
      <c r="AM1114" s="89">
        <f t="shared" si="17"/>
        <v>0.22154006409676802</v>
      </c>
    </row>
    <row r="1115" spans="1:39" x14ac:dyDescent="0.25">
      <c r="A1115" t="s">
        <v>44</v>
      </c>
      <c r="B1115" t="s">
        <v>52</v>
      </c>
      <c r="C1115" s="121" t="s">
        <v>174</v>
      </c>
      <c r="D1115" t="s">
        <v>202</v>
      </c>
      <c r="E1115" t="s">
        <v>65</v>
      </c>
      <c r="F1115">
        <v>1</v>
      </c>
      <c r="G1115">
        <v>39</v>
      </c>
      <c r="H1115" s="86">
        <v>45970.565866794001</v>
      </c>
      <c r="I1115" s="86">
        <v>45970.671375023201</v>
      </c>
      <c r="J1115" s="87">
        <v>2.5321975000000001</v>
      </c>
      <c r="K1115" s="69" t="s">
        <v>274</v>
      </c>
      <c r="P1115" s="71" t="s">
        <v>275</v>
      </c>
      <c r="Q1115" s="88">
        <v>1.2069380196730701E-2</v>
      </c>
      <c r="R1115" s="89" t="s">
        <v>276</v>
      </c>
      <c r="T1115">
        <v>7.3</v>
      </c>
      <c r="U1115" s="76">
        <v>0.2</v>
      </c>
      <c r="V1115">
        <v>10</v>
      </c>
      <c r="W1115" s="90">
        <v>0.1</v>
      </c>
      <c r="AG1115" s="91">
        <v>0</v>
      </c>
      <c r="AK1115" s="71">
        <v>0.15</v>
      </c>
      <c r="AL1115" s="88">
        <v>3.3231009614515201E-2</v>
      </c>
      <c r="AM1115" s="89">
        <f t="shared" si="17"/>
        <v>0.22154006409676802</v>
      </c>
    </row>
    <row r="1116" spans="1:39" x14ac:dyDescent="0.25">
      <c r="A1116" t="s">
        <v>44</v>
      </c>
      <c r="B1116" t="s">
        <v>52</v>
      </c>
      <c r="C1116" s="121" t="s">
        <v>174</v>
      </c>
      <c r="D1116" t="s">
        <v>202</v>
      </c>
      <c r="E1116" t="s">
        <v>65</v>
      </c>
      <c r="F1116">
        <v>1</v>
      </c>
      <c r="G1116">
        <v>40</v>
      </c>
      <c r="H1116" s="86">
        <v>45970.671375023201</v>
      </c>
      <c r="I1116" s="86">
        <v>45970.776871597198</v>
      </c>
      <c r="J1116" s="87">
        <v>2.5319177777777799</v>
      </c>
      <c r="K1116" s="69" t="s">
        <v>274</v>
      </c>
      <c r="P1116" s="71" t="s">
        <v>275</v>
      </c>
      <c r="Q1116" s="88">
        <v>7.8722656029150701E-3</v>
      </c>
      <c r="R1116" s="89" t="s">
        <v>276</v>
      </c>
      <c r="T1116">
        <v>7</v>
      </c>
      <c r="U1116" s="76">
        <v>0.2</v>
      </c>
      <c r="V1116">
        <v>10.1</v>
      </c>
      <c r="W1116" s="90">
        <v>0.1</v>
      </c>
      <c r="AG1116" s="91">
        <v>0</v>
      </c>
      <c r="AK1116" s="71">
        <v>0.15</v>
      </c>
      <c r="AL1116" s="88">
        <v>3.3231009614515201E-2</v>
      </c>
      <c r="AM1116" s="89">
        <f t="shared" si="17"/>
        <v>0.22154006409676802</v>
      </c>
    </row>
    <row r="1117" spans="1:39" x14ac:dyDescent="0.25">
      <c r="A1117" t="s">
        <v>44</v>
      </c>
      <c r="B1117" t="s">
        <v>52</v>
      </c>
      <c r="C1117" s="121" t="s">
        <v>174</v>
      </c>
      <c r="D1117" t="s">
        <v>202</v>
      </c>
      <c r="E1117" t="s">
        <v>65</v>
      </c>
      <c r="F1117">
        <v>1</v>
      </c>
      <c r="G1117">
        <v>41</v>
      </c>
      <c r="H1117" s="86">
        <v>45970.776871597198</v>
      </c>
      <c r="I1117" s="86">
        <v>45970.882378738403</v>
      </c>
      <c r="J1117" s="87">
        <v>2.5321713888888899</v>
      </c>
      <c r="K1117" s="69" t="s">
        <v>274</v>
      </c>
      <c r="P1117" s="71" t="s">
        <v>275</v>
      </c>
      <c r="Q1117" s="88">
        <v>5.2339838219104002E-3</v>
      </c>
      <c r="R1117" s="89" t="s">
        <v>276</v>
      </c>
      <c r="T1117">
        <v>6.1</v>
      </c>
      <c r="U1117" s="76">
        <v>0.2</v>
      </c>
      <c r="V1117">
        <v>10</v>
      </c>
      <c r="W1117" s="90">
        <v>0.1</v>
      </c>
      <c r="AG1117" s="91">
        <v>0</v>
      </c>
      <c r="AK1117" s="71">
        <v>0.15</v>
      </c>
      <c r="AL1117" s="88">
        <v>3.3231009614515201E-2</v>
      </c>
      <c r="AM1117" s="89">
        <f t="shared" si="17"/>
        <v>0.22154006409676802</v>
      </c>
    </row>
    <row r="1118" spans="1:39" x14ac:dyDescent="0.25">
      <c r="A1118" t="s">
        <v>44</v>
      </c>
      <c r="B1118" t="s">
        <v>52</v>
      </c>
      <c r="C1118" s="121" t="s">
        <v>174</v>
      </c>
      <c r="D1118" t="s">
        <v>202</v>
      </c>
      <c r="E1118" t="s">
        <v>65</v>
      </c>
      <c r="F1118">
        <v>1</v>
      </c>
      <c r="G1118">
        <v>42</v>
      </c>
      <c r="H1118" s="86">
        <v>45970.882378738403</v>
      </c>
      <c r="I1118" s="86">
        <v>45970.987888645803</v>
      </c>
      <c r="J1118" s="87">
        <v>2.5322377777777798</v>
      </c>
      <c r="K1118" s="69" t="s">
        <v>274</v>
      </c>
      <c r="P1118" s="71" t="s">
        <v>275</v>
      </c>
      <c r="Q1118" s="88">
        <v>5.0530658143758799E-3</v>
      </c>
      <c r="R1118" s="89" t="s">
        <v>276</v>
      </c>
      <c r="T1118">
        <v>6.3</v>
      </c>
      <c r="U1118" s="76">
        <v>0.2</v>
      </c>
      <c r="V1118">
        <v>10</v>
      </c>
      <c r="W1118" s="90">
        <v>0.1</v>
      </c>
      <c r="AG1118" s="91">
        <v>0</v>
      </c>
      <c r="AK1118" s="71">
        <v>0.15</v>
      </c>
      <c r="AL1118" s="88">
        <v>3.3231009614515201E-2</v>
      </c>
      <c r="AM1118" s="89">
        <f t="shared" si="17"/>
        <v>0.22154006409676802</v>
      </c>
    </row>
    <row r="1119" spans="1:39" x14ac:dyDescent="0.25">
      <c r="A1119" t="s">
        <v>44</v>
      </c>
      <c r="B1119" t="s">
        <v>52</v>
      </c>
      <c r="C1119" s="121" t="s">
        <v>174</v>
      </c>
      <c r="D1119" t="s">
        <v>202</v>
      </c>
      <c r="E1119" t="s">
        <v>65</v>
      </c>
      <c r="F1119">
        <v>1</v>
      </c>
      <c r="G1119">
        <v>43</v>
      </c>
      <c r="H1119" s="86">
        <v>45970.987888645803</v>
      </c>
      <c r="I1119" s="86">
        <v>45971.093394884301</v>
      </c>
      <c r="J1119" s="87">
        <v>2.5321497222222198</v>
      </c>
      <c r="K1119" s="69" t="s">
        <v>274</v>
      </c>
      <c r="P1119" s="71" t="s">
        <v>275</v>
      </c>
      <c r="Q1119" s="88">
        <v>3.6167657063052101E-3</v>
      </c>
      <c r="R1119" s="89" t="s">
        <v>276</v>
      </c>
      <c r="T1119">
        <v>5.7</v>
      </c>
      <c r="U1119" s="76">
        <v>0.2</v>
      </c>
      <c r="V1119">
        <v>9.9</v>
      </c>
      <c r="W1119" s="90">
        <v>0.1</v>
      </c>
      <c r="AG1119" s="91">
        <v>0</v>
      </c>
      <c r="AK1119" s="71">
        <v>0.15</v>
      </c>
      <c r="AL1119" s="88">
        <v>3.3231009614515201E-2</v>
      </c>
      <c r="AM1119" s="89">
        <f t="shared" si="17"/>
        <v>0.22154006409676802</v>
      </c>
    </row>
    <row r="1120" spans="1:39" x14ac:dyDescent="0.25">
      <c r="A1120" t="s">
        <v>44</v>
      </c>
      <c r="B1120" t="s">
        <v>52</v>
      </c>
      <c r="C1120" s="121" t="s">
        <v>174</v>
      </c>
      <c r="D1120" t="s">
        <v>202</v>
      </c>
      <c r="E1120" t="s">
        <v>65</v>
      </c>
      <c r="F1120">
        <v>1</v>
      </c>
      <c r="G1120">
        <v>44</v>
      </c>
      <c r="H1120" s="86">
        <v>45971.093394884301</v>
      </c>
      <c r="I1120" s="86">
        <v>45971.198888530103</v>
      </c>
      <c r="J1120" s="87">
        <v>2.5318475</v>
      </c>
      <c r="K1120" s="69" t="s">
        <v>274</v>
      </c>
      <c r="P1120" s="71" t="s">
        <v>275</v>
      </c>
      <c r="Q1120" s="88">
        <v>5.7005015245821704E-3</v>
      </c>
      <c r="R1120" s="89" t="s">
        <v>276</v>
      </c>
      <c r="T1120">
        <v>6.5</v>
      </c>
      <c r="U1120" s="76">
        <v>0.2</v>
      </c>
      <c r="V1120">
        <v>9.8000000000000007</v>
      </c>
      <c r="W1120" s="90">
        <v>0.1</v>
      </c>
      <c r="AG1120" s="91">
        <v>0</v>
      </c>
      <c r="AK1120" s="71">
        <v>0.15</v>
      </c>
      <c r="AL1120" s="88">
        <v>3.3231009614515201E-2</v>
      </c>
      <c r="AM1120" s="89">
        <f t="shared" si="17"/>
        <v>0.22154006409676802</v>
      </c>
    </row>
    <row r="1121" spans="1:39" x14ac:dyDescent="0.25">
      <c r="A1121" t="s">
        <v>44</v>
      </c>
      <c r="B1121" t="s">
        <v>52</v>
      </c>
      <c r="C1121" s="121" t="s">
        <v>174</v>
      </c>
      <c r="D1121" t="s">
        <v>202</v>
      </c>
      <c r="E1121" t="s">
        <v>65</v>
      </c>
      <c r="F1121">
        <v>1</v>
      </c>
      <c r="G1121">
        <v>45</v>
      </c>
      <c r="H1121" s="86">
        <v>45971.198888530103</v>
      </c>
      <c r="I1121" s="86">
        <v>45971.304391747697</v>
      </c>
      <c r="J1121" s="87">
        <v>2.5320772222222199</v>
      </c>
      <c r="K1121" s="69" t="s">
        <v>274</v>
      </c>
      <c r="P1121" s="71" t="s">
        <v>275</v>
      </c>
      <c r="Q1121" s="88">
        <v>5.1262434049522297E-3</v>
      </c>
      <c r="R1121" s="89" t="s">
        <v>276</v>
      </c>
      <c r="T1121">
        <v>5</v>
      </c>
      <c r="U1121" s="76">
        <v>0.2</v>
      </c>
      <c r="V1121">
        <v>9.6999999999999993</v>
      </c>
      <c r="W1121" s="90">
        <v>0.1</v>
      </c>
      <c r="AG1121" s="91">
        <v>0</v>
      </c>
      <c r="AK1121" s="71">
        <v>0.15</v>
      </c>
      <c r="AL1121" s="88">
        <v>3.3231009614515201E-2</v>
      </c>
      <c r="AM1121" s="89">
        <f t="shared" si="17"/>
        <v>0.22154006409676802</v>
      </c>
    </row>
    <row r="1122" spans="1:39" x14ac:dyDescent="0.25">
      <c r="A1122" t="s">
        <v>44</v>
      </c>
      <c r="B1122" t="s">
        <v>52</v>
      </c>
      <c r="C1122" s="121" t="s">
        <v>174</v>
      </c>
      <c r="D1122" t="s">
        <v>202</v>
      </c>
      <c r="E1122" t="s">
        <v>65</v>
      </c>
      <c r="F1122">
        <v>1</v>
      </c>
      <c r="G1122">
        <v>46</v>
      </c>
      <c r="H1122" s="86">
        <v>45971.304391747697</v>
      </c>
      <c r="I1122" s="86">
        <v>45971.4098968287</v>
      </c>
      <c r="J1122" s="87">
        <v>2.5321219444444401</v>
      </c>
      <c r="K1122" s="69" t="s">
        <v>274</v>
      </c>
      <c r="P1122" s="71" t="s">
        <v>275</v>
      </c>
      <c r="Q1122" s="88">
        <v>6.5518178834983202E-3</v>
      </c>
      <c r="R1122" s="89" t="s">
        <v>276</v>
      </c>
      <c r="T1122">
        <v>6</v>
      </c>
      <c r="U1122" s="76">
        <v>0.2</v>
      </c>
      <c r="V1122">
        <v>9.6</v>
      </c>
      <c r="W1122" s="90">
        <v>0.1</v>
      </c>
      <c r="AG1122" s="91">
        <v>0</v>
      </c>
      <c r="AK1122" s="71">
        <v>0.15</v>
      </c>
      <c r="AL1122" s="88">
        <v>3.3231009614515201E-2</v>
      </c>
      <c r="AM1122" s="89">
        <f t="shared" si="17"/>
        <v>0.22154006409676802</v>
      </c>
    </row>
    <row r="1123" spans="1:39" x14ac:dyDescent="0.25">
      <c r="A1123" t="s">
        <v>44</v>
      </c>
      <c r="B1123" t="s">
        <v>52</v>
      </c>
      <c r="C1123" s="121" t="s">
        <v>174</v>
      </c>
      <c r="D1123" t="s">
        <v>202</v>
      </c>
      <c r="E1123" t="s">
        <v>65</v>
      </c>
      <c r="F1123">
        <v>1</v>
      </c>
      <c r="G1123">
        <v>47</v>
      </c>
      <c r="H1123" s="86">
        <v>45971.4098968287</v>
      </c>
      <c r="I1123" s="86">
        <v>45971.515399536998</v>
      </c>
      <c r="J1123" s="87">
        <v>2.5320649999999998</v>
      </c>
      <c r="K1123" s="69" t="s">
        <v>274</v>
      </c>
      <c r="P1123" s="71" t="s">
        <v>275</v>
      </c>
      <c r="Q1123" s="88">
        <v>1.1824223577520899E-2</v>
      </c>
      <c r="R1123" s="89" t="s">
        <v>276</v>
      </c>
      <c r="T1123">
        <v>7.1</v>
      </c>
      <c r="U1123" s="76">
        <v>0.2</v>
      </c>
      <c r="V1123">
        <v>9.5</v>
      </c>
      <c r="W1123" s="90">
        <v>0.1</v>
      </c>
      <c r="AG1123" s="91">
        <v>0</v>
      </c>
      <c r="AK1123" s="71">
        <v>0.15</v>
      </c>
      <c r="AL1123" s="88">
        <v>3.3231009614515201E-2</v>
      </c>
      <c r="AM1123" s="89">
        <f t="shared" si="17"/>
        <v>0.22154006409676802</v>
      </c>
    </row>
    <row r="1124" spans="1:39" x14ac:dyDescent="0.25">
      <c r="A1124" t="s">
        <v>44</v>
      </c>
      <c r="B1124" t="s">
        <v>52</v>
      </c>
      <c r="C1124" s="121" t="s">
        <v>174</v>
      </c>
      <c r="D1124" t="s">
        <v>202</v>
      </c>
      <c r="E1124" t="s">
        <v>65</v>
      </c>
      <c r="F1124">
        <v>1</v>
      </c>
      <c r="G1124">
        <v>48</v>
      </c>
      <c r="H1124" s="86">
        <v>45971.515399536998</v>
      </c>
      <c r="I1124" s="86">
        <v>45971.620902314797</v>
      </c>
      <c r="J1124" s="87">
        <v>2.5320666666666698</v>
      </c>
      <c r="K1124" s="69" t="s">
        <v>274</v>
      </c>
      <c r="P1124" s="71" t="s">
        <v>275</v>
      </c>
      <c r="Q1124" s="88">
        <v>6.4222678900872202E-2</v>
      </c>
      <c r="R1124" s="89" t="s">
        <v>276</v>
      </c>
      <c r="T1124">
        <v>10</v>
      </c>
      <c r="U1124" s="76">
        <v>0.2</v>
      </c>
      <c r="V1124">
        <v>9.5</v>
      </c>
      <c r="W1124" s="90">
        <v>0.1</v>
      </c>
      <c r="AG1124" s="91">
        <v>0</v>
      </c>
      <c r="AK1124" s="71">
        <v>0.15</v>
      </c>
      <c r="AL1124" s="88">
        <v>3.3231009614515201E-2</v>
      </c>
      <c r="AM1124" s="89">
        <f t="shared" si="17"/>
        <v>0.22154006409676802</v>
      </c>
    </row>
    <row r="1125" spans="1:39" x14ac:dyDescent="0.25">
      <c r="A1125" t="s">
        <v>44</v>
      </c>
      <c r="B1125" t="s">
        <v>52</v>
      </c>
      <c r="C1125" s="121" t="s">
        <v>174</v>
      </c>
      <c r="D1125" t="s">
        <v>202</v>
      </c>
      <c r="E1125" t="s">
        <v>65</v>
      </c>
      <c r="F1125">
        <v>1</v>
      </c>
      <c r="G1125">
        <v>49</v>
      </c>
      <c r="H1125" s="86">
        <v>45971.620902314797</v>
      </c>
      <c r="I1125" s="86">
        <v>45971.726408564798</v>
      </c>
      <c r="J1125" s="87">
        <v>2.5321500000000001</v>
      </c>
      <c r="K1125" s="69" t="s">
        <v>274</v>
      </c>
      <c r="P1125" s="71" t="s">
        <v>275</v>
      </c>
      <c r="Q1125" s="88">
        <v>1.8913264486806199E-2</v>
      </c>
      <c r="R1125" s="89" t="s">
        <v>276</v>
      </c>
      <c r="T1125">
        <v>8.6</v>
      </c>
      <c r="U1125" s="76">
        <v>0.2</v>
      </c>
      <c r="V1125">
        <v>9.6999999999999993</v>
      </c>
      <c r="W1125" s="90">
        <v>0.1</v>
      </c>
      <c r="AG1125" s="91">
        <v>0</v>
      </c>
      <c r="AK1125" s="71">
        <v>0.15</v>
      </c>
      <c r="AL1125" s="88">
        <v>3.3231009614515201E-2</v>
      </c>
      <c r="AM1125" s="89">
        <f t="shared" si="17"/>
        <v>0.22154006409676802</v>
      </c>
    </row>
    <row r="1126" spans="1:39" x14ac:dyDescent="0.25">
      <c r="A1126" t="s">
        <v>44</v>
      </c>
      <c r="B1126" t="s">
        <v>52</v>
      </c>
      <c r="C1126" s="121" t="s">
        <v>174</v>
      </c>
      <c r="D1126" t="s">
        <v>202</v>
      </c>
      <c r="E1126" t="s">
        <v>65</v>
      </c>
      <c r="F1126">
        <v>1</v>
      </c>
      <c r="G1126">
        <v>50</v>
      </c>
      <c r="H1126" s="86">
        <v>45971.726408564798</v>
      </c>
      <c r="I1126" s="86">
        <v>45971.831923715297</v>
      </c>
      <c r="J1126" s="87">
        <v>2.5323636111111099</v>
      </c>
      <c r="K1126" s="69" t="s">
        <v>274</v>
      </c>
      <c r="P1126" s="71" t="s">
        <v>275</v>
      </c>
      <c r="Q1126" s="88">
        <v>1.08115919150138E-2</v>
      </c>
      <c r="R1126" s="89" t="s">
        <v>276</v>
      </c>
      <c r="T1126">
        <v>8.1999999999999993</v>
      </c>
      <c r="U1126" s="76">
        <v>0.2</v>
      </c>
      <c r="V1126">
        <v>9.8000000000000007</v>
      </c>
      <c r="W1126" s="90">
        <v>0.1</v>
      </c>
      <c r="AG1126" s="91">
        <v>0</v>
      </c>
      <c r="AK1126" s="71">
        <v>0.15</v>
      </c>
      <c r="AL1126" s="88">
        <v>3.3231009614515201E-2</v>
      </c>
      <c r="AM1126" s="89">
        <f t="shared" si="17"/>
        <v>0.22154006409676802</v>
      </c>
    </row>
    <row r="1127" spans="1:39" x14ac:dyDescent="0.25">
      <c r="A1127" t="s">
        <v>44</v>
      </c>
      <c r="B1127" t="s">
        <v>52</v>
      </c>
      <c r="C1127" s="121" t="s">
        <v>174</v>
      </c>
      <c r="D1127" t="s">
        <v>202</v>
      </c>
      <c r="E1127" t="s">
        <v>65</v>
      </c>
      <c r="F1127">
        <v>1</v>
      </c>
      <c r="G1127">
        <v>51</v>
      </c>
      <c r="H1127" s="86">
        <v>45971.831923715297</v>
      </c>
      <c r="I1127" s="86">
        <v>45971.937449594901</v>
      </c>
      <c r="J1127" s="87">
        <v>2.5326211111111099</v>
      </c>
      <c r="K1127" s="69" t="s">
        <v>274</v>
      </c>
      <c r="P1127" s="71" t="s">
        <v>275</v>
      </c>
      <c r="Q1127" s="88">
        <v>9.0889109571984199E-3</v>
      </c>
      <c r="R1127" s="89" t="s">
        <v>276</v>
      </c>
      <c r="T1127">
        <v>7.8</v>
      </c>
      <c r="U1127" s="76">
        <v>0.2</v>
      </c>
      <c r="V1127">
        <v>9.8000000000000007</v>
      </c>
      <c r="W1127" s="90">
        <v>0.1</v>
      </c>
      <c r="AG1127" s="91">
        <v>0</v>
      </c>
      <c r="AK1127" s="71">
        <v>0.15</v>
      </c>
      <c r="AL1127" s="88">
        <v>3.3231009614515201E-2</v>
      </c>
      <c r="AM1127" s="89">
        <f t="shared" si="17"/>
        <v>0.22154006409676802</v>
      </c>
    </row>
    <row r="1128" spans="1:39" x14ac:dyDescent="0.25">
      <c r="A1128" t="s">
        <v>44</v>
      </c>
      <c r="B1128" t="s">
        <v>52</v>
      </c>
      <c r="C1128" s="121" t="s">
        <v>174</v>
      </c>
      <c r="D1128" t="s">
        <v>202</v>
      </c>
      <c r="E1128" t="s">
        <v>65</v>
      </c>
      <c r="F1128">
        <v>1</v>
      </c>
      <c r="G1128">
        <v>52</v>
      </c>
      <c r="H1128" s="86">
        <v>45971.937449594901</v>
      </c>
      <c r="I1128" s="86">
        <v>45972.042974571799</v>
      </c>
      <c r="J1128" s="87">
        <v>2.53259944444445</v>
      </c>
      <c r="K1128" s="69" t="s">
        <v>274</v>
      </c>
      <c r="P1128" s="71" t="s">
        <v>275</v>
      </c>
      <c r="Q1128" s="88">
        <v>1.2344001732965E-2</v>
      </c>
      <c r="R1128" s="89" t="s">
        <v>276</v>
      </c>
      <c r="T1128">
        <v>7.9</v>
      </c>
      <c r="U1128" s="76">
        <v>0.2</v>
      </c>
      <c r="V1128">
        <v>9.8000000000000007</v>
      </c>
      <c r="W1128" s="90">
        <v>0.1</v>
      </c>
      <c r="AG1128" s="91">
        <v>0</v>
      </c>
      <c r="AK1128" s="71">
        <v>0.15</v>
      </c>
      <c r="AL1128" s="88">
        <v>3.3231009614515201E-2</v>
      </c>
      <c r="AM1128" s="89">
        <f t="shared" si="17"/>
        <v>0.22154006409676802</v>
      </c>
    </row>
    <row r="1129" spans="1:39" x14ac:dyDescent="0.25">
      <c r="A1129" t="s">
        <v>44</v>
      </c>
      <c r="B1129" t="s">
        <v>52</v>
      </c>
      <c r="C1129" s="121" t="s">
        <v>174</v>
      </c>
      <c r="D1129" t="s">
        <v>202</v>
      </c>
      <c r="E1129" t="s">
        <v>65</v>
      </c>
      <c r="F1129">
        <v>1</v>
      </c>
      <c r="G1129">
        <v>53</v>
      </c>
      <c r="H1129" s="86">
        <v>45972.042974571799</v>
      </c>
      <c r="I1129" s="86">
        <v>45972.148496805603</v>
      </c>
      <c r="J1129" s="87">
        <v>2.5325336111111101</v>
      </c>
      <c r="K1129" s="69" t="s">
        <v>274</v>
      </c>
      <c r="P1129" s="71" t="s">
        <v>275</v>
      </c>
      <c r="Q1129" s="88">
        <v>7.0451922362801903E-3</v>
      </c>
      <c r="R1129" s="89" t="s">
        <v>276</v>
      </c>
      <c r="T1129">
        <v>6.3</v>
      </c>
      <c r="U1129" s="76">
        <v>0.2</v>
      </c>
      <c r="V1129">
        <v>9.6</v>
      </c>
      <c r="W1129" s="90">
        <v>0.1</v>
      </c>
      <c r="AG1129" s="91">
        <v>0</v>
      </c>
      <c r="AK1129" s="71">
        <v>0.15</v>
      </c>
      <c r="AL1129" s="88">
        <v>3.3231009614515201E-2</v>
      </c>
      <c r="AM1129" s="89">
        <f t="shared" si="17"/>
        <v>0.22154006409676802</v>
      </c>
    </row>
    <row r="1130" spans="1:39" x14ac:dyDescent="0.25">
      <c r="A1130" t="s">
        <v>44</v>
      </c>
      <c r="B1130" t="s">
        <v>52</v>
      </c>
      <c r="C1130" s="121" t="s">
        <v>174</v>
      </c>
      <c r="D1130" t="s">
        <v>202</v>
      </c>
      <c r="E1130" t="s">
        <v>65</v>
      </c>
      <c r="F1130">
        <v>1</v>
      </c>
      <c r="G1130">
        <v>54</v>
      </c>
      <c r="H1130" s="86">
        <v>45972.148496805603</v>
      </c>
      <c r="I1130" s="86">
        <v>45972.254020960601</v>
      </c>
      <c r="J1130" s="87">
        <v>2.5325797222222199</v>
      </c>
      <c r="K1130" s="69" t="s">
        <v>274</v>
      </c>
      <c r="P1130" s="71" t="s">
        <v>275</v>
      </c>
      <c r="Q1130" s="88">
        <v>5.9268945229611703E-3</v>
      </c>
      <c r="R1130" s="89" t="s">
        <v>276</v>
      </c>
      <c r="T1130">
        <v>5.8</v>
      </c>
      <c r="U1130" s="76">
        <v>0.2</v>
      </c>
      <c r="V1130">
        <v>9.5</v>
      </c>
      <c r="W1130" s="90">
        <v>0.1</v>
      </c>
      <c r="AG1130" s="91">
        <v>0</v>
      </c>
      <c r="AK1130" s="71">
        <v>0.15</v>
      </c>
      <c r="AL1130" s="88">
        <v>3.3231009614515201E-2</v>
      </c>
      <c r="AM1130" s="89">
        <f t="shared" si="17"/>
        <v>0.22154006409676802</v>
      </c>
    </row>
    <row r="1131" spans="1:39" x14ac:dyDescent="0.25">
      <c r="A1131" t="s">
        <v>44</v>
      </c>
      <c r="B1131" t="s">
        <v>52</v>
      </c>
      <c r="C1131" s="121" t="s">
        <v>174</v>
      </c>
      <c r="D1131" t="s">
        <v>202</v>
      </c>
      <c r="E1131" t="s">
        <v>65</v>
      </c>
      <c r="F1131">
        <v>1</v>
      </c>
      <c r="G1131">
        <v>55</v>
      </c>
      <c r="H1131" s="86">
        <v>45972.254020960601</v>
      </c>
      <c r="I1131" s="86">
        <v>45972.359550891197</v>
      </c>
      <c r="J1131" s="87">
        <v>2.5327183333333299</v>
      </c>
      <c r="K1131" s="69" t="s">
        <v>274</v>
      </c>
      <c r="P1131" s="71" t="s">
        <v>275</v>
      </c>
      <c r="Q1131" s="88">
        <v>8.6030830215850802E-3</v>
      </c>
      <c r="R1131" s="89" t="s">
        <v>276</v>
      </c>
      <c r="T1131">
        <v>6.6</v>
      </c>
      <c r="U1131" s="76">
        <v>0.2</v>
      </c>
      <c r="V1131">
        <v>9.4</v>
      </c>
      <c r="W1131" s="90">
        <v>0.1</v>
      </c>
      <c r="AG1131" s="91">
        <v>0</v>
      </c>
      <c r="AK1131" s="71">
        <v>0.15</v>
      </c>
      <c r="AL1131" s="88">
        <v>3.3231009614515201E-2</v>
      </c>
      <c r="AM1131" s="89">
        <f t="shared" si="17"/>
        <v>0.22154006409676802</v>
      </c>
    </row>
    <row r="1132" spans="1:39" x14ac:dyDescent="0.25">
      <c r="A1132" t="s">
        <v>44</v>
      </c>
      <c r="B1132" t="s">
        <v>52</v>
      </c>
      <c r="C1132" s="121" t="s">
        <v>174</v>
      </c>
      <c r="D1132" t="s">
        <v>202</v>
      </c>
      <c r="E1132" t="s">
        <v>65</v>
      </c>
      <c r="F1132">
        <v>1</v>
      </c>
      <c r="G1132">
        <v>56</v>
      </c>
      <c r="H1132" s="86">
        <v>45972.359550891197</v>
      </c>
      <c r="I1132" s="86">
        <v>45972.465069849502</v>
      </c>
      <c r="J1132" s="87">
        <v>2.5324550000000001</v>
      </c>
      <c r="K1132" s="69" t="s">
        <v>274</v>
      </c>
      <c r="P1132" s="71" t="s">
        <v>275</v>
      </c>
      <c r="Q1132" s="88">
        <v>1.2863047750634699E-2</v>
      </c>
      <c r="R1132" s="89" t="s">
        <v>276</v>
      </c>
      <c r="T1132">
        <v>7.5</v>
      </c>
      <c r="U1132" s="76">
        <v>0.2</v>
      </c>
      <c r="V1132">
        <v>9.3000000000000007</v>
      </c>
      <c r="W1132" s="90">
        <v>0.1</v>
      </c>
      <c r="AG1132" s="91">
        <v>0</v>
      </c>
      <c r="AK1132" s="71">
        <v>0.15</v>
      </c>
      <c r="AL1132" s="88">
        <v>3.3231009614515201E-2</v>
      </c>
      <c r="AM1132" s="89">
        <f t="shared" si="17"/>
        <v>0.22154006409676802</v>
      </c>
    </row>
    <row r="1133" spans="1:39" x14ac:dyDescent="0.25">
      <c r="A1133" t="s">
        <v>44</v>
      </c>
      <c r="B1133" t="s">
        <v>52</v>
      </c>
      <c r="C1133" s="121" t="s">
        <v>174</v>
      </c>
      <c r="D1133" t="s">
        <v>202</v>
      </c>
      <c r="E1133" t="s">
        <v>65</v>
      </c>
      <c r="F1133">
        <v>1</v>
      </c>
      <c r="G1133">
        <v>57</v>
      </c>
      <c r="H1133" s="86">
        <v>45972.465069849502</v>
      </c>
      <c r="I1133" s="86">
        <v>45972.570601111103</v>
      </c>
      <c r="J1133" s="87">
        <v>2.5327502777777799</v>
      </c>
      <c r="K1133" s="69" t="s">
        <v>274</v>
      </c>
      <c r="P1133" s="71" t="s">
        <v>275</v>
      </c>
      <c r="Q1133" s="88">
        <v>1.4699767630377E-2</v>
      </c>
      <c r="R1133" s="89" t="s">
        <v>276</v>
      </c>
      <c r="T1133">
        <v>8</v>
      </c>
      <c r="U1133" s="76">
        <v>0.2</v>
      </c>
      <c r="V1133">
        <v>9.3000000000000007</v>
      </c>
      <c r="W1133" s="90">
        <v>0.1</v>
      </c>
      <c r="AG1133" s="91">
        <v>0</v>
      </c>
      <c r="AK1133" s="71">
        <v>0.15</v>
      </c>
      <c r="AL1133" s="88">
        <v>3.3231009614515201E-2</v>
      </c>
      <c r="AM1133" s="89">
        <f t="shared" si="17"/>
        <v>0.22154006409676802</v>
      </c>
    </row>
    <row r="1134" spans="1:39" x14ac:dyDescent="0.25">
      <c r="A1134" t="s">
        <v>44</v>
      </c>
      <c r="B1134" t="s">
        <v>52</v>
      </c>
      <c r="C1134" s="121" t="s">
        <v>174</v>
      </c>
      <c r="D1134" t="s">
        <v>202</v>
      </c>
      <c r="E1134" t="s">
        <v>65</v>
      </c>
      <c r="F1134">
        <v>1</v>
      </c>
      <c r="G1134">
        <v>58</v>
      </c>
      <c r="H1134" s="86">
        <v>45972.570601111103</v>
      </c>
      <c r="I1134" s="86">
        <v>45972.676129305597</v>
      </c>
      <c r="J1134" s="87">
        <v>2.5326766666666698</v>
      </c>
      <c r="K1134" s="69" t="s">
        <v>274</v>
      </c>
      <c r="P1134" s="71" t="s">
        <v>275</v>
      </c>
      <c r="Q1134" s="88">
        <v>2.4288255456150001E-2</v>
      </c>
      <c r="R1134" s="89" t="s">
        <v>276</v>
      </c>
      <c r="T1134">
        <v>9.1999999999999993</v>
      </c>
      <c r="U1134" s="76">
        <v>0.2</v>
      </c>
      <c r="V1134">
        <v>9.4</v>
      </c>
      <c r="W1134" s="90">
        <v>0.1</v>
      </c>
      <c r="AG1134" s="91">
        <v>0</v>
      </c>
      <c r="AK1134" s="71">
        <v>0.15</v>
      </c>
      <c r="AL1134" s="88">
        <v>3.3231009614515201E-2</v>
      </c>
      <c r="AM1134" s="89">
        <f t="shared" si="17"/>
        <v>0.22154006409676802</v>
      </c>
    </row>
    <row r="1135" spans="1:39" x14ac:dyDescent="0.25">
      <c r="A1135" t="s">
        <v>44</v>
      </c>
      <c r="B1135" t="s">
        <v>52</v>
      </c>
      <c r="C1135" s="121" t="s">
        <v>174</v>
      </c>
      <c r="D1135" t="s">
        <v>202</v>
      </c>
      <c r="E1135" t="s">
        <v>65</v>
      </c>
      <c r="F1135">
        <v>1</v>
      </c>
      <c r="G1135">
        <v>59</v>
      </c>
      <c r="H1135" s="86">
        <v>45972.676129305597</v>
      </c>
      <c r="I1135" s="86">
        <v>45972.781651273202</v>
      </c>
      <c r="J1135" s="87">
        <v>2.5325272222222202</v>
      </c>
      <c r="K1135" s="69" t="s">
        <v>274</v>
      </c>
      <c r="P1135" s="71" t="s">
        <v>275</v>
      </c>
      <c r="Q1135" s="88">
        <v>1.4653197731191E-2</v>
      </c>
      <c r="R1135" s="89" t="s">
        <v>276</v>
      </c>
      <c r="T1135">
        <v>8.6</v>
      </c>
      <c r="U1135" s="76">
        <v>0.2</v>
      </c>
      <c r="V1135">
        <v>9.5</v>
      </c>
      <c r="W1135" s="90">
        <v>0.1</v>
      </c>
      <c r="AG1135" s="91">
        <v>0</v>
      </c>
      <c r="AK1135" s="71">
        <v>0.15</v>
      </c>
      <c r="AL1135" s="88">
        <v>3.3231009614515201E-2</v>
      </c>
      <c r="AM1135" s="89">
        <f t="shared" si="17"/>
        <v>0.22154006409676802</v>
      </c>
    </row>
    <row r="1136" spans="1:39" x14ac:dyDescent="0.25">
      <c r="A1136" t="s">
        <v>44</v>
      </c>
      <c r="B1136" t="s">
        <v>52</v>
      </c>
      <c r="C1136" s="121" t="s">
        <v>174</v>
      </c>
      <c r="D1136" t="s">
        <v>202</v>
      </c>
      <c r="E1136" t="s">
        <v>65</v>
      </c>
      <c r="F1136">
        <v>1</v>
      </c>
      <c r="G1136">
        <v>60</v>
      </c>
      <c r="H1136" s="86">
        <v>45972.781651273202</v>
      </c>
      <c r="I1136" s="86">
        <v>45972.887178124998</v>
      </c>
      <c r="J1136" s="87">
        <v>2.53264444444445</v>
      </c>
      <c r="K1136" s="69" t="s">
        <v>274</v>
      </c>
      <c r="P1136" s="71" t="s">
        <v>275</v>
      </c>
      <c r="Q1136" s="88">
        <v>9.4075892086735204E-3</v>
      </c>
      <c r="R1136" s="89" t="s">
        <v>276</v>
      </c>
      <c r="T1136">
        <v>7</v>
      </c>
      <c r="U1136" s="76">
        <v>0.2</v>
      </c>
      <c r="V1136">
        <v>9.5</v>
      </c>
      <c r="W1136" s="90">
        <v>0.1</v>
      </c>
      <c r="AG1136" s="91">
        <v>0</v>
      </c>
      <c r="AK1136" s="71">
        <v>0.15</v>
      </c>
      <c r="AL1136" s="88">
        <v>3.3231009614515201E-2</v>
      </c>
      <c r="AM1136" s="89">
        <f t="shared" si="17"/>
        <v>0.22154006409676802</v>
      </c>
    </row>
    <row r="1137" spans="1:39" x14ac:dyDescent="0.25">
      <c r="A1137" t="s">
        <v>44</v>
      </c>
      <c r="B1137" t="s">
        <v>52</v>
      </c>
      <c r="C1137" s="121" t="s">
        <v>174</v>
      </c>
      <c r="D1137" t="s">
        <v>202</v>
      </c>
      <c r="E1137" t="s">
        <v>65</v>
      </c>
      <c r="F1137">
        <v>1</v>
      </c>
      <c r="G1137">
        <v>61</v>
      </c>
      <c r="H1137" s="86">
        <v>45972.887178124998</v>
      </c>
      <c r="I1137" s="86">
        <v>45972.9927067014</v>
      </c>
      <c r="J1137" s="87">
        <v>2.5326858333333302</v>
      </c>
      <c r="K1137" s="69" t="s">
        <v>274</v>
      </c>
      <c r="P1137" s="71" t="s">
        <v>275</v>
      </c>
      <c r="Q1137" s="88">
        <v>7.3000480147910503E-3</v>
      </c>
      <c r="R1137" s="89" t="s">
        <v>276</v>
      </c>
      <c r="T1137">
        <v>6.5</v>
      </c>
      <c r="U1137" s="76">
        <v>0.2</v>
      </c>
      <c r="V1137">
        <v>9.4</v>
      </c>
      <c r="W1137" s="90">
        <v>0.1</v>
      </c>
      <c r="AG1137" s="91">
        <v>0</v>
      </c>
      <c r="AK1137" s="71">
        <v>0.15</v>
      </c>
      <c r="AL1137" s="88">
        <v>3.3231009614515201E-2</v>
      </c>
      <c r="AM1137" s="89">
        <f t="shared" si="17"/>
        <v>0.22154006409676802</v>
      </c>
    </row>
    <row r="1138" spans="1:39" x14ac:dyDescent="0.25">
      <c r="A1138" t="s">
        <v>44</v>
      </c>
      <c r="B1138" t="s">
        <v>52</v>
      </c>
      <c r="C1138" s="121" t="s">
        <v>174</v>
      </c>
      <c r="D1138" t="s">
        <v>202</v>
      </c>
      <c r="E1138" t="s">
        <v>65</v>
      </c>
      <c r="F1138">
        <v>1</v>
      </c>
      <c r="G1138">
        <v>62</v>
      </c>
      <c r="H1138" s="86">
        <v>45972.9927067014</v>
      </c>
      <c r="I1138" s="86">
        <v>45973.098218958301</v>
      </c>
      <c r="J1138" s="87">
        <v>2.5322941666666701</v>
      </c>
      <c r="K1138" s="69" t="s">
        <v>274</v>
      </c>
      <c r="P1138" s="71" t="s">
        <v>275</v>
      </c>
      <c r="Q1138" s="88">
        <v>1.1704777856987401E-2</v>
      </c>
      <c r="R1138" s="89" t="s">
        <v>276</v>
      </c>
      <c r="T1138">
        <v>9.3000000000000007</v>
      </c>
      <c r="U1138" s="76">
        <v>0.2</v>
      </c>
      <c r="V1138">
        <v>9.3000000000000007</v>
      </c>
      <c r="W1138" s="90">
        <v>0.1</v>
      </c>
      <c r="AG1138" s="91">
        <v>0</v>
      </c>
      <c r="AK1138" s="71">
        <v>0.15</v>
      </c>
      <c r="AL1138" s="88">
        <v>3.3231009614515201E-2</v>
      </c>
      <c r="AM1138" s="89">
        <f t="shared" si="17"/>
        <v>0.22154006409676802</v>
      </c>
    </row>
    <row r="1139" spans="1:39" x14ac:dyDescent="0.25">
      <c r="A1139" t="s">
        <v>44</v>
      </c>
      <c r="B1139" t="s">
        <v>52</v>
      </c>
      <c r="C1139" s="121" t="s">
        <v>174</v>
      </c>
      <c r="D1139" t="s">
        <v>202</v>
      </c>
      <c r="E1139" t="s">
        <v>65</v>
      </c>
      <c r="F1139">
        <v>1</v>
      </c>
      <c r="G1139">
        <v>63</v>
      </c>
      <c r="H1139" s="86">
        <v>45973.098218958301</v>
      </c>
      <c r="I1139" s="86">
        <v>45973.2037512963</v>
      </c>
      <c r="J1139" s="87">
        <v>2.5327761111111098</v>
      </c>
      <c r="K1139" s="69" t="s">
        <v>274</v>
      </c>
      <c r="P1139" s="71" t="s">
        <v>275</v>
      </c>
      <c r="Q1139" s="88">
        <v>2.82878959397686E-2</v>
      </c>
      <c r="R1139" s="89" t="s">
        <v>276</v>
      </c>
      <c r="T1139">
        <v>9.3000000000000007</v>
      </c>
      <c r="U1139" s="76">
        <v>0.2</v>
      </c>
      <c r="V1139">
        <v>9.3000000000000007</v>
      </c>
      <c r="W1139" s="90">
        <v>0.1</v>
      </c>
      <c r="AG1139" s="91">
        <v>0</v>
      </c>
      <c r="AK1139" s="71">
        <v>0.15</v>
      </c>
      <c r="AL1139" s="88">
        <v>3.3231009614515201E-2</v>
      </c>
      <c r="AM1139" s="89">
        <f t="shared" si="17"/>
        <v>0.22154006409676802</v>
      </c>
    </row>
    <row r="1140" spans="1:39" x14ac:dyDescent="0.25">
      <c r="A1140" t="s">
        <v>44</v>
      </c>
      <c r="B1140" t="s">
        <v>52</v>
      </c>
      <c r="C1140" s="121" t="s">
        <v>174</v>
      </c>
      <c r="D1140" t="s">
        <v>202</v>
      </c>
      <c r="E1140" t="s">
        <v>65</v>
      </c>
      <c r="F1140">
        <v>1</v>
      </c>
      <c r="G1140">
        <v>64</v>
      </c>
      <c r="H1140" s="86">
        <v>45973.2037512963</v>
      </c>
      <c r="I1140" s="86">
        <v>45973.309270625003</v>
      </c>
      <c r="J1140" s="87">
        <v>2.53246388888889</v>
      </c>
      <c r="K1140" s="69" t="s">
        <v>274</v>
      </c>
      <c r="P1140" s="71" t="s">
        <v>275</v>
      </c>
      <c r="Q1140" s="88">
        <v>2.7684422956356699E-2</v>
      </c>
      <c r="R1140" s="89" t="s">
        <v>276</v>
      </c>
      <c r="T1140">
        <v>9</v>
      </c>
      <c r="U1140" s="76">
        <v>0.2</v>
      </c>
      <c r="V1140">
        <v>9.4</v>
      </c>
      <c r="W1140" s="90">
        <v>0.1</v>
      </c>
      <c r="AG1140" s="91">
        <v>0</v>
      </c>
      <c r="AK1140" s="71">
        <v>0.15</v>
      </c>
      <c r="AL1140" s="88">
        <v>3.3231009614515201E-2</v>
      </c>
      <c r="AM1140" s="89">
        <f t="shared" si="17"/>
        <v>0.22154006409676802</v>
      </c>
    </row>
    <row r="1141" spans="1:39" x14ac:dyDescent="0.25">
      <c r="A1141" t="s">
        <v>44</v>
      </c>
      <c r="B1141" t="s">
        <v>52</v>
      </c>
      <c r="C1141" s="121" t="s">
        <v>174</v>
      </c>
      <c r="D1141" t="s">
        <v>202</v>
      </c>
      <c r="E1141" t="s">
        <v>65</v>
      </c>
      <c r="F1141">
        <v>1</v>
      </c>
      <c r="G1141">
        <v>65</v>
      </c>
      <c r="H1141" s="86">
        <v>45973.309270625003</v>
      </c>
      <c r="I1141" s="86">
        <v>45973.414809363399</v>
      </c>
      <c r="J1141" s="87">
        <v>2.53292972222222</v>
      </c>
      <c r="K1141" s="69" t="s">
        <v>274</v>
      </c>
      <c r="P1141" s="71" t="s">
        <v>275</v>
      </c>
      <c r="Q1141" s="88">
        <v>3.0371225291262498E-2</v>
      </c>
      <c r="R1141" s="89" t="s">
        <v>276</v>
      </c>
      <c r="T1141">
        <v>9</v>
      </c>
      <c r="U1141" s="76">
        <v>0.2</v>
      </c>
      <c r="V1141">
        <v>9.4</v>
      </c>
      <c r="W1141" s="90">
        <v>0.1</v>
      </c>
      <c r="AG1141" s="91">
        <v>0</v>
      </c>
      <c r="AK1141" s="71">
        <v>0.15</v>
      </c>
      <c r="AL1141" s="88">
        <v>3.3231009614515201E-2</v>
      </c>
      <c r="AM1141" s="89">
        <f t="shared" si="17"/>
        <v>0.22154006409676802</v>
      </c>
    </row>
    <row r="1142" spans="1:39" x14ac:dyDescent="0.25">
      <c r="A1142" t="s">
        <v>44</v>
      </c>
      <c r="B1142" t="s">
        <v>52</v>
      </c>
      <c r="C1142" s="121" t="s">
        <v>174</v>
      </c>
      <c r="D1142" t="s">
        <v>203</v>
      </c>
      <c r="E1142" t="s">
        <v>65</v>
      </c>
      <c r="F1142">
        <v>2</v>
      </c>
      <c r="G1142">
        <v>1</v>
      </c>
      <c r="H1142" s="86">
        <v>45966.519604074099</v>
      </c>
      <c r="I1142" s="86">
        <v>45966.562447569399</v>
      </c>
      <c r="J1142" s="87">
        <v>1.0282438888888901</v>
      </c>
      <c r="K1142" s="69" t="s">
        <v>274</v>
      </c>
      <c r="P1142" s="71" t="s">
        <v>275</v>
      </c>
      <c r="Q1142" s="88">
        <v>5.84242184216552E-3</v>
      </c>
      <c r="R1142" s="89" t="s">
        <v>276</v>
      </c>
      <c r="T1142">
        <v>12.8</v>
      </c>
      <c r="U1142" s="76">
        <v>0.2</v>
      </c>
      <c r="V1142">
        <v>10.8</v>
      </c>
      <c r="W1142" s="90">
        <v>0.1</v>
      </c>
      <c r="AG1142" s="91">
        <v>0</v>
      </c>
      <c r="AK1142" s="71">
        <v>0.15</v>
      </c>
      <c r="AL1142" s="88">
        <v>3.3608034753612098E-2</v>
      </c>
      <c r="AM1142" s="89">
        <f t="shared" si="17"/>
        <v>0.22405356502408066</v>
      </c>
    </row>
    <row r="1143" spans="1:39" x14ac:dyDescent="0.25">
      <c r="A1143" t="s">
        <v>44</v>
      </c>
      <c r="B1143" t="s">
        <v>52</v>
      </c>
      <c r="C1143" s="121" t="s">
        <v>174</v>
      </c>
      <c r="D1143" t="s">
        <v>203</v>
      </c>
      <c r="E1143" t="s">
        <v>65</v>
      </c>
      <c r="F1143">
        <v>2</v>
      </c>
      <c r="G1143">
        <v>2</v>
      </c>
      <c r="H1143" s="86">
        <v>45966.562447569399</v>
      </c>
      <c r="I1143" s="86">
        <v>45966.6730167477</v>
      </c>
      <c r="J1143" s="87">
        <v>2.6536602777777798</v>
      </c>
      <c r="K1143" s="69" t="s">
        <v>274</v>
      </c>
      <c r="P1143" s="71" t="s">
        <v>275</v>
      </c>
      <c r="Q1143" s="88">
        <v>1.5364137335069E-2</v>
      </c>
      <c r="R1143" s="89" t="s">
        <v>276</v>
      </c>
      <c r="T1143">
        <v>13</v>
      </c>
      <c r="U1143" s="76">
        <v>0.2</v>
      </c>
      <c r="V1143">
        <v>10.9</v>
      </c>
      <c r="W1143" s="90">
        <v>0.1</v>
      </c>
      <c r="AG1143" s="91">
        <v>0</v>
      </c>
      <c r="AK1143" s="71">
        <v>0.15</v>
      </c>
      <c r="AL1143" s="88">
        <v>3.3608034753612098E-2</v>
      </c>
      <c r="AM1143" s="89">
        <f t="shared" si="17"/>
        <v>0.22405356502408066</v>
      </c>
    </row>
    <row r="1144" spans="1:39" x14ac:dyDescent="0.25">
      <c r="A1144" t="s">
        <v>44</v>
      </c>
      <c r="B1144" t="s">
        <v>52</v>
      </c>
      <c r="C1144" s="121" t="s">
        <v>174</v>
      </c>
      <c r="D1144" t="s">
        <v>203</v>
      </c>
      <c r="E1144" t="s">
        <v>65</v>
      </c>
      <c r="F1144">
        <v>2</v>
      </c>
      <c r="G1144">
        <v>3</v>
      </c>
      <c r="H1144" s="86">
        <v>45966.6730167477</v>
      </c>
      <c r="I1144" s="86">
        <v>45966.778543911998</v>
      </c>
      <c r="J1144" s="87">
        <v>2.53265194444444</v>
      </c>
      <c r="K1144" s="69" t="s">
        <v>274</v>
      </c>
      <c r="P1144" s="71" t="s">
        <v>275</v>
      </c>
      <c r="Q1144" s="88">
        <v>2.6948830278020901E-2</v>
      </c>
      <c r="R1144" s="89" t="s">
        <v>276</v>
      </c>
      <c r="T1144">
        <v>12.1</v>
      </c>
      <c r="U1144" s="76">
        <v>0.2</v>
      </c>
      <c r="V1144">
        <v>11</v>
      </c>
      <c r="W1144" s="90">
        <v>0.1</v>
      </c>
      <c r="AG1144" s="91">
        <v>0</v>
      </c>
      <c r="AK1144" s="71">
        <v>0.15</v>
      </c>
      <c r="AL1144" s="88">
        <v>3.3608034753612098E-2</v>
      </c>
      <c r="AM1144" s="89">
        <f t="shared" si="17"/>
        <v>0.22405356502408066</v>
      </c>
    </row>
    <row r="1145" spans="1:39" x14ac:dyDescent="0.25">
      <c r="A1145" t="s">
        <v>44</v>
      </c>
      <c r="B1145" t="s">
        <v>52</v>
      </c>
      <c r="C1145" s="121" t="s">
        <v>174</v>
      </c>
      <c r="D1145" t="s">
        <v>203</v>
      </c>
      <c r="E1145" t="s">
        <v>65</v>
      </c>
      <c r="F1145">
        <v>2</v>
      </c>
      <c r="G1145">
        <v>4</v>
      </c>
      <c r="H1145" s="86">
        <v>45966.778543911998</v>
      </c>
      <c r="I1145" s="86">
        <v>45966.884057615702</v>
      </c>
      <c r="J1145" s="87">
        <v>2.5323288888888902</v>
      </c>
      <c r="K1145" s="69" t="s">
        <v>274</v>
      </c>
      <c r="P1145" s="71" t="s">
        <v>275</v>
      </c>
      <c r="Q1145" s="88">
        <v>2.3258401564595601E-2</v>
      </c>
      <c r="R1145" s="89" t="s">
        <v>276</v>
      </c>
      <c r="T1145">
        <v>10.5</v>
      </c>
      <c r="U1145" s="76">
        <v>0.2</v>
      </c>
      <c r="V1145">
        <v>11.1</v>
      </c>
      <c r="W1145" s="90">
        <v>0.1</v>
      </c>
      <c r="AG1145" s="91">
        <v>0</v>
      </c>
      <c r="AK1145" s="71">
        <v>0.15</v>
      </c>
      <c r="AL1145" s="88">
        <v>3.3608034753612098E-2</v>
      </c>
      <c r="AM1145" s="89">
        <f t="shared" si="17"/>
        <v>0.22405356502408066</v>
      </c>
    </row>
    <row r="1146" spans="1:39" x14ac:dyDescent="0.25">
      <c r="A1146" t="s">
        <v>44</v>
      </c>
      <c r="B1146" t="s">
        <v>52</v>
      </c>
      <c r="C1146" s="121" t="s">
        <v>174</v>
      </c>
      <c r="D1146" t="s">
        <v>203</v>
      </c>
      <c r="E1146" t="s">
        <v>65</v>
      </c>
      <c r="F1146">
        <v>2</v>
      </c>
      <c r="G1146">
        <v>5</v>
      </c>
      <c r="H1146" s="86">
        <v>45966.884057615702</v>
      </c>
      <c r="I1146" s="86">
        <v>45966.989589525503</v>
      </c>
      <c r="J1146" s="87">
        <v>2.5327658333333298</v>
      </c>
      <c r="K1146" s="69" t="s">
        <v>274</v>
      </c>
      <c r="P1146" s="71" t="s">
        <v>275</v>
      </c>
      <c r="Q1146" s="88">
        <v>3.1782911691546997E-2</v>
      </c>
      <c r="R1146" s="89" t="s">
        <v>276</v>
      </c>
      <c r="T1146">
        <v>10.7</v>
      </c>
      <c r="U1146" s="76">
        <v>0.2</v>
      </c>
      <c r="V1146">
        <v>11</v>
      </c>
      <c r="W1146" s="90">
        <v>0.1</v>
      </c>
      <c r="AG1146" s="91">
        <v>0</v>
      </c>
      <c r="AK1146" s="71">
        <v>0.15</v>
      </c>
      <c r="AL1146" s="88">
        <v>3.3608034753612098E-2</v>
      </c>
      <c r="AM1146" s="89">
        <f t="shared" si="17"/>
        <v>0.22405356502408066</v>
      </c>
    </row>
    <row r="1147" spans="1:39" x14ac:dyDescent="0.25">
      <c r="A1147" t="s">
        <v>44</v>
      </c>
      <c r="B1147" t="s">
        <v>52</v>
      </c>
      <c r="C1147" s="121" t="s">
        <v>174</v>
      </c>
      <c r="D1147" t="s">
        <v>203</v>
      </c>
      <c r="E1147" t="s">
        <v>65</v>
      </c>
      <c r="F1147">
        <v>2</v>
      </c>
      <c r="G1147">
        <v>6</v>
      </c>
      <c r="H1147" s="86">
        <v>45966.989589525503</v>
      </c>
      <c r="I1147" s="86">
        <v>45967.095122881998</v>
      </c>
      <c r="J1147" s="87">
        <v>2.5328005555555602</v>
      </c>
      <c r="K1147" s="69" t="s">
        <v>274</v>
      </c>
      <c r="P1147" s="71" t="s">
        <v>275</v>
      </c>
      <c r="Q1147" s="88">
        <v>2.68458454147864E-2</v>
      </c>
      <c r="R1147" s="89" t="s">
        <v>276</v>
      </c>
      <c r="T1147">
        <v>10.6</v>
      </c>
      <c r="U1147" s="76">
        <v>0.2</v>
      </c>
      <c r="V1147">
        <v>11</v>
      </c>
      <c r="W1147" s="90">
        <v>0.1</v>
      </c>
      <c r="AG1147" s="91">
        <v>0.1</v>
      </c>
      <c r="AK1147" s="71">
        <v>0.15</v>
      </c>
      <c r="AL1147" s="88">
        <v>3.3608034753612098E-2</v>
      </c>
      <c r="AM1147" s="89">
        <f t="shared" si="17"/>
        <v>0.22405356502408066</v>
      </c>
    </row>
    <row r="1148" spans="1:39" x14ac:dyDescent="0.25">
      <c r="A1148" t="s">
        <v>44</v>
      </c>
      <c r="B1148" t="s">
        <v>52</v>
      </c>
      <c r="C1148" s="121" t="s">
        <v>174</v>
      </c>
      <c r="D1148" t="s">
        <v>203</v>
      </c>
      <c r="E1148" t="s">
        <v>65</v>
      </c>
      <c r="F1148">
        <v>2</v>
      </c>
      <c r="G1148">
        <v>7</v>
      </c>
      <c r="H1148" s="86">
        <v>45967.095122881998</v>
      </c>
      <c r="I1148" s="86">
        <v>45967.200650613398</v>
      </c>
      <c r="J1148" s="87">
        <v>2.5326655555555599</v>
      </c>
      <c r="K1148" s="69" t="s">
        <v>274</v>
      </c>
      <c r="P1148" s="71" t="s">
        <v>275</v>
      </c>
      <c r="Q1148" s="88">
        <v>3.0020062327026802E-2</v>
      </c>
      <c r="R1148" s="89" t="s">
        <v>276</v>
      </c>
      <c r="T1148">
        <v>10.4</v>
      </c>
      <c r="U1148" s="76">
        <v>0.2</v>
      </c>
      <c r="V1148">
        <v>11</v>
      </c>
      <c r="W1148" s="90">
        <v>0.1</v>
      </c>
      <c r="AG1148" s="91">
        <v>0</v>
      </c>
      <c r="AK1148" s="71">
        <v>0.15</v>
      </c>
      <c r="AL1148" s="88">
        <v>3.3608034753612098E-2</v>
      </c>
      <c r="AM1148" s="89">
        <f t="shared" si="17"/>
        <v>0.22405356502408066</v>
      </c>
    </row>
    <row r="1149" spans="1:39" x14ac:dyDescent="0.25">
      <c r="A1149" t="s">
        <v>44</v>
      </c>
      <c r="B1149" t="s">
        <v>52</v>
      </c>
      <c r="C1149" s="121" t="s">
        <v>174</v>
      </c>
      <c r="D1149" t="s">
        <v>203</v>
      </c>
      <c r="E1149" t="s">
        <v>65</v>
      </c>
      <c r="F1149">
        <v>2</v>
      </c>
      <c r="G1149">
        <v>8</v>
      </c>
      <c r="H1149" s="86">
        <v>45967.200650613398</v>
      </c>
      <c r="I1149" s="86">
        <v>45967.306175763901</v>
      </c>
      <c r="J1149" s="87">
        <v>2.5326036111111101</v>
      </c>
      <c r="K1149" s="69" t="s">
        <v>274</v>
      </c>
      <c r="P1149" s="71" t="s">
        <v>275</v>
      </c>
      <c r="Q1149" s="88">
        <v>3.1326956057346499E-2</v>
      </c>
      <c r="R1149" s="89" t="s">
        <v>276</v>
      </c>
      <c r="T1149">
        <v>10.3</v>
      </c>
      <c r="U1149" s="76">
        <v>0.2</v>
      </c>
      <c r="V1149">
        <v>10.9</v>
      </c>
      <c r="W1149" s="90">
        <v>0.1</v>
      </c>
      <c r="AG1149" s="91">
        <v>0</v>
      </c>
      <c r="AK1149" s="71">
        <v>0.15</v>
      </c>
      <c r="AL1149" s="88">
        <v>3.3608034753612098E-2</v>
      </c>
      <c r="AM1149" s="89">
        <f t="shared" si="17"/>
        <v>0.22405356502408066</v>
      </c>
    </row>
    <row r="1150" spans="1:39" x14ac:dyDescent="0.25">
      <c r="A1150" t="s">
        <v>44</v>
      </c>
      <c r="B1150" t="s">
        <v>52</v>
      </c>
      <c r="C1150" s="121" t="s">
        <v>174</v>
      </c>
      <c r="D1150" t="s">
        <v>203</v>
      </c>
      <c r="E1150" t="s">
        <v>65</v>
      </c>
      <c r="F1150">
        <v>2</v>
      </c>
      <c r="G1150">
        <v>9</v>
      </c>
      <c r="H1150" s="86">
        <v>45967.306175763901</v>
      </c>
      <c r="I1150" s="86">
        <v>45967.411713020803</v>
      </c>
      <c r="J1150" s="87">
        <v>2.53289416666667</v>
      </c>
      <c r="K1150" s="69" t="s">
        <v>274</v>
      </c>
      <c r="P1150" s="71" t="s">
        <v>275</v>
      </c>
      <c r="Q1150" s="88">
        <v>2.7397459973138E-2</v>
      </c>
      <c r="R1150" s="89" t="s">
        <v>276</v>
      </c>
      <c r="T1150">
        <v>9.5</v>
      </c>
      <c r="U1150" s="76">
        <v>0.2</v>
      </c>
      <c r="V1150">
        <v>10.9</v>
      </c>
      <c r="W1150" s="90">
        <v>0.1</v>
      </c>
      <c r="AG1150" s="91">
        <v>0</v>
      </c>
      <c r="AK1150" s="71">
        <v>0.15</v>
      </c>
      <c r="AL1150" s="88">
        <v>3.3608034753612098E-2</v>
      </c>
      <c r="AM1150" s="89">
        <f t="shared" si="17"/>
        <v>0.22405356502408066</v>
      </c>
    </row>
    <row r="1151" spans="1:39" x14ac:dyDescent="0.25">
      <c r="A1151" t="s">
        <v>44</v>
      </c>
      <c r="B1151" t="s">
        <v>52</v>
      </c>
      <c r="C1151" s="121" t="s">
        <v>174</v>
      </c>
      <c r="D1151" t="s">
        <v>203</v>
      </c>
      <c r="E1151" t="s">
        <v>65</v>
      </c>
      <c r="F1151">
        <v>2</v>
      </c>
      <c r="G1151">
        <v>10</v>
      </c>
      <c r="H1151" s="86">
        <v>45967.411713020803</v>
      </c>
      <c r="I1151" s="86">
        <v>45967.517225682903</v>
      </c>
      <c r="J1151" s="87">
        <v>2.5323038888888898</v>
      </c>
      <c r="K1151" s="69" t="s">
        <v>274</v>
      </c>
      <c r="P1151" s="71" t="s">
        <v>275</v>
      </c>
      <c r="Q1151" s="88">
        <v>6.8740337814824096E-2</v>
      </c>
      <c r="R1151" s="89" t="s">
        <v>276</v>
      </c>
      <c r="T1151">
        <v>13.3</v>
      </c>
      <c r="U1151" s="76">
        <v>0.2</v>
      </c>
      <c r="V1151">
        <v>10.8</v>
      </c>
      <c r="W1151" s="90">
        <v>0.1</v>
      </c>
      <c r="AG1151" s="91">
        <v>0</v>
      </c>
      <c r="AK1151" s="71">
        <v>0.15</v>
      </c>
      <c r="AL1151" s="88">
        <v>3.3608034753612098E-2</v>
      </c>
      <c r="AM1151" s="89">
        <f t="shared" si="17"/>
        <v>0.22405356502408066</v>
      </c>
    </row>
    <row r="1152" spans="1:39" x14ac:dyDescent="0.25">
      <c r="A1152" t="s">
        <v>44</v>
      </c>
      <c r="B1152" t="s">
        <v>52</v>
      </c>
      <c r="C1152" s="121" t="s">
        <v>174</v>
      </c>
      <c r="D1152" t="s">
        <v>203</v>
      </c>
      <c r="E1152" t="s">
        <v>65</v>
      </c>
      <c r="F1152">
        <v>2</v>
      </c>
      <c r="G1152">
        <v>11</v>
      </c>
      <c r="H1152" s="86">
        <v>45967.517225682903</v>
      </c>
      <c r="I1152" s="86">
        <v>45967.622762048602</v>
      </c>
      <c r="J1152" s="87">
        <v>2.5328727777777802</v>
      </c>
      <c r="K1152" s="69" t="s">
        <v>274</v>
      </c>
      <c r="P1152" s="71" t="s">
        <v>275</v>
      </c>
      <c r="Q1152" s="88">
        <v>8.58491275615543E-2</v>
      </c>
      <c r="R1152" s="89" t="s">
        <v>276</v>
      </c>
      <c r="T1152">
        <v>14.4</v>
      </c>
      <c r="U1152" s="76">
        <v>0.2</v>
      </c>
      <c r="V1152">
        <v>10.9</v>
      </c>
      <c r="W1152" s="90">
        <v>0.1</v>
      </c>
      <c r="AG1152" s="91">
        <v>0</v>
      </c>
      <c r="AK1152" s="71">
        <v>0.15</v>
      </c>
      <c r="AL1152" s="88">
        <v>3.3608034753612098E-2</v>
      </c>
      <c r="AM1152" s="89">
        <f t="shared" si="17"/>
        <v>0.22405356502408066</v>
      </c>
    </row>
    <row r="1153" spans="1:39" x14ac:dyDescent="0.25">
      <c r="A1153" t="s">
        <v>44</v>
      </c>
      <c r="B1153" t="s">
        <v>52</v>
      </c>
      <c r="C1153" s="121" t="s">
        <v>174</v>
      </c>
      <c r="D1153" t="s">
        <v>203</v>
      </c>
      <c r="E1153" t="s">
        <v>65</v>
      </c>
      <c r="F1153">
        <v>2</v>
      </c>
      <c r="G1153">
        <v>12</v>
      </c>
      <c r="H1153" s="86">
        <v>45967.622762048602</v>
      </c>
      <c r="I1153" s="86">
        <v>45967.728287604201</v>
      </c>
      <c r="J1153" s="87">
        <v>2.5326133333333298</v>
      </c>
      <c r="K1153" s="69" t="s">
        <v>274</v>
      </c>
      <c r="P1153" s="71" t="s">
        <v>275</v>
      </c>
      <c r="Q1153" s="88">
        <v>4.3309595926866597E-2</v>
      </c>
      <c r="R1153" s="89" t="s">
        <v>276</v>
      </c>
      <c r="T1153">
        <v>12.7</v>
      </c>
      <c r="U1153" s="76">
        <v>0.2</v>
      </c>
      <c r="V1153">
        <v>11.2</v>
      </c>
      <c r="W1153" s="90">
        <v>0.1</v>
      </c>
      <c r="AG1153" s="91">
        <v>0</v>
      </c>
      <c r="AK1153" s="71">
        <v>0.15</v>
      </c>
      <c r="AL1153" s="88">
        <v>3.3608034753612098E-2</v>
      </c>
      <c r="AM1153" s="89">
        <f t="shared" si="17"/>
        <v>0.22405356502408066</v>
      </c>
    </row>
    <row r="1154" spans="1:39" x14ac:dyDescent="0.25">
      <c r="A1154" t="s">
        <v>44</v>
      </c>
      <c r="B1154" t="s">
        <v>52</v>
      </c>
      <c r="C1154" s="121" t="s">
        <v>174</v>
      </c>
      <c r="D1154" t="s">
        <v>203</v>
      </c>
      <c r="E1154" t="s">
        <v>65</v>
      </c>
      <c r="F1154">
        <v>2</v>
      </c>
      <c r="G1154">
        <v>13</v>
      </c>
      <c r="H1154" s="86">
        <v>45967.728287604201</v>
      </c>
      <c r="I1154" s="86">
        <v>45967.833804016198</v>
      </c>
      <c r="J1154" s="87">
        <v>2.5323938888888899</v>
      </c>
      <c r="K1154" s="69" t="s">
        <v>274</v>
      </c>
      <c r="P1154" s="71" t="s">
        <v>275</v>
      </c>
      <c r="Q1154" s="88">
        <v>1.86037721167144E-2</v>
      </c>
      <c r="R1154" s="89" t="s">
        <v>276</v>
      </c>
      <c r="T1154">
        <v>9.8000000000000007</v>
      </c>
      <c r="U1154" s="76">
        <v>0.2</v>
      </c>
      <c r="V1154">
        <v>11.2</v>
      </c>
      <c r="W1154" s="90">
        <v>0.1</v>
      </c>
      <c r="AG1154" s="91">
        <v>0</v>
      </c>
      <c r="AK1154" s="71">
        <v>0.15</v>
      </c>
      <c r="AL1154" s="88">
        <v>3.3608034753612098E-2</v>
      </c>
      <c r="AM1154" s="89">
        <f t="shared" si="17"/>
        <v>0.22405356502408066</v>
      </c>
    </row>
    <row r="1155" spans="1:39" x14ac:dyDescent="0.25">
      <c r="A1155" t="s">
        <v>44</v>
      </c>
      <c r="B1155" t="s">
        <v>52</v>
      </c>
      <c r="C1155" s="121" t="s">
        <v>174</v>
      </c>
      <c r="D1155" t="s">
        <v>203</v>
      </c>
      <c r="E1155" t="s">
        <v>65</v>
      </c>
      <c r="F1155">
        <v>2</v>
      </c>
      <c r="G1155">
        <v>14</v>
      </c>
      <c r="H1155" s="86">
        <v>45967.833804016198</v>
      </c>
      <c r="I1155" s="86">
        <v>45967.939322824102</v>
      </c>
      <c r="J1155" s="87">
        <v>2.53245138888889</v>
      </c>
      <c r="K1155" s="69" t="s">
        <v>274</v>
      </c>
      <c r="P1155" s="71" t="s">
        <v>275</v>
      </c>
      <c r="Q1155" s="88">
        <v>1.18324758477332E-2</v>
      </c>
      <c r="R1155" s="89" t="s">
        <v>276</v>
      </c>
      <c r="T1155">
        <v>6.7</v>
      </c>
      <c r="U1155" s="76">
        <v>0.2</v>
      </c>
      <c r="V1155">
        <v>11</v>
      </c>
      <c r="W1155" s="90">
        <v>0.1</v>
      </c>
      <c r="AG1155" s="91">
        <v>0</v>
      </c>
      <c r="AK1155" s="71">
        <v>0.15</v>
      </c>
      <c r="AL1155" s="88">
        <v>3.3608034753612098E-2</v>
      </c>
      <c r="AM1155" s="89">
        <f t="shared" si="17"/>
        <v>0.22405356502408066</v>
      </c>
    </row>
    <row r="1156" spans="1:39" x14ac:dyDescent="0.25">
      <c r="A1156" t="s">
        <v>44</v>
      </c>
      <c r="B1156" t="s">
        <v>52</v>
      </c>
      <c r="C1156" s="121" t="s">
        <v>174</v>
      </c>
      <c r="D1156" t="s">
        <v>203</v>
      </c>
      <c r="E1156" t="s">
        <v>65</v>
      </c>
      <c r="F1156">
        <v>2</v>
      </c>
      <c r="G1156">
        <v>15</v>
      </c>
      <c r="H1156" s="86">
        <v>45967.939322824102</v>
      </c>
      <c r="I1156" s="86">
        <v>45968.044844687502</v>
      </c>
      <c r="J1156" s="87">
        <v>2.5325247222222198</v>
      </c>
      <c r="K1156" s="69" t="s">
        <v>274</v>
      </c>
      <c r="P1156" s="71" t="s">
        <v>275</v>
      </c>
      <c r="Q1156" s="88">
        <v>1.4055537350885701E-2</v>
      </c>
      <c r="R1156" s="89" t="s">
        <v>276</v>
      </c>
      <c r="T1156">
        <v>7.1</v>
      </c>
      <c r="U1156" s="76">
        <v>0.2</v>
      </c>
      <c r="V1156">
        <v>10.7</v>
      </c>
      <c r="W1156" s="90">
        <v>0.1</v>
      </c>
      <c r="AG1156" s="91">
        <v>0</v>
      </c>
      <c r="AK1156" s="71">
        <v>0.15</v>
      </c>
      <c r="AL1156" s="88">
        <v>3.3608034753612098E-2</v>
      </c>
      <c r="AM1156" s="89">
        <f t="shared" si="17"/>
        <v>0.22405356502408066</v>
      </c>
    </row>
    <row r="1157" spans="1:39" x14ac:dyDescent="0.25">
      <c r="A1157" t="s">
        <v>44</v>
      </c>
      <c r="B1157" t="s">
        <v>52</v>
      </c>
      <c r="C1157" s="121" t="s">
        <v>174</v>
      </c>
      <c r="D1157" t="s">
        <v>203</v>
      </c>
      <c r="E1157" t="s">
        <v>65</v>
      </c>
      <c r="F1157">
        <v>2</v>
      </c>
      <c r="G1157">
        <v>16</v>
      </c>
      <c r="H1157" s="86">
        <v>45968.044844687502</v>
      </c>
      <c r="I1157" s="86">
        <v>45968.150389398201</v>
      </c>
      <c r="J1157" s="87">
        <v>2.5330730555555601</v>
      </c>
      <c r="K1157" s="69" t="s">
        <v>274</v>
      </c>
      <c r="P1157" s="71" t="s">
        <v>275</v>
      </c>
      <c r="Q1157" s="88">
        <v>1.2896914202726199E-2</v>
      </c>
      <c r="R1157" s="89" t="s">
        <v>276</v>
      </c>
      <c r="T1157">
        <v>5.9</v>
      </c>
      <c r="U1157" s="76">
        <v>0.2</v>
      </c>
      <c r="V1157">
        <v>10.5</v>
      </c>
      <c r="W1157" s="90">
        <v>0.1</v>
      </c>
      <c r="AG1157" s="91">
        <v>0</v>
      </c>
      <c r="AK1157" s="71">
        <v>0.15</v>
      </c>
      <c r="AL1157" s="88">
        <v>3.3608034753612098E-2</v>
      </c>
      <c r="AM1157" s="89">
        <f t="shared" ref="AM1157:AM1220" si="18">AL1157/AK1157</f>
        <v>0.22405356502408066</v>
      </c>
    </row>
    <row r="1158" spans="1:39" x14ac:dyDescent="0.25">
      <c r="A1158" t="s">
        <v>44</v>
      </c>
      <c r="B1158" t="s">
        <v>52</v>
      </c>
      <c r="C1158" s="121" t="s">
        <v>174</v>
      </c>
      <c r="D1158" t="s">
        <v>203</v>
      </c>
      <c r="E1158" t="s">
        <v>65</v>
      </c>
      <c r="F1158">
        <v>2</v>
      </c>
      <c r="G1158">
        <v>17</v>
      </c>
      <c r="H1158" s="86">
        <v>45968.150389398201</v>
      </c>
      <c r="I1158" s="86">
        <v>45968.255900983801</v>
      </c>
      <c r="J1158" s="87">
        <v>2.53227805555556</v>
      </c>
      <c r="K1158" s="69" t="s">
        <v>274</v>
      </c>
      <c r="P1158" s="71" t="s">
        <v>275</v>
      </c>
      <c r="Q1158" s="88">
        <v>7.6996997056056398E-3</v>
      </c>
      <c r="R1158" s="89" t="s">
        <v>276</v>
      </c>
      <c r="T1158">
        <v>4</v>
      </c>
      <c r="U1158" s="76">
        <v>0.2</v>
      </c>
      <c r="V1158">
        <v>10.199999999999999</v>
      </c>
      <c r="W1158" s="90">
        <v>0.1</v>
      </c>
      <c r="AG1158" s="91">
        <v>0</v>
      </c>
      <c r="AK1158" s="71">
        <v>0.15</v>
      </c>
      <c r="AL1158" s="88">
        <v>3.3608034753612098E-2</v>
      </c>
      <c r="AM1158" s="89">
        <f t="shared" si="18"/>
        <v>0.22405356502408066</v>
      </c>
    </row>
    <row r="1159" spans="1:39" x14ac:dyDescent="0.25">
      <c r="A1159" t="s">
        <v>44</v>
      </c>
      <c r="B1159" t="s">
        <v>52</v>
      </c>
      <c r="C1159" s="121" t="s">
        <v>174</v>
      </c>
      <c r="D1159" t="s">
        <v>203</v>
      </c>
      <c r="E1159" t="s">
        <v>65</v>
      </c>
      <c r="F1159">
        <v>2</v>
      </c>
      <c r="G1159">
        <v>18</v>
      </c>
      <c r="H1159" s="86">
        <v>45968.255900983801</v>
      </c>
      <c r="I1159" s="86">
        <v>45968.3614266898</v>
      </c>
      <c r="J1159" s="87">
        <v>2.53261694444444</v>
      </c>
      <c r="K1159" s="69" t="s">
        <v>274</v>
      </c>
      <c r="P1159" s="71" t="s">
        <v>275</v>
      </c>
      <c r="Q1159" s="88">
        <v>6.7418035007171901E-3</v>
      </c>
      <c r="R1159" s="89" t="s">
        <v>276</v>
      </c>
      <c r="T1159">
        <v>5.7</v>
      </c>
      <c r="U1159" s="76">
        <v>0.2</v>
      </c>
      <c r="V1159">
        <v>10</v>
      </c>
      <c r="W1159" s="90">
        <v>0.1</v>
      </c>
      <c r="AG1159" s="91">
        <v>0</v>
      </c>
      <c r="AK1159" s="71">
        <v>0.15</v>
      </c>
      <c r="AL1159" s="88">
        <v>3.3608034753612098E-2</v>
      </c>
      <c r="AM1159" s="89">
        <f t="shared" si="18"/>
        <v>0.22405356502408066</v>
      </c>
    </row>
    <row r="1160" spans="1:39" x14ac:dyDescent="0.25">
      <c r="A1160" t="s">
        <v>44</v>
      </c>
      <c r="B1160" t="s">
        <v>52</v>
      </c>
      <c r="C1160" s="121" t="s">
        <v>174</v>
      </c>
      <c r="D1160" t="s">
        <v>203</v>
      </c>
      <c r="E1160" t="s">
        <v>65</v>
      </c>
      <c r="F1160">
        <v>2</v>
      </c>
      <c r="G1160">
        <v>19</v>
      </c>
      <c r="H1160" s="86">
        <v>45968.3614266898</v>
      </c>
      <c r="I1160" s="86">
        <v>45968.466952280098</v>
      </c>
      <c r="J1160" s="87">
        <v>2.5326141666666699</v>
      </c>
      <c r="K1160" s="69" t="s">
        <v>274</v>
      </c>
      <c r="P1160" s="71" t="s">
        <v>275</v>
      </c>
      <c r="Q1160" s="88">
        <v>8.4111833821708601E-3</v>
      </c>
      <c r="R1160" s="89" t="s">
        <v>276</v>
      </c>
      <c r="T1160">
        <v>7.7</v>
      </c>
      <c r="U1160" s="76">
        <v>0.2</v>
      </c>
      <c r="V1160">
        <v>9.8000000000000007</v>
      </c>
      <c r="W1160" s="90">
        <v>0.1</v>
      </c>
      <c r="AG1160" s="91">
        <v>0</v>
      </c>
      <c r="AK1160" s="71">
        <v>0.15</v>
      </c>
      <c r="AL1160" s="88">
        <v>3.3608034753612098E-2</v>
      </c>
      <c r="AM1160" s="89">
        <f t="shared" si="18"/>
        <v>0.22405356502408066</v>
      </c>
    </row>
    <row r="1161" spans="1:39" x14ac:dyDescent="0.25">
      <c r="A1161" t="s">
        <v>44</v>
      </c>
      <c r="B1161" t="s">
        <v>52</v>
      </c>
      <c r="C1161" s="121" t="s">
        <v>174</v>
      </c>
      <c r="D1161" t="s">
        <v>203</v>
      </c>
      <c r="E1161" t="s">
        <v>65</v>
      </c>
      <c r="F1161">
        <v>2</v>
      </c>
      <c r="G1161">
        <v>20</v>
      </c>
      <c r="H1161" s="86">
        <v>45968.466952280098</v>
      </c>
      <c r="I1161" s="86">
        <v>45968.572466342601</v>
      </c>
      <c r="J1161" s="87">
        <v>2.5323375000000001</v>
      </c>
      <c r="K1161" s="69" t="s">
        <v>274</v>
      </c>
      <c r="P1161" s="71" t="s">
        <v>275</v>
      </c>
      <c r="Q1161" s="88">
        <v>2.92813568906675E-2</v>
      </c>
      <c r="R1161" s="89" t="s">
        <v>276</v>
      </c>
      <c r="T1161">
        <v>8.9</v>
      </c>
      <c r="U1161" s="76">
        <v>0.2</v>
      </c>
      <c r="V1161">
        <v>9.8000000000000007</v>
      </c>
      <c r="W1161" s="90">
        <v>0.1</v>
      </c>
      <c r="AG1161" s="91">
        <v>0</v>
      </c>
      <c r="AK1161" s="71">
        <v>0.15</v>
      </c>
      <c r="AL1161" s="88">
        <v>3.3608034753612098E-2</v>
      </c>
      <c r="AM1161" s="89">
        <f t="shared" si="18"/>
        <v>0.22405356502408066</v>
      </c>
    </row>
    <row r="1162" spans="1:39" x14ac:dyDescent="0.25">
      <c r="A1162" t="s">
        <v>44</v>
      </c>
      <c r="B1162" t="s">
        <v>52</v>
      </c>
      <c r="C1162" s="121" t="s">
        <v>174</v>
      </c>
      <c r="D1162" t="s">
        <v>203</v>
      </c>
      <c r="E1162" t="s">
        <v>65</v>
      </c>
      <c r="F1162">
        <v>2</v>
      </c>
      <c r="G1162">
        <v>21</v>
      </c>
      <c r="H1162" s="86">
        <v>45968.572466342601</v>
      </c>
      <c r="I1162" s="86">
        <v>45968.677952858801</v>
      </c>
      <c r="J1162" s="87">
        <v>2.53167638888889</v>
      </c>
      <c r="K1162" s="69" t="s">
        <v>274</v>
      </c>
      <c r="P1162" s="71" t="s">
        <v>275</v>
      </c>
      <c r="Q1162" s="88">
        <v>2.6517578925354401E-2</v>
      </c>
      <c r="R1162" s="89" t="s">
        <v>276</v>
      </c>
      <c r="T1162">
        <v>8.6999999999999993</v>
      </c>
      <c r="U1162" s="76">
        <v>0.2</v>
      </c>
      <c r="V1162">
        <v>10</v>
      </c>
      <c r="W1162" s="90">
        <v>0.1</v>
      </c>
      <c r="AG1162" s="91">
        <v>0</v>
      </c>
      <c r="AK1162" s="71">
        <v>0.15</v>
      </c>
      <c r="AL1162" s="88">
        <v>3.3608034753612098E-2</v>
      </c>
      <c r="AM1162" s="89">
        <f t="shared" si="18"/>
        <v>0.22405356502408066</v>
      </c>
    </row>
    <row r="1163" spans="1:39" x14ac:dyDescent="0.25">
      <c r="A1163" t="s">
        <v>44</v>
      </c>
      <c r="B1163" t="s">
        <v>52</v>
      </c>
      <c r="C1163" s="121" t="s">
        <v>174</v>
      </c>
      <c r="D1163" t="s">
        <v>203</v>
      </c>
      <c r="E1163" t="s">
        <v>65</v>
      </c>
      <c r="F1163">
        <v>2</v>
      </c>
      <c r="G1163">
        <v>22</v>
      </c>
      <c r="H1163" s="86">
        <v>45968.677952858801</v>
      </c>
      <c r="I1163" s="86">
        <v>45968.7834633565</v>
      </c>
      <c r="J1163" s="87">
        <v>2.53225194444444</v>
      </c>
      <c r="K1163" s="69" t="s">
        <v>274</v>
      </c>
      <c r="P1163" s="71" t="s">
        <v>275</v>
      </c>
      <c r="Q1163" s="88">
        <v>1.86767434125833E-2</v>
      </c>
      <c r="R1163" s="89" t="s">
        <v>276</v>
      </c>
      <c r="T1163">
        <v>8.1</v>
      </c>
      <c r="U1163" s="76">
        <v>0.2</v>
      </c>
      <c r="V1163">
        <v>10.1</v>
      </c>
      <c r="W1163" s="90">
        <v>0.1</v>
      </c>
      <c r="AG1163" s="91">
        <v>0</v>
      </c>
      <c r="AK1163" s="71">
        <v>0.15</v>
      </c>
      <c r="AL1163" s="88">
        <v>3.3608034753612098E-2</v>
      </c>
      <c r="AM1163" s="89">
        <f t="shared" si="18"/>
        <v>0.22405356502408066</v>
      </c>
    </row>
    <row r="1164" spans="1:39" x14ac:dyDescent="0.25">
      <c r="A1164" t="s">
        <v>44</v>
      </c>
      <c r="B1164" t="s">
        <v>52</v>
      </c>
      <c r="C1164" s="121" t="s">
        <v>174</v>
      </c>
      <c r="D1164" t="s">
        <v>203</v>
      </c>
      <c r="E1164" t="s">
        <v>65</v>
      </c>
      <c r="F1164">
        <v>2</v>
      </c>
      <c r="G1164">
        <v>23</v>
      </c>
      <c r="H1164" s="86">
        <v>45968.7834633565</v>
      </c>
      <c r="I1164" s="86">
        <v>45968.8889562037</v>
      </c>
      <c r="J1164" s="87">
        <v>2.5318283333333298</v>
      </c>
      <c r="K1164" s="69" t="s">
        <v>274</v>
      </c>
      <c r="P1164" s="71" t="s">
        <v>275</v>
      </c>
      <c r="Q1164" s="88">
        <v>1.6285464491791999E-2</v>
      </c>
      <c r="R1164" s="89" t="s">
        <v>276</v>
      </c>
      <c r="T1164">
        <v>7.9</v>
      </c>
      <c r="U1164" s="76">
        <v>0.2</v>
      </c>
      <c r="V1164">
        <v>10.199999999999999</v>
      </c>
      <c r="W1164" s="90">
        <v>0.1</v>
      </c>
      <c r="AG1164" s="91">
        <v>0</v>
      </c>
      <c r="AK1164" s="71">
        <v>0.15</v>
      </c>
      <c r="AL1164" s="88">
        <v>3.3608034753612098E-2</v>
      </c>
      <c r="AM1164" s="89">
        <f t="shared" si="18"/>
        <v>0.22405356502408066</v>
      </c>
    </row>
    <row r="1165" spans="1:39" x14ac:dyDescent="0.25">
      <c r="A1165" t="s">
        <v>44</v>
      </c>
      <c r="B1165" t="s">
        <v>52</v>
      </c>
      <c r="C1165" s="121" t="s">
        <v>174</v>
      </c>
      <c r="D1165" t="s">
        <v>203</v>
      </c>
      <c r="E1165" t="s">
        <v>65</v>
      </c>
      <c r="F1165">
        <v>2</v>
      </c>
      <c r="G1165">
        <v>24</v>
      </c>
      <c r="H1165" s="86">
        <v>45968.8889562037</v>
      </c>
      <c r="I1165" s="86">
        <v>45968.994467777797</v>
      </c>
      <c r="J1165" s="87">
        <v>2.5322777777777801</v>
      </c>
      <c r="K1165" s="69" t="s">
        <v>274</v>
      </c>
      <c r="P1165" s="71" t="s">
        <v>275</v>
      </c>
      <c r="Q1165" s="88">
        <v>1.13126581981435E-2</v>
      </c>
      <c r="R1165" s="89" t="s">
        <v>276</v>
      </c>
      <c r="T1165">
        <v>7.9</v>
      </c>
      <c r="U1165" s="76">
        <v>0.2</v>
      </c>
      <c r="V1165">
        <v>10.199999999999999</v>
      </c>
      <c r="W1165" s="90">
        <v>0.1</v>
      </c>
      <c r="AG1165" s="91">
        <v>0</v>
      </c>
      <c r="AK1165" s="71">
        <v>0.15</v>
      </c>
      <c r="AL1165" s="88">
        <v>3.3608034753612098E-2</v>
      </c>
      <c r="AM1165" s="89">
        <f t="shared" si="18"/>
        <v>0.22405356502408066</v>
      </c>
    </row>
    <row r="1166" spans="1:39" x14ac:dyDescent="0.25">
      <c r="A1166" t="s">
        <v>44</v>
      </c>
      <c r="B1166" t="s">
        <v>52</v>
      </c>
      <c r="C1166" s="121" t="s">
        <v>174</v>
      </c>
      <c r="D1166" t="s">
        <v>203</v>
      </c>
      <c r="E1166" t="s">
        <v>65</v>
      </c>
      <c r="F1166">
        <v>2</v>
      </c>
      <c r="G1166">
        <v>25</v>
      </c>
      <c r="H1166" s="86">
        <v>45968.994467777797</v>
      </c>
      <c r="I1166" s="86">
        <v>45969.099958726903</v>
      </c>
      <c r="J1166" s="87">
        <v>2.5317827777777802</v>
      </c>
      <c r="K1166" s="69" t="s">
        <v>274</v>
      </c>
      <c r="P1166" s="71" t="s">
        <v>275</v>
      </c>
      <c r="Q1166" s="88">
        <v>1.18690186130967E-2</v>
      </c>
      <c r="R1166" s="89" t="s">
        <v>276</v>
      </c>
      <c r="T1166">
        <v>8.1</v>
      </c>
      <c r="U1166" s="76">
        <v>0.2</v>
      </c>
      <c r="V1166">
        <v>10.1</v>
      </c>
      <c r="W1166" s="90">
        <v>0.1</v>
      </c>
      <c r="AG1166" s="91">
        <v>0</v>
      </c>
      <c r="AK1166" s="71">
        <v>0.15</v>
      </c>
      <c r="AL1166" s="88">
        <v>3.3608034753612098E-2</v>
      </c>
      <c r="AM1166" s="89">
        <f t="shared" si="18"/>
        <v>0.22405356502408066</v>
      </c>
    </row>
    <row r="1167" spans="1:39" x14ac:dyDescent="0.25">
      <c r="A1167" t="s">
        <v>44</v>
      </c>
      <c r="B1167" t="s">
        <v>52</v>
      </c>
      <c r="C1167" s="121" t="s">
        <v>174</v>
      </c>
      <c r="D1167" t="s">
        <v>203</v>
      </c>
      <c r="E1167" t="s">
        <v>65</v>
      </c>
      <c r="F1167">
        <v>2</v>
      </c>
      <c r="G1167">
        <v>26</v>
      </c>
      <c r="H1167" s="86">
        <v>45969.099958726903</v>
      </c>
      <c r="I1167" s="86">
        <v>45969.205457083299</v>
      </c>
      <c r="J1167" s="87">
        <v>2.53196055555556</v>
      </c>
      <c r="K1167" s="69" t="s">
        <v>274</v>
      </c>
      <c r="P1167" s="71" t="s">
        <v>275</v>
      </c>
      <c r="Q1167" s="88">
        <v>1.2614599820111099E-2</v>
      </c>
      <c r="R1167" s="89" t="s">
        <v>276</v>
      </c>
      <c r="T1167">
        <v>8.1999999999999993</v>
      </c>
      <c r="U1167" s="76">
        <v>0.2</v>
      </c>
      <c r="V1167">
        <v>10.1</v>
      </c>
      <c r="W1167" s="90">
        <v>0.1</v>
      </c>
      <c r="AG1167" s="91">
        <v>0</v>
      </c>
      <c r="AK1167" s="71">
        <v>0.15</v>
      </c>
      <c r="AL1167" s="88">
        <v>3.3608034753612098E-2</v>
      </c>
      <c r="AM1167" s="89">
        <f t="shared" si="18"/>
        <v>0.22405356502408066</v>
      </c>
    </row>
    <row r="1168" spans="1:39" x14ac:dyDescent="0.25">
      <c r="A1168" t="s">
        <v>44</v>
      </c>
      <c r="B1168" t="s">
        <v>52</v>
      </c>
      <c r="C1168" s="121" t="s">
        <v>174</v>
      </c>
      <c r="D1168" t="s">
        <v>203</v>
      </c>
      <c r="E1168" t="s">
        <v>65</v>
      </c>
      <c r="F1168">
        <v>2</v>
      </c>
      <c r="G1168">
        <v>27</v>
      </c>
      <c r="H1168" s="86">
        <v>45969.205457083299</v>
      </c>
      <c r="I1168" s="86">
        <v>45969.310958923597</v>
      </c>
      <c r="J1168" s="87">
        <v>2.5320441666666702</v>
      </c>
      <c r="K1168" s="69" t="s">
        <v>274</v>
      </c>
      <c r="P1168" s="71" t="s">
        <v>275</v>
      </c>
      <c r="Q1168" s="88">
        <v>1.2550475365272E-2</v>
      </c>
      <c r="R1168" s="89" t="s">
        <v>276</v>
      </c>
      <c r="T1168">
        <v>8.1</v>
      </c>
      <c r="U1168" s="76">
        <v>0.2</v>
      </c>
      <c r="V1168">
        <v>10.1</v>
      </c>
      <c r="W1168" s="90">
        <v>0.1</v>
      </c>
      <c r="AG1168" s="91">
        <v>0</v>
      </c>
      <c r="AK1168" s="71">
        <v>0.15</v>
      </c>
      <c r="AL1168" s="88">
        <v>3.3608034753612098E-2</v>
      </c>
      <c r="AM1168" s="89">
        <f t="shared" si="18"/>
        <v>0.22405356502408066</v>
      </c>
    </row>
    <row r="1169" spans="1:39" x14ac:dyDescent="0.25">
      <c r="A1169" t="s">
        <v>44</v>
      </c>
      <c r="B1169" t="s">
        <v>52</v>
      </c>
      <c r="C1169" s="121" t="s">
        <v>174</v>
      </c>
      <c r="D1169" t="s">
        <v>203</v>
      </c>
      <c r="E1169" t="s">
        <v>65</v>
      </c>
      <c r="F1169">
        <v>2</v>
      </c>
      <c r="G1169">
        <v>28</v>
      </c>
      <c r="H1169" s="86">
        <v>45969.310958923597</v>
      </c>
      <c r="I1169" s="86">
        <v>45969.416463229201</v>
      </c>
      <c r="J1169" s="87">
        <v>2.53210333333333</v>
      </c>
      <c r="K1169" s="69" t="s">
        <v>274</v>
      </c>
      <c r="P1169" s="71" t="s">
        <v>275</v>
      </c>
      <c r="Q1169" s="88">
        <v>1.24272092623687E-2</v>
      </c>
      <c r="R1169" s="89" t="s">
        <v>276</v>
      </c>
      <c r="T1169">
        <v>8</v>
      </c>
      <c r="U1169" s="76">
        <v>0.2</v>
      </c>
      <c r="V1169">
        <v>10.1</v>
      </c>
      <c r="W1169" s="90">
        <v>0.1</v>
      </c>
      <c r="AG1169" s="91">
        <v>0</v>
      </c>
      <c r="AK1169" s="71">
        <v>0.15</v>
      </c>
      <c r="AL1169" s="88">
        <v>3.3608034753612098E-2</v>
      </c>
      <c r="AM1169" s="89">
        <f t="shared" si="18"/>
        <v>0.22405356502408066</v>
      </c>
    </row>
    <row r="1170" spans="1:39" x14ac:dyDescent="0.25">
      <c r="A1170" t="s">
        <v>44</v>
      </c>
      <c r="B1170" t="s">
        <v>52</v>
      </c>
      <c r="C1170" s="121" t="s">
        <v>174</v>
      </c>
      <c r="D1170" t="s">
        <v>203</v>
      </c>
      <c r="E1170" t="s">
        <v>65</v>
      </c>
      <c r="F1170">
        <v>2</v>
      </c>
      <c r="G1170">
        <v>29</v>
      </c>
      <c r="H1170" s="86">
        <v>45969.416463229201</v>
      </c>
      <c r="I1170" s="86">
        <v>45969.521965034699</v>
      </c>
      <c r="J1170" s="87">
        <v>2.5320433333333301</v>
      </c>
      <c r="K1170" s="69" t="s">
        <v>274</v>
      </c>
      <c r="P1170" s="71" t="s">
        <v>275</v>
      </c>
      <c r="Q1170" s="88">
        <v>1.52752006435655E-2</v>
      </c>
      <c r="R1170" s="89" t="s">
        <v>276</v>
      </c>
      <c r="T1170">
        <v>8.4</v>
      </c>
      <c r="U1170" s="76">
        <v>0.2</v>
      </c>
      <c r="V1170">
        <v>10.1</v>
      </c>
      <c r="W1170" s="90">
        <v>0.1</v>
      </c>
      <c r="AG1170" s="91">
        <v>0</v>
      </c>
      <c r="AK1170" s="71">
        <v>0.15</v>
      </c>
      <c r="AL1170" s="88">
        <v>3.3608034753612098E-2</v>
      </c>
      <c r="AM1170" s="89">
        <f t="shared" si="18"/>
        <v>0.22405356502408066</v>
      </c>
    </row>
    <row r="1171" spans="1:39" x14ac:dyDescent="0.25">
      <c r="A1171" t="s">
        <v>44</v>
      </c>
      <c r="B1171" t="s">
        <v>52</v>
      </c>
      <c r="C1171" s="121" t="s">
        <v>174</v>
      </c>
      <c r="D1171" t="s">
        <v>203</v>
      </c>
      <c r="E1171" t="s">
        <v>65</v>
      </c>
      <c r="F1171">
        <v>2</v>
      </c>
      <c r="G1171">
        <v>30</v>
      </c>
      <c r="H1171" s="86">
        <v>45969.521965034699</v>
      </c>
      <c r="I1171" s="86">
        <v>45969.627467361097</v>
      </c>
      <c r="J1171" s="87">
        <v>2.5320558333333301</v>
      </c>
      <c r="K1171" s="69" t="s">
        <v>274</v>
      </c>
      <c r="P1171" s="71" t="s">
        <v>275</v>
      </c>
      <c r="Q1171" s="88">
        <v>1.51286981385255E-2</v>
      </c>
      <c r="R1171" s="89" t="s">
        <v>276</v>
      </c>
      <c r="T1171">
        <v>8.6999999999999993</v>
      </c>
      <c r="U1171" s="76">
        <v>0.2</v>
      </c>
      <c r="V1171">
        <v>10.199999999999999</v>
      </c>
      <c r="W1171" s="90">
        <v>0.1</v>
      </c>
      <c r="AG1171" s="91">
        <v>0</v>
      </c>
      <c r="AK1171" s="71">
        <v>0.15</v>
      </c>
      <c r="AL1171" s="88">
        <v>3.3608034753612098E-2</v>
      </c>
      <c r="AM1171" s="89">
        <f t="shared" si="18"/>
        <v>0.22405356502408066</v>
      </c>
    </row>
    <row r="1172" spans="1:39" x14ac:dyDescent="0.25">
      <c r="A1172" t="s">
        <v>44</v>
      </c>
      <c r="B1172" t="s">
        <v>52</v>
      </c>
      <c r="C1172" s="121" t="s">
        <v>174</v>
      </c>
      <c r="D1172" t="s">
        <v>203</v>
      </c>
      <c r="E1172" t="s">
        <v>65</v>
      </c>
      <c r="F1172">
        <v>2</v>
      </c>
      <c r="G1172">
        <v>31</v>
      </c>
      <c r="H1172" s="86">
        <v>45969.627467361097</v>
      </c>
      <c r="I1172" s="86">
        <v>45969.732966192103</v>
      </c>
      <c r="J1172" s="87">
        <v>2.53197194444444</v>
      </c>
      <c r="K1172" s="69" t="s">
        <v>274</v>
      </c>
      <c r="P1172" s="71" t="s">
        <v>275</v>
      </c>
      <c r="Q1172" s="88">
        <v>1.45225105309282E-2</v>
      </c>
      <c r="R1172" s="89" t="s">
        <v>276</v>
      </c>
      <c r="T1172">
        <v>8.4</v>
      </c>
      <c r="U1172" s="76">
        <v>0.2</v>
      </c>
      <c r="V1172">
        <v>10.199999999999999</v>
      </c>
      <c r="W1172" s="90">
        <v>0.1</v>
      </c>
      <c r="AG1172" s="91">
        <v>0</v>
      </c>
      <c r="AK1172" s="71">
        <v>0.15</v>
      </c>
      <c r="AL1172" s="88">
        <v>3.3608034753612098E-2</v>
      </c>
      <c r="AM1172" s="89">
        <f t="shared" si="18"/>
        <v>0.22405356502408066</v>
      </c>
    </row>
    <row r="1173" spans="1:39" x14ac:dyDescent="0.25">
      <c r="A1173" t="s">
        <v>44</v>
      </c>
      <c r="B1173" t="s">
        <v>52</v>
      </c>
      <c r="C1173" s="121" t="s">
        <v>174</v>
      </c>
      <c r="D1173" t="s">
        <v>203</v>
      </c>
      <c r="E1173" t="s">
        <v>65</v>
      </c>
      <c r="F1173">
        <v>2</v>
      </c>
      <c r="G1173">
        <v>32</v>
      </c>
      <c r="H1173" s="86">
        <v>45969.732966192103</v>
      </c>
      <c r="I1173" s="86">
        <v>45969.838471574098</v>
      </c>
      <c r="J1173" s="87">
        <v>2.5321291666666701</v>
      </c>
      <c r="K1173" s="69" t="s">
        <v>274</v>
      </c>
      <c r="P1173" s="71" t="s">
        <v>275</v>
      </c>
      <c r="Q1173" s="88">
        <v>1.1361210949064801E-2</v>
      </c>
      <c r="R1173" s="89" t="s">
        <v>276</v>
      </c>
      <c r="T1173">
        <v>8</v>
      </c>
      <c r="U1173" s="76">
        <v>0.2</v>
      </c>
      <c r="V1173">
        <v>10.199999999999999</v>
      </c>
      <c r="W1173" s="90">
        <v>0.1</v>
      </c>
      <c r="AG1173" s="91">
        <v>0</v>
      </c>
      <c r="AK1173" s="71">
        <v>0.15</v>
      </c>
      <c r="AL1173" s="88">
        <v>3.3608034753612098E-2</v>
      </c>
      <c r="AM1173" s="89">
        <f t="shared" si="18"/>
        <v>0.22405356502408066</v>
      </c>
    </row>
    <row r="1174" spans="1:39" x14ac:dyDescent="0.25">
      <c r="A1174" t="s">
        <v>44</v>
      </c>
      <c r="B1174" t="s">
        <v>52</v>
      </c>
      <c r="C1174" s="121" t="s">
        <v>174</v>
      </c>
      <c r="D1174" t="s">
        <v>203</v>
      </c>
      <c r="E1174" t="s">
        <v>65</v>
      </c>
      <c r="F1174">
        <v>2</v>
      </c>
      <c r="G1174">
        <v>33</v>
      </c>
      <c r="H1174" s="86">
        <v>45969.838471574098</v>
      </c>
      <c r="I1174" s="86">
        <v>45969.943975115697</v>
      </c>
      <c r="J1174" s="87">
        <v>2.5320849999999999</v>
      </c>
      <c r="K1174" s="69" t="s">
        <v>274</v>
      </c>
      <c r="P1174" s="71" t="s">
        <v>275</v>
      </c>
      <c r="Q1174" s="88">
        <v>1.2289399981845899E-2</v>
      </c>
      <c r="R1174" s="89" t="s">
        <v>276</v>
      </c>
      <c r="T1174">
        <v>7.8</v>
      </c>
      <c r="U1174" s="76">
        <v>0.2</v>
      </c>
      <c r="V1174">
        <v>10.199999999999999</v>
      </c>
      <c r="W1174" s="90">
        <v>0.1</v>
      </c>
      <c r="AG1174" s="91">
        <v>0</v>
      </c>
      <c r="AK1174" s="71">
        <v>0.15</v>
      </c>
      <c r="AL1174" s="88">
        <v>3.3608034753612098E-2</v>
      </c>
      <c r="AM1174" s="89">
        <f t="shared" si="18"/>
        <v>0.22405356502408066</v>
      </c>
    </row>
    <row r="1175" spans="1:39" x14ac:dyDescent="0.25">
      <c r="A1175" t="s">
        <v>44</v>
      </c>
      <c r="B1175" t="s">
        <v>52</v>
      </c>
      <c r="C1175" s="121" t="s">
        <v>174</v>
      </c>
      <c r="D1175" t="s">
        <v>203</v>
      </c>
      <c r="E1175" t="s">
        <v>65</v>
      </c>
      <c r="F1175">
        <v>2</v>
      </c>
      <c r="G1175">
        <v>34</v>
      </c>
      <c r="H1175" s="86">
        <v>45969.943975115697</v>
      </c>
      <c r="I1175" s="86">
        <v>45970.049468830999</v>
      </c>
      <c r="J1175" s="87">
        <v>2.53184916666667</v>
      </c>
      <c r="K1175" s="69" t="s">
        <v>274</v>
      </c>
      <c r="P1175" s="71" t="s">
        <v>275</v>
      </c>
      <c r="Q1175" s="88">
        <v>1.16099919638229E-2</v>
      </c>
      <c r="R1175" s="89" t="s">
        <v>276</v>
      </c>
      <c r="T1175">
        <v>7.8</v>
      </c>
      <c r="U1175" s="76">
        <v>0.2</v>
      </c>
      <c r="V1175">
        <v>10.199999999999999</v>
      </c>
      <c r="W1175" s="90">
        <v>0.1</v>
      </c>
      <c r="AG1175" s="91">
        <v>0.1</v>
      </c>
      <c r="AK1175" s="71">
        <v>0.15</v>
      </c>
      <c r="AL1175" s="88">
        <v>3.3608034753612098E-2</v>
      </c>
      <c r="AM1175" s="89">
        <f t="shared" si="18"/>
        <v>0.22405356502408066</v>
      </c>
    </row>
    <row r="1176" spans="1:39" x14ac:dyDescent="0.25">
      <c r="A1176" t="s">
        <v>44</v>
      </c>
      <c r="B1176" t="s">
        <v>52</v>
      </c>
      <c r="C1176" s="121" t="s">
        <v>174</v>
      </c>
      <c r="D1176" t="s">
        <v>203</v>
      </c>
      <c r="E1176" t="s">
        <v>65</v>
      </c>
      <c r="F1176">
        <v>2</v>
      </c>
      <c r="G1176">
        <v>35</v>
      </c>
      <c r="H1176" s="86">
        <v>45970.049468830999</v>
      </c>
      <c r="I1176" s="86">
        <v>45970.154976018501</v>
      </c>
      <c r="J1176" s="87">
        <v>2.5321725000000002</v>
      </c>
      <c r="K1176" s="69" t="s">
        <v>274</v>
      </c>
      <c r="P1176" s="71" t="s">
        <v>275</v>
      </c>
      <c r="Q1176" s="88">
        <v>1.0221161888679201E-2</v>
      </c>
      <c r="R1176" s="89" t="s">
        <v>276</v>
      </c>
      <c r="T1176">
        <v>7.4</v>
      </c>
      <c r="U1176" s="76">
        <v>0.2</v>
      </c>
      <c r="V1176">
        <v>10.1</v>
      </c>
      <c r="W1176" s="90">
        <v>0.1</v>
      </c>
      <c r="AG1176" s="91">
        <v>0.1</v>
      </c>
      <c r="AK1176" s="71">
        <v>0.15</v>
      </c>
      <c r="AL1176" s="88">
        <v>3.3608034753612098E-2</v>
      </c>
      <c r="AM1176" s="89">
        <f t="shared" si="18"/>
        <v>0.22405356502408066</v>
      </c>
    </row>
    <row r="1177" spans="1:39" x14ac:dyDescent="0.25">
      <c r="A1177" t="s">
        <v>44</v>
      </c>
      <c r="B1177" t="s">
        <v>52</v>
      </c>
      <c r="C1177" s="121" t="s">
        <v>174</v>
      </c>
      <c r="D1177" t="s">
        <v>203</v>
      </c>
      <c r="E1177" t="s">
        <v>65</v>
      </c>
      <c r="F1177">
        <v>2</v>
      </c>
      <c r="G1177">
        <v>36</v>
      </c>
      <c r="H1177" s="86">
        <v>45970.154976018501</v>
      </c>
      <c r="I1177" s="86">
        <v>45970.260478877302</v>
      </c>
      <c r="J1177" s="87">
        <v>2.5320686111111099</v>
      </c>
      <c r="K1177" s="69" t="s">
        <v>274</v>
      </c>
      <c r="P1177" s="71" t="s">
        <v>275</v>
      </c>
      <c r="Q1177" s="88">
        <v>9.8456690693876203E-3</v>
      </c>
      <c r="R1177" s="89" t="s">
        <v>276</v>
      </c>
      <c r="T1177">
        <v>6.9</v>
      </c>
      <c r="U1177" s="76">
        <v>0.2</v>
      </c>
      <c r="V1177">
        <v>10.1</v>
      </c>
      <c r="W1177" s="90">
        <v>0.1</v>
      </c>
      <c r="AG1177" s="91">
        <v>0</v>
      </c>
      <c r="AK1177" s="71">
        <v>0.15</v>
      </c>
      <c r="AL1177" s="88">
        <v>3.3608034753612098E-2</v>
      </c>
      <c r="AM1177" s="89">
        <f t="shared" si="18"/>
        <v>0.22405356502408066</v>
      </c>
    </row>
    <row r="1178" spans="1:39" x14ac:dyDescent="0.25">
      <c r="A1178" t="s">
        <v>44</v>
      </c>
      <c r="B1178" t="s">
        <v>52</v>
      </c>
      <c r="C1178" s="121" t="s">
        <v>174</v>
      </c>
      <c r="D1178" t="s">
        <v>203</v>
      </c>
      <c r="E1178" t="s">
        <v>65</v>
      </c>
      <c r="F1178">
        <v>2</v>
      </c>
      <c r="G1178">
        <v>37</v>
      </c>
      <c r="H1178" s="86">
        <v>45970.260478877302</v>
      </c>
      <c r="I1178" s="86">
        <v>45970.365976250003</v>
      </c>
      <c r="J1178" s="87">
        <v>2.53193694444444</v>
      </c>
      <c r="K1178" s="69" t="s">
        <v>274</v>
      </c>
      <c r="P1178" s="71" t="s">
        <v>275</v>
      </c>
      <c r="Q1178" s="88">
        <v>1.0676513197011199E-2</v>
      </c>
      <c r="R1178" s="89" t="s">
        <v>276</v>
      </c>
      <c r="T1178">
        <v>6.8</v>
      </c>
      <c r="U1178" s="76">
        <v>0.2</v>
      </c>
      <c r="V1178">
        <v>10</v>
      </c>
      <c r="W1178" s="90">
        <v>0.1</v>
      </c>
      <c r="AG1178" s="91">
        <v>0</v>
      </c>
      <c r="AK1178" s="71">
        <v>0.15</v>
      </c>
      <c r="AL1178" s="88">
        <v>3.3608034753612098E-2</v>
      </c>
      <c r="AM1178" s="89">
        <f t="shared" si="18"/>
        <v>0.22405356502408066</v>
      </c>
    </row>
    <row r="1179" spans="1:39" x14ac:dyDescent="0.25">
      <c r="A1179" t="s">
        <v>44</v>
      </c>
      <c r="B1179" t="s">
        <v>52</v>
      </c>
      <c r="C1179" s="121" t="s">
        <v>174</v>
      </c>
      <c r="D1179" t="s">
        <v>203</v>
      </c>
      <c r="E1179" t="s">
        <v>65</v>
      </c>
      <c r="F1179">
        <v>2</v>
      </c>
      <c r="G1179">
        <v>38</v>
      </c>
      <c r="H1179" s="86">
        <v>45970.365976250003</v>
      </c>
      <c r="I1179" s="86">
        <v>45970.471472638899</v>
      </c>
      <c r="J1179" s="87">
        <v>2.5319133333333301</v>
      </c>
      <c r="K1179" s="69" t="s">
        <v>274</v>
      </c>
      <c r="P1179" s="71" t="s">
        <v>275</v>
      </c>
      <c r="Q1179" s="88">
        <v>1.1333088346737401E-2</v>
      </c>
      <c r="R1179" s="89" t="s">
        <v>276</v>
      </c>
      <c r="T1179">
        <v>7</v>
      </c>
      <c r="U1179" s="76">
        <v>0.2</v>
      </c>
      <c r="V1179">
        <v>10</v>
      </c>
      <c r="W1179" s="90">
        <v>0.1</v>
      </c>
      <c r="AG1179" s="91">
        <v>0</v>
      </c>
      <c r="AK1179" s="71">
        <v>0.15</v>
      </c>
      <c r="AL1179" s="88">
        <v>3.3608034753612098E-2</v>
      </c>
      <c r="AM1179" s="89">
        <f t="shared" si="18"/>
        <v>0.22405356502408066</v>
      </c>
    </row>
    <row r="1180" spans="1:39" x14ac:dyDescent="0.25">
      <c r="A1180" t="s">
        <v>44</v>
      </c>
      <c r="B1180" t="s">
        <v>52</v>
      </c>
      <c r="C1180" s="121" t="s">
        <v>174</v>
      </c>
      <c r="D1180" t="s">
        <v>203</v>
      </c>
      <c r="E1180" t="s">
        <v>65</v>
      </c>
      <c r="F1180">
        <v>2</v>
      </c>
      <c r="G1180">
        <v>39</v>
      </c>
      <c r="H1180" s="86">
        <v>45970.471472638899</v>
      </c>
      <c r="I1180" s="86">
        <v>45970.576977685203</v>
      </c>
      <c r="J1180" s="87">
        <v>2.5321211111111102</v>
      </c>
      <c r="K1180" s="69" t="s">
        <v>274</v>
      </c>
      <c r="P1180" s="71" t="s">
        <v>275</v>
      </c>
      <c r="Q1180" s="88">
        <v>2.0759461865984201E-2</v>
      </c>
      <c r="R1180" s="89" t="s">
        <v>276</v>
      </c>
      <c r="T1180">
        <v>7.6</v>
      </c>
      <c r="U1180" s="76">
        <v>0.2</v>
      </c>
      <c r="V1180">
        <v>9.9</v>
      </c>
      <c r="W1180" s="90">
        <v>0.1</v>
      </c>
      <c r="AG1180" s="91">
        <v>0</v>
      </c>
      <c r="AK1180" s="71">
        <v>0.15</v>
      </c>
      <c r="AL1180" s="88">
        <v>3.3608034753612098E-2</v>
      </c>
      <c r="AM1180" s="89">
        <f t="shared" si="18"/>
        <v>0.22405356502408066</v>
      </c>
    </row>
    <row r="1181" spans="1:39" x14ac:dyDescent="0.25">
      <c r="A1181" t="s">
        <v>44</v>
      </c>
      <c r="B1181" t="s">
        <v>52</v>
      </c>
      <c r="C1181" s="121" t="s">
        <v>174</v>
      </c>
      <c r="D1181" t="s">
        <v>203</v>
      </c>
      <c r="E1181" t="s">
        <v>65</v>
      </c>
      <c r="F1181">
        <v>2</v>
      </c>
      <c r="G1181">
        <v>40</v>
      </c>
      <c r="H1181" s="86">
        <v>45970.576977685203</v>
      </c>
      <c r="I1181" s="86">
        <v>45970.6824774653</v>
      </c>
      <c r="J1181" s="87">
        <v>2.5319947222222199</v>
      </c>
      <c r="K1181" s="69" t="s">
        <v>274</v>
      </c>
      <c r="P1181" s="71" t="s">
        <v>275</v>
      </c>
      <c r="Q1181" s="88">
        <v>1.8256545118642699E-2</v>
      </c>
      <c r="R1181" s="89" t="s">
        <v>276</v>
      </c>
      <c r="T1181">
        <v>7.3</v>
      </c>
      <c r="U1181" s="76">
        <v>0.2</v>
      </c>
      <c r="V1181">
        <v>10</v>
      </c>
      <c r="W1181" s="90">
        <v>0.1</v>
      </c>
      <c r="AG1181" s="91">
        <v>0</v>
      </c>
      <c r="AK1181" s="71">
        <v>0.15</v>
      </c>
      <c r="AL1181" s="88">
        <v>3.3608034753612098E-2</v>
      </c>
      <c r="AM1181" s="89">
        <f t="shared" si="18"/>
        <v>0.22405356502408066</v>
      </c>
    </row>
    <row r="1182" spans="1:39" x14ac:dyDescent="0.25">
      <c r="A1182" t="s">
        <v>44</v>
      </c>
      <c r="B1182" t="s">
        <v>52</v>
      </c>
      <c r="C1182" s="121" t="s">
        <v>174</v>
      </c>
      <c r="D1182" t="s">
        <v>203</v>
      </c>
      <c r="E1182" t="s">
        <v>65</v>
      </c>
      <c r="F1182">
        <v>2</v>
      </c>
      <c r="G1182">
        <v>41</v>
      </c>
      <c r="H1182" s="86">
        <v>45970.6824774653</v>
      </c>
      <c r="I1182" s="86">
        <v>45970.787983564798</v>
      </c>
      <c r="J1182" s="87">
        <v>2.53214638888889</v>
      </c>
      <c r="K1182" s="69" t="s">
        <v>274</v>
      </c>
      <c r="P1182" s="71" t="s">
        <v>275</v>
      </c>
      <c r="Q1182" s="88">
        <v>1.1968429593849099E-2</v>
      </c>
      <c r="R1182" s="89" t="s">
        <v>276</v>
      </c>
      <c r="T1182">
        <v>7</v>
      </c>
      <c r="U1182" s="76">
        <v>0.2</v>
      </c>
      <c r="V1182">
        <v>10.1</v>
      </c>
      <c r="W1182" s="90">
        <v>0.1</v>
      </c>
      <c r="AG1182" s="91">
        <v>0</v>
      </c>
      <c r="AK1182" s="71">
        <v>0.15</v>
      </c>
      <c r="AL1182" s="88">
        <v>3.3608034753612098E-2</v>
      </c>
      <c r="AM1182" s="89">
        <f t="shared" si="18"/>
        <v>0.22405356502408066</v>
      </c>
    </row>
    <row r="1183" spans="1:39" x14ac:dyDescent="0.25">
      <c r="A1183" t="s">
        <v>44</v>
      </c>
      <c r="B1183" t="s">
        <v>52</v>
      </c>
      <c r="C1183" s="121" t="s">
        <v>174</v>
      </c>
      <c r="D1183" t="s">
        <v>203</v>
      </c>
      <c r="E1183" t="s">
        <v>65</v>
      </c>
      <c r="F1183">
        <v>2</v>
      </c>
      <c r="G1183">
        <v>42</v>
      </c>
      <c r="H1183" s="86">
        <v>45970.787983564798</v>
      </c>
      <c r="I1183" s="86">
        <v>45970.893491249997</v>
      </c>
      <c r="J1183" s="87">
        <v>2.5321844444444399</v>
      </c>
      <c r="K1183" s="69" t="s">
        <v>274</v>
      </c>
      <c r="P1183" s="71" t="s">
        <v>275</v>
      </c>
      <c r="Q1183" s="88">
        <v>8.9780217302493602E-3</v>
      </c>
      <c r="R1183" s="89" t="s">
        <v>276</v>
      </c>
      <c r="T1183">
        <v>6.1</v>
      </c>
      <c r="U1183" s="76">
        <v>0.2</v>
      </c>
      <c r="V1183">
        <v>10</v>
      </c>
      <c r="W1183" s="90">
        <v>0.1</v>
      </c>
      <c r="AG1183" s="91">
        <v>0</v>
      </c>
      <c r="AK1183" s="71">
        <v>0.15</v>
      </c>
      <c r="AL1183" s="88">
        <v>3.3608034753612098E-2</v>
      </c>
      <c r="AM1183" s="89">
        <f t="shared" si="18"/>
        <v>0.22405356502408066</v>
      </c>
    </row>
    <row r="1184" spans="1:39" x14ac:dyDescent="0.25">
      <c r="A1184" t="s">
        <v>44</v>
      </c>
      <c r="B1184" t="s">
        <v>52</v>
      </c>
      <c r="C1184" s="121" t="s">
        <v>174</v>
      </c>
      <c r="D1184" t="s">
        <v>203</v>
      </c>
      <c r="E1184" t="s">
        <v>65</v>
      </c>
      <c r="F1184">
        <v>2</v>
      </c>
      <c r="G1184">
        <v>43</v>
      </c>
      <c r="H1184" s="86">
        <v>45970.893491249997</v>
      </c>
      <c r="I1184" s="86">
        <v>45970.998987233797</v>
      </c>
      <c r="J1184" s="87">
        <v>2.53190361111111</v>
      </c>
      <c r="K1184" s="69" t="s">
        <v>274</v>
      </c>
      <c r="P1184" s="71" t="s">
        <v>275</v>
      </c>
      <c r="Q1184" s="88">
        <v>9.2322135764426692E-3</v>
      </c>
      <c r="R1184" s="89" t="s">
        <v>276</v>
      </c>
      <c r="T1184">
        <v>6.3</v>
      </c>
      <c r="U1184" s="76">
        <v>0.2</v>
      </c>
      <c r="V1184">
        <v>10</v>
      </c>
      <c r="W1184" s="90">
        <v>0.1</v>
      </c>
      <c r="AG1184" s="91">
        <v>0</v>
      </c>
      <c r="AK1184" s="71">
        <v>0.15</v>
      </c>
      <c r="AL1184" s="88">
        <v>3.3608034753612098E-2</v>
      </c>
      <c r="AM1184" s="89">
        <f t="shared" si="18"/>
        <v>0.22405356502408066</v>
      </c>
    </row>
    <row r="1185" spans="1:39" x14ac:dyDescent="0.25">
      <c r="A1185" t="s">
        <v>44</v>
      </c>
      <c r="B1185" t="s">
        <v>52</v>
      </c>
      <c r="C1185" s="121" t="s">
        <v>174</v>
      </c>
      <c r="D1185" t="s">
        <v>203</v>
      </c>
      <c r="E1185" t="s">
        <v>65</v>
      </c>
      <c r="F1185">
        <v>2</v>
      </c>
      <c r="G1185">
        <v>44</v>
      </c>
      <c r="H1185" s="86">
        <v>45970.998987233797</v>
      </c>
      <c r="I1185" s="86">
        <v>45971.104494270803</v>
      </c>
      <c r="J1185" s="87">
        <v>2.53216888888889</v>
      </c>
      <c r="K1185" s="69" t="s">
        <v>274</v>
      </c>
      <c r="P1185" s="71" t="s">
        <v>275</v>
      </c>
      <c r="Q1185" s="88">
        <v>8.31326669801301E-3</v>
      </c>
      <c r="R1185" s="89" t="s">
        <v>276</v>
      </c>
      <c r="T1185">
        <v>5.7</v>
      </c>
      <c r="U1185" s="76">
        <v>0.2</v>
      </c>
      <c r="V1185">
        <v>9.9</v>
      </c>
      <c r="W1185" s="90">
        <v>0.1</v>
      </c>
      <c r="AG1185" s="91">
        <v>0</v>
      </c>
      <c r="AK1185" s="71">
        <v>0.15</v>
      </c>
      <c r="AL1185" s="88">
        <v>3.3608034753612098E-2</v>
      </c>
      <c r="AM1185" s="89">
        <f t="shared" si="18"/>
        <v>0.22405356502408066</v>
      </c>
    </row>
    <row r="1186" spans="1:39" x14ac:dyDescent="0.25">
      <c r="A1186" t="s">
        <v>44</v>
      </c>
      <c r="B1186" t="s">
        <v>52</v>
      </c>
      <c r="C1186" s="121" t="s">
        <v>174</v>
      </c>
      <c r="D1186" t="s">
        <v>203</v>
      </c>
      <c r="E1186" t="s">
        <v>65</v>
      </c>
      <c r="F1186">
        <v>2</v>
      </c>
      <c r="G1186">
        <v>45</v>
      </c>
      <c r="H1186" s="86">
        <v>45971.104494270803</v>
      </c>
      <c r="I1186" s="86">
        <v>45971.209988090297</v>
      </c>
      <c r="J1186" s="87">
        <v>2.5318516666666699</v>
      </c>
      <c r="K1186" s="69" t="s">
        <v>274</v>
      </c>
      <c r="P1186" s="71" t="s">
        <v>275</v>
      </c>
      <c r="Q1186" s="88">
        <v>1.1271787056522001E-2</v>
      </c>
      <c r="R1186" s="89" t="s">
        <v>276</v>
      </c>
      <c r="T1186">
        <v>6.3</v>
      </c>
      <c r="U1186" s="76">
        <v>0.2</v>
      </c>
      <c r="V1186">
        <v>9.6999999999999993</v>
      </c>
      <c r="W1186" s="90">
        <v>0.1</v>
      </c>
      <c r="AG1186" s="91">
        <v>0</v>
      </c>
      <c r="AK1186" s="71">
        <v>0.15</v>
      </c>
      <c r="AL1186" s="88">
        <v>3.3608034753612098E-2</v>
      </c>
      <c r="AM1186" s="89">
        <f t="shared" si="18"/>
        <v>0.22405356502408066</v>
      </c>
    </row>
    <row r="1187" spans="1:39" x14ac:dyDescent="0.25">
      <c r="A1187" t="s">
        <v>44</v>
      </c>
      <c r="B1187" t="s">
        <v>52</v>
      </c>
      <c r="C1187" s="121" t="s">
        <v>174</v>
      </c>
      <c r="D1187" t="s">
        <v>203</v>
      </c>
      <c r="E1187" t="s">
        <v>65</v>
      </c>
      <c r="F1187">
        <v>2</v>
      </c>
      <c r="G1187">
        <v>46</v>
      </c>
      <c r="H1187" s="86">
        <v>45971.209988090297</v>
      </c>
      <c r="I1187" s="86">
        <v>45971.315494826398</v>
      </c>
      <c r="J1187" s="87">
        <v>2.5321616666666702</v>
      </c>
      <c r="K1187" s="69" t="s">
        <v>274</v>
      </c>
      <c r="P1187" s="71" t="s">
        <v>275</v>
      </c>
      <c r="Q1187" s="88">
        <v>9.9585246831140808E-3</v>
      </c>
      <c r="R1187" s="89" t="s">
        <v>276</v>
      </c>
      <c r="T1187">
        <v>5</v>
      </c>
      <c r="U1187" s="76">
        <v>0.2</v>
      </c>
      <c r="V1187">
        <v>9.6999999999999993</v>
      </c>
      <c r="W1187" s="90">
        <v>0.1</v>
      </c>
      <c r="AG1187" s="91">
        <v>0</v>
      </c>
      <c r="AK1187" s="71">
        <v>0.15</v>
      </c>
      <c r="AL1187" s="88">
        <v>3.3608034753612098E-2</v>
      </c>
      <c r="AM1187" s="89">
        <f t="shared" si="18"/>
        <v>0.22405356502408066</v>
      </c>
    </row>
    <row r="1188" spans="1:39" x14ac:dyDescent="0.25">
      <c r="A1188" t="s">
        <v>44</v>
      </c>
      <c r="B1188" t="s">
        <v>52</v>
      </c>
      <c r="C1188" s="121" t="s">
        <v>174</v>
      </c>
      <c r="D1188" t="s">
        <v>203</v>
      </c>
      <c r="E1188" t="s">
        <v>65</v>
      </c>
      <c r="F1188">
        <v>2</v>
      </c>
      <c r="G1188">
        <v>47</v>
      </c>
      <c r="H1188" s="86">
        <v>45971.315494826398</v>
      </c>
      <c r="I1188" s="86">
        <v>45971.4210080556</v>
      </c>
      <c r="J1188" s="87">
        <v>2.5323175</v>
      </c>
      <c r="K1188" s="69" t="s">
        <v>274</v>
      </c>
      <c r="P1188" s="71" t="s">
        <v>275</v>
      </c>
      <c r="Q1188" s="88">
        <v>1.3861429668550401E-2</v>
      </c>
      <c r="R1188" s="89" t="s">
        <v>276</v>
      </c>
      <c r="T1188">
        <v>5.2</v>
      </c>
      <c r="U1188" s="76">
        <v>0.2</v>
      </c>
      <c r="V1188">
        <v>9.6</v>
      </c>
      <c r="W1188" s="90">
        <v>0.1</v>
      </c>
      <c r="AG1188" s="91">
        <v>0</v>
      </c>
      <c r="AK1188" s="71">
        <v>0.15</v>
      </c>
      <c r="AL1188" s="88">
        <v>3.3608034753612098E-2</v>
      </c>
      <c r="AM1188" s="89">
        <f t="shared" si="18"/>
        <v>0.22405356502408066</v>
      </c>
    </row>
    <row r="1189" spans="1:39" x14ac:dyDescent="0.25">
      <c r="A1189" t="s">
        <v>44</v>
      </c>
      <c r="B1189" t="s">
        <v>52</v>
      </c>
      <c r="C1189" s="121" t="s">
        <v>174</v>
      </c>
      <c r="D1189" t="s">
        <v>203</v>
      </c>
      <c r="E1189" t="s">
        <v>65</v>
      </c>
      <c r="F1189">
        <v>2</v>
      </c>
      <c r="G1189">
        <v>48</v>
      </c>
      <c r="H1189" s="86">
        <v>45971.4210080556</v>
      </c>
      <c r="I1189" s="86">
        <v>45971.526507962997</v>
      </c>
      <c r="J1189" s="87">
        <v>2.53199777777778</v>
      </c>
      <c r="K1189" s="69" t="s">
        <v>274</v>
      </c>
      <c r="P1189" s="71" t="s">
        <v>275</v>
      </c>
      <c r="Q1189" s="88">
        <v>1.90421758507591E-2</v>
      </c>
      <c r="R1189" s="89" t="s">
        <v>276</v>
      </c>
      <c r="T1189">
        <v>7.1</v>
      </c>
      <c r="U1189" s="76">
        <v>0.2</v>
      </c>
      <c r="V1189">
        <v>9.5</v>
      </c>
      <c r="W1189" s="90">
        <v>0.1</v>
      </c>
      <c r="AG1189" s="91">
        <v>0</v>
      </c>
      <c r="AK1189" s="71">
        <v>0.15</v>
      </c>
      <c r="AL1189" s="88">
        <v>3.3608034753612098E-2</v>
      </c>
      <c r="AM1189" s="89">
        <f t="shared" si="18"/>
        <v>0.22405356502408066</v>
      </c>
    </row>
    <row r="1190" spans="1:39" x14ac:dyDescent="0.25">
      <c r="A1190" t="s">
        <v>44</v>
      </c>
      <c r="B1190" t="s">
        <v>52</v>
      </c>
      <c r="C1190" s="121" t="s">
        <v>174</v>
      </c>
      <c r="D1190" t="s">
        <v>203</v>
      </c>
      <c r="E1190" t="s">
        <v>65</v>
      </c>
      <c r="F1190">
        <v>2</v>
      </c>
      <c r="G1190">
        <v>49</v>
      </c>
      <c r="H1190" s="86">
        <v>45971.526507962997</v>
      </c>
      <c r="I1190" s="86">
        <v>45971.632008738401</v>
      </c>
      <c r="J1190" s="87">
        <v>2.53201861111111</v>
      </c>
      <c r="K1190" s="69" t="s">
        <v>274</v>
      </c>
      <c r="P1190" s="71" t="s">
        <v>275</v>
      </c>
      <c r="Q1190" s="88">
        <v>4.6836962374163703E-2</v>
      </c>
      <c r="R1190" s="89" t="s">
        <v>276</v>
      </c>
      <c r="T1190">
        <v>9.6999999999999993</v>
      </c>
      <c r="U1190" s="76">
        <v>0.2</v>
      </c>
      <c r="V1190">
        <v>9.6</v>
      </c>
      <c r="W1190" s="90">
        <v>0.1</v>
      </c>
      <c r="AG1190" s="91">
        <v>0</v>
      </c>
      <c r="AK1190" s="71">
        <v>0.15</v>
      </c>
      <c r="AL1190" s="88">
        <v>3.3608034753612098E-2</v>
      </c>
      <c r="AM1190" s="89">
        <f t="shared" si="18"/>
        <v>0.22405356502408066</v>
      </c>
    </row>
    <row r="1191" spans="1:39" x14ac:dyDescent="0.25">
      <c r="A1191" t="s">
        <v>44</v>
      </c>
      <c r="B1191" t="s">
        <v>52</v>
      </c>
      <c r="C1191" s="121" t="s">
        <v>174</v>
      </c>
      <c r="D1191" t="s">
        <v>203</v>
      </c>
      <c r="E1191" t="s">
        <v>65</v>
      </c>
      <c r="F1191">
        <v>2</v>
      </c>
      <c r="G1191">
        <v>50</v>
      </c>
      <c r="H1191" s="86">
        <v>45971.632008738401</v>
      </c>
      <c r="I1191" s="86">
        <v>45971.737517013898</v>
      </c>
      <c r="J1191" s="87">
        <v>2.5321986111111099</v>
      </c>
      <c r="K1191" s="69" t="s">
        <v>274</v>
      </c>
      <c r="P1191" s="71" t="s">
        <v>275</v>
      </c>
      <c r="Q1191" s="88">
        <v>2.0864129354986299E-2</v>
      </c>
      <c r="R1191" s="89" t="s">
        <v>276</v>
      </c>
      <c r="T1191">
        <v>8.6</v>
      </c>
      <c r="U1191" s="76">
        <v>0.2</v>
      </c>
      <c r="V1191">
        <v>9.6999999999999993</v>
      </c>
      <c r="W1191" s="90">
        <v>0.1</v>
      </c>
      <c r="AG1191" s="91">
        <v>0</v>
      </c>
      <c r="AK1191" s="71">
        <v>0.15</v>
      </c>
      <c r="AL1191" s="88">
        <v>3.3608034753612098E-2</v>
      </c>
      <c r="AM1191" s="89">
        <f t="shared" si="18"/>
        <v>0.22405356502408066</v>
      </c>
    </row>
    <row r="1192" spans="1:39" x14ac:dyDescent="0.25">
      <c r="A1192" t="s">
        <v>44</v>
      </c>
      <c r="B1192" t="s">
        <v>52</v>
      </c>
      <c r="C1192" s="121" t="s">
        <v>174</v>
      </c>
      <c r="D1192" t="s">
        <v>203</v>
      </c>
      <c r="E1192" t="s">
        <v>65</v>
      </c>
      <c r="F1192">
        <v>2</v>
      </c>
      <c r="G1192">
        <v>51</v>
      </c>
      <c r="H1192" s="86">
        <v>45971.737517013898</v>
      </c>
      <c r="I1192" s="86">
        <v>45971.843031712997</v>
      </c>
      <c r="J1192" s="87">
        <v>2.5323527777777799</v>
      </c>
      <c r="K1192" s="69" t="s">
        <v>274</v>
      </c>
      <c r="P1192" s="71" t="s">
        <v>275</v>
      </c>
      <c r="Q1192" s="88">
        <v>1.30117008864365E-2</v>
      </c>
      <c r="R1192" s="89" t="s">
        <v>276</v>
      </c>
      <c r="T1192">
        <v>7.8</v>
      </c>
      <c r="U1192" s="76">
        <v>0.2</v>
      </c>
      <c r="V1192">
        <v>9.8000000000000007</v>
      </c>
      <c r="W1192" s="90">
        <v>0.1</v>
      </c>
      <c r="AG1192" s="91">
        <v>0</v>
      </c>
      <c r="AK1192" s="71">
        <v>0.15</v>
      </c>
      <c r="AL1192" s="88">
        <v>3.3608034753612098E-2</v>
      </c>
      <c r="AM1192" s="89">
        <f t="shared" si="18"/>
        <v>0.22405356502408066</v>
      </c>
    </row>
    <row r="1193" spans="1:39" x14ac:dyDescent="0.25">
      <c r="A1193" t="s">
        <v>44</v>
      </c>
      <c r="B1193" t="s">
        <v>52</v>
      </c>
      <c r="C1193" s="121" t="s">
        <v>174</v>
      </c>
      <c r="D1193" t="s">
        <v>203</v>
      </c>
      <c r="E1193" t="s">
        <v>65</v>
      </c>
      <c r="F1193">
        <v>2</v>
      </c>
      <c r="G1193">
        <v>52</v>
      </c>
      <c r="H1193" s="86">
        <v>45971.843031712997</v>
      </c>
      <c r="I1193" s="86">
        <v>45971.948560162004</v>
      </c>
      <c r="J1193" s="87">
        <v>2.5326827777777798</v>
      </c>
      <c r="K1193" s="69" t="s">
        <v>274</v>
      </c>
      <c r="P1193" s="71" t="s">
        <v>275</v>
      </c>
      <c r="Q1193" s="88">
        <v>1.44816866293452E-2</v>
      </c>
      <c r="R1193" s="89" t="s">
        <v>276</v>
      </c>
      <c r="T1193">
        <v>7.8</v>
      </c>
      <c r="U1193" s="76">
        <v>0.2</v>
      </c>
      <c r="V1193">
        <v>9.8000000000000007</v>
      </c>
      <c r="W1193" s="90">
        <v>0.1</v>
      </c>
      <c r="AG1193" s="91">
        <v>0</v>
      </c>
      <c r="AK1193" s="71">
        <v>0.15</v>
      </c>
      <c r="AL1193" s="88">
        <v>3.3608034753612098E-2</v>
      </c>
      <c r="AM1193" s="89">
        <f t="shared" si="18"/>
        <v>0.22405356502408066</v>
      </c>
    </row>
    <row r="1194" spans="1:39" x14ac:dyDescent="0.25">
      <c r="A1194" t="s">
        <v>44</v>
      </c>
      <c r="B1194" t="s">
        <v>52</v>
      </c>
      <c r="C1194" s="121" t="s">
        <v>174</v>
      </c>
      <c r="D1194" t="s">
        <v>203</v>
      </c>
      <c r="E1194" t="s">
        <v>65</v>
      </c>
      <c r="F1194">
        <v>2</v>
      </c>
      <c r="G1194">
        <v>53</v>
      </c>
      <c r="H1194" s="86">
        <v>45971.948560162004</v>
      </c>
      <c r="I1194" s="86">
        <v>45972.054080960697</v>
      </c>
      <c r="J1194" s="87">
        <v>2.5324991666666699</v>
      </c>
      <c r="K1194" s="69" t="s">
        <v>274</v>
      </c>
      <c r="P1194" s="71" t="s">
        <v>275</v>
      </c>
      <c r="Q1194" s="88">
        <v>1.55966414955486E-2</v>
      </c>
      <c r="R1194" s="89" t="s">
        <v>276</v>
      </c>
      <c r="T1194">
        <v>7.1</v>
      </c>
      <c r="U1194" s="76">
        <v>0.2</v>
      </c>
      <c r="V1194">
        <v>9.6999999999999993</v>
      </c>
      <c r="W1194" s="90">
        <v>0.1</v>
      </c>
      <c r="AG1194" s="91">
        <v>0</v>
      </c>
      <c r="AK1194" s="71">
        <v>0.15</v>
      </c>
      <c r="AL1194" s="88">
        <v>3.3608034753612098E-2</v>
      </c>
      <c r="AM1194" s="89">
        <f t="shared" si="18"/>
        <v>0.22405356502408066</v>
      </c>
    </row>
    <row r="1195" spans="1:39" x14ac:dyDescent="0.25">
      <c r="A1195" t="s">
        <v>44</v>
      </c>
      <c r="B1195" t="s">
        <v>52</v>
      </c>
      <c r="C1195" s="121" t="s">
        <v>174</v>
      </c>
      <c r="D1195" t="s">
        <v>203</v>
      </c>
      <c r="E1195" t="s">
        <v>65</v>
      </c>
      <c r="F1195">
        <v>2</v>
      </c>
      <c r="G1195">
        <v>54</v>
      </c>
      <c r="H1195" s="86">
        <v>45972.054080960697</v>
      </c>
      <c r="I1195" s="86">
        <v>45972.159612766198</v>
      </c>
      <c r="J1195" s="87">
        <v>2.5327633333333299</v>
      </c>
      <c r="K1195" s="69" t="s">
        <v>274</v>
      </c>
      <c r="P1195" s="71" t="s">
        <v>275</v>
      </c>
      <c r="Q1195" s="88">
        <v>1.2747878399567199E-2</v>
      </c>
      <c r="R1195" s="89" t="s">
        <v>276</v>
      </c>
      <c r="T1195">
        <v>6.3</v>
      </c>
      <c r="U1195" s="76">
        <v>0.2</v>
      </c>
      <c r="V1195">
        <v>9.6</v>
      </c>
      <c r="W1195" s="90">
        <v>0.1</v>
      </c>
      <c r="AG1195" s="91">
        <v>0</v>
      </c>
      <c r="AK1195" s="71">
        <v>0.15</v>
      </c>
      <c r="AL1195" s="88">
        <v>3.3608034753612098E-2</v>
      </c>
      <c r="AM1195" s="89">
        <f t="shared" si="18"/>
        <v>0.22405356502408066</v>
      </c>
    </row>
    <row r="1196" spans="1:39" x14ac:dyDescent="0.25">
      <c r="A1196" t="s">
        <v>44</v>
      </c>
      <c r="B1196" t="s">
        <v>52</v>
      </c>
      <c r="C1196" s="121" t="s">
        <v>174</v>
      </c>
      <c r="D1196" t="s">
        <v>203</v>
      </c>
      <c r="E1196" t="s">
        <v>65</v>
      </c>
      <c r="F1196">
        <v>2</v>
      </c>
      <c r="G1196">
        <v>55</v>
      </c>
      <c r="H1196" s="86">
        <v>45972.159612766198</v>
      </c>
      <c r="I1196" s="86">
        <v>45972.265138287003</v>
      </c>
      <c r="J1196" s="87">
        <v>2.5326124999999999</v>
      </c>
      <c r="K1196" s="69" t="s">
        <v>274</v>
      </c>
      <c r="P1196" s="71" t="s">
        <v>275</v>
      </c>
      <c r="Q1196" s="88">
        <v>9.7033172150482495E-3</v>
      </c>
      <c r="R1196" s="89" t="s">
        <v>276</v>
      </c>
      <c r="T1196">
        <v>5.8</v>
      </c>
      <c r="U1196" s="76">
        <v>0.2</v>
      </c>
      <c r="V1196">
        <v>9.5</v>
      </c>
      <c r="W1196" s="90">
        <v>0.1</v>
      </c>
      <c r="AG1196" s="91">
        <v>0</v>
      </c>
      <c r="AK1196" s="71">
        <v>0.15</v>
      </c>
      <c r="AL1196" s="88">
        <v>3.3608034753612098E-2</v>
      </c>
      <c r="AM1196" s="89">
        <f t="shared" si="18"/>
        <v>0.22405356502408066</v>
      </c>
    </row>
    <row r="1197" spans="1:39" x14ac:dyDescent="0.25">
      <c r="A1197" t="s">
        <v>44</v>
      </c>
      <c r="B1197" t="s">
        <v>52</v>
      </c>
      <c r="C1197" s="121" t="s">
        <v>174</v>
      </c>
      <c r="D1197" t="s">
        <v>203</v>
      </c>
      <c r="E1197" t="s">
        <v>65</v>
      </c>
      <c r="F1197">
        <v>2</v>
      </c>
      <c r="G1197">
        <v>56</v>
      </c>
      <c r="H1197" s="86">
        <v>45972.265138287003</v>
      </c>
      <c r="I1197" s="86">
        <v>45972.370663761598</v>
      </c>
      <c r="J1197" s="87">
        <v>2.5326113888888901</v>
      </c>
      <c r="K1197" s="69" t="s">
        <v>274</v>
      </c>
      <c r="P1197" s="71" t="s">
        <v>275</v>
      </c>
      <c r="Q1197" s="88">
        <v>1.77839462350638E-2</v>
      </c>
      <c r="R1197" s="89" t="s">
        <v>276</v>
      </c>
      <c r="T1197">
        <v>6.6</v>
      </c>
      <c r="U1197" s="76">
        <v>0.2</v>
      </c>
      <c r="V1197">
        <v>9.4</v>
      </c>
      <c r="W1197" s="90">
        <v>0.1</v>
      </c>
      <c r="AG1197" s="91">
        <v>0</v>
      </c>
      <c r="AK1197" s="71">
        <v>0.15</v>
      </c>
      <c r="AL1197" s="88">
        <v>3.3608034753612098E-2</v>
      </c>
      <c r="AM1197" s="89">
        <f t="shared" si="18"/>
        <v>0.22405356502408066</v>
      </c>
    </row>
    <row r="1198" spans="1:39" x14ac:dyDescent="0.25">
      <c r="A1198" t="s">
        <v>44</v>
      </c>
      <c r="B1198" t="s">
        <v>52</v>
      </c>
      <c r="C1198" s="121" t="s">
        <v>174</v>
      </c>
      <c r="D1198" t="s">
        <v>203</v>
      </c>
      <c r="E1198" t="s">
        <v>65</v>
      </c>
      <c r="F1198">
        <v>2</v>
      </c>
      <c r="G1198">
        <v>57</v>
      </c>
      <c r="H1198" s="86">
        <v>45972.370663761598</v>
      </c>
      <c r="I1198" s="86">
        <v>45972.476171064802</v>
      </c>
      <c r="J1198" s="87">
        <v>2.53217527777778</v>
      </c>
      <c r="K1198" s="69" t="s">
        <v>274</v>
      </c>
      <c r="P1198" s="71" t="s">
        <v>275</v>
      </c>
      <c r="Q1198" s="88">
        <v>2.3093535336048101E-2</v>
      </c>
      <c r="R1198" s="89" t="s">
        <v>276</v>
      </c>
      <c r="T1198">
        <v>7.5</v>
      </c>
      <c r="U1198" s="76">
        <v>0.2</v>
      </c>
      <c r="V1198">
        <v>9.3000000000000007</v>
      </c>
      <c r="W1198" s="90">
        <v>0.1</v>
      </c>
      <c r="AG1198" s="91">
        <v>0</v>
      </c>
      <c r="AK1198" s="71">
        <v>0.15</v>
      </c>
      <c r="AL1198" s="88">
        <v>3.3608034753612098E-2</v>
      </c>
      <c r="AM1198" s="89">
        <f t="shared" si="18"/>
        <v>0.22405356502408066</v>
      </c>
    </row>
    <row r="1199" spans="1:39" x14ac:dyDescent="0.25">
      <c r="A1199" t="s">
        <v>44</v>
      </c>
      <c r="B1199" t="s">
        <v>52</v>
      </c>
      <c r="C1199" s="121" t="s">
        <v>174</v>
      </c>
      <c r="D1199" t="s">
        <v>203</v>
      </c>
      <c r="E1199" t="s">
        <v>65</v>
      </c>
      <c r="F1199">
        <v>2</v>
      </c>
      <c r="G1199">
        <v>58</v>
      </c>
      <c r="H1199" s="86">
        <v>45972.476171064802</v>
      </c>
      <c r="I1199" s="86">
        <v>45972.581705613396</v>
      </c>
      <c r="J1199" s="87">
        <v>2.5328291666666698</v>
      </c>
      <c r="K1199" s="69" t="s">
        <v>274</v>
      </c>
      <c r="P1199" s="71" t="s">
        <v>275</v>
      </c>
      <c r="Q1199" s="88">
        <v>2.20782185025587E-2</v>
      </c>
      <c r="R1199" s="89" t="s">
        <v>276</v>
      </c>
      <c r="T1199">
        <v>8</v>
      </c>
      <c r="U1199" s="76">
        <v>0.2</v>
      </c>
      <c r="V1199">
        <v>9.3000000000000007</v>
      </c>
      <c r="W1199" s="90">
        <v>0.1</v>
      </c>
      <c r="AG1199" s="91">
        <v>0</v>
      </c>
      <c r="AK1199" s="71">
        <v>0.15</v>
      </c>
      <c r="AL1199" s="88">
        <v>3.3608034753612098E-2</v>
      </c>
      <c r="AM1199" s="89">
        <f t="shared" si="18"/>
        <v>0.22405356502408066</v>
      </c>
    </row>
    <row r="1200" spans="1:39" x14ac:dyDescent="0.25">
      <c r="A1200" t="s">
        <v>44</v>
      </c>
      <c r="B1200" t="s">
        <v>52</v>
      </c>
      <c r="C1200" s="121" t="s">
        <v>174</v>
      </c>
      <c r="D1200" t="s">
        <v>203</v>
      </c>
      <c r="E1200" t="s">
        <v>65</v>
      </c>
      <c r="F1200">
        <v>2</v>
      </c>
      <c r="G1200">
        <v>59</v>
      </c>
      <c r="H1200" s="86">
        <v>45972.581705613396</v>
      </c>
      <c r="I1200" s="86">
        <v>45972.6872383218</v>
      </c>
      <c r="J1200" s="87">
        <v>2.5327850000000001</v>
      </c>
      <c r="K1200" s="69" t="s">
        <v>274</v>
      </c>
      <c r="P1200" s="71" t="s">
        <v>275</v>
      </c>
      <c r="Q1200" s="88">
        <v>3.1023285333157999E-2</v>
      </c>
      <c r="R1200" s="89" t="s">
        <v>276</v>
      </c>
      <c r="T1200">
        <v>9.1999999999999993</v>
      </c>
      <c r="U1200" s="76">
        <v>0.2</v>
      </c>
      <c r="V1200">
        <v>9.4</v>
      </c>
      <c r="W1200" s="90">
        <v>0.1</v>
      </c>
      <c r="AG1200" s="91">
        <v>0</v>
      </c>
      <c r="AK1200" s="71">
        <v>0.15</v>
      </c>
      <c r="AL1200" s="88">
        <v>3.3608034753612098E-2</v>
      </c>
      <c r="AM1200" s="89">
        <f t="shared" si="18"/>
        <v>0.22405356502408066</v>
      </c>
    </row>
    <row r="1201" spans="1:39" x14ac:dyDescent="0.25">
      <c r="A1201" t="s">
        <v>44</v>
      </c>
      <c r="B1201" t="s">
        <v>52</v>
      </c>
      <c r="C1201" s="121" t="s">
        <v>174</v>
      </c>
      <c r="D1201" t="s">
        <v>203</v>
      </c>
      <c r="E1201" t="s">
        <v>65</v>
      </c>
      <c r="F1201">
        <v>2</v>
      </c>
      <c r="G1201">
        <v>60</v>
      </c>
      <c r="H1201" s="86">
        <v>45972.6872383218</v>
      </c>
      <c r="I1201" s="86">
        <v>45972.792761921301</v>
      </c>
      <c r="J1201" s="87">
        <v>2.5325663888888901</v>
      </c>
      <c r="K1201" s="69" t="s">
        <v>274</v>
      </c>
      <c r="P1201" s="71" t="s">
        <v>275</v>
      </c>
      <c r="Q1201" s="88">
        <v>1.74446884846883E-2</v>
      </c>
      <c r="R1201" s="89" t="s">
        <v>276</v>
      </c>
      <c r="T1201">
        <v>8.6</v>
      </c>
      <c r="U1201" s="76">
        <v>0.2</v>
      </c>
      <c r="V1201">
        <v>9.5</v>
      </c>
      <c r="W1201" s="90">
        <v>0.1</v>
      </c>
      <c r="AG1201" s="91">
        <v>0</v>
      </c>
      <c r="AK1201" s="71">
        <v>0.15</v>
      </c>
      <c r="AL1201" s="88">
        <v>3.3608034753612098E-2</v>
      </c>
      <c r="AM1201" s="89">
        <f t="shared" si="18"/>
        <v>0.22405356502408066</v>
      </c>
    </row>
    <row r="1202" spans="1:39" x14ac:dyDescent="0.25">
      <c r="A1202" t="s">
        <v>44</v>
      </c>
      <c r="B1202" t="s">
        <v>52</v>
      </c>
      <c r="C1202" s="121" t="s">
        <v>174</v>
      </c>
      <c r="D1202" t="s">
        <v>203</v>
      </c>
      <c r="E1202" t="s">
        <v>65</v>
      </c>
      <c r="F1202">
        <v>2</v>
      </c>
      <c r="G1202">
        <v>61</v>
      </c>
      <c r="H1202" s="86">
        <v>45972.792761921301</v>
      </c>
      <c r="I1202" s="86">
        <v>45972.898278530098</v>
      </c>
      <c r="J1202" s="87">
        <v>2.5323986111111099</v>
      </c>
      <c r="K1202" s="69" t="s">
        <v>274</v>
      </c>
      <c r="P1202" s="71" t="s">
        <v>275</v>
      </c>
      <c r="Q1202" s="88">
        <v>1.54948560014953E-2</v>
      </c>
      <c r="R1202" s="89" t="s">
        <v>276</v>
      </c>
      <c r="T1202">
        <v>7</v>
      </c>
      <c r="U1202" s="76">
        <v>0.2</v>
      </c>
      <c r="V1202">
        <v>9.5</v>
      </c>
      <c r="W1202" s="90">
        <v>0.1</v>
      </c>
      <c r="AG1202" s="91">
        <v>0</v>
      </c>
      <c r="AK1202" s="71">
        <v>0.15</v>
      </c>
      <c r="AL1202" s="88">
        <v>3.3608034753612098E-2</v>
      </c>
      <c r="AM1202" s="89">
        <f t="shared" si="18"/>
        <v>0.22405356502408066</v>
      </c>
    </row>
    <row r="1203" spans="1:39" x14ac:dyDescent="0.25">
      <c r="A1203" t="s">
        <v>44</v>
      </c>
      <c r="B1203" t="s">
        <v>52</v>
      </c>
      <c r="C1203" s="121" t="s">
        <v>174</v>
      </c>
      <c r="D1203" t="s">
        <v>203</v>
      </c>
      <c r="E1203" t="s">
        <v>65</v>
      </c>
      <c r="F1203">
        <v>2</v>
      </c>
      <c r="G1203">
        <v>62</v>
      </c>
      <c r="H1203" s="86">
        <v>45972.898278530098</v>
      </c>
      <c r="I1203" s="86">
        <v>45973.003807673602</v>
      </c>
      <c r="J1203" s="87">
        <v>2.5326994444444502</v>
      </c>
      <c r="K1203" s="69" t="s">
        <v>274</v>
      </c>
      <c r="P1203" s="71" t="s">
        <v>275</v>
      </c>
      <c r="Q1203" s="88">
        <v>1.34994932261916E-2</v>
      </c>
      <c r="R1203" s="89" t="s">
        <v>276</v>
      </c>
      <c r="T1203">
        <v>7.4</v>
      </c>
      <c r="U1203" s="76">
        <v>0.2</v>
      </c>
      <c r="V1203">
        <v>9.3000000000000007</v>
      </c>
      <c r="W1203" s="90">
        <v>0.1</v>
      </c>
      <c r="AG1203" s="91">
        <v>0</v>
      </c>
      <c r="AK1203" s="71">
        <v>0.15</v>
      </c>
      <c r="AL1203" s="88">
        <v>3.3608034753612098E-2</v>
      </c>
      <c r="AM1203" s="89">
        <f t="shared" si="18"/>
        <v>0.22405356502408066</v>
      </c>
    </row>
    <row r="1204" spans="1:39" x14ac:dyDescent="0.25">
      <c r="A1204" t="s">
        <v>44</v>
      </c>
      <c r="B1204" t="s">
        <v>52</v>
      </c>
      <c r="C1204" s="121" t="s">
        <v>174</v>
      </c>
      <c r="D1204" t="s">
        <v>203</v>
      </c>
      <c r="E1204" t="s">
        <v>65</v>
      </c>
      <c r="F1204">
        <v>2</v>
      </c>
      <c r="G1204">
        <v>63</v>
      </c>
      <c r="H1204" s="86">
        <v>45973.003807673602</v>
      </c>
      <c r="I1204" s="86">
        <v>45973.109326157399</v>
      </c>
      <c r="J1204" s="87">
        <v>2.5324436111111099</v>
      </c>
      <c r="K1204" s="69" t="s">
        <v>274</v>
      </c>
      <c r="P1204" s="71" t="s">
        <v>275</v>
      </c>
      <c r="Q1204" s="88">
        <v>2.83470988096307E-2</v>
      </c>
      <c r="R1204" s="89" t="s">
        <v>276</v>
      </c>
      <c r="T1204">
        <v>9.3000000000000007</v>
      </c>
      <c r="U1204" s="76">
        <v>0.2</v>
      </c>
      <c r="V1204">
        <v>9.3000000000000007</v>
      </c>
      <c r="W1204" s="90">
        <v>0.1</v>
      </c>
      <c r="AG1204" s="91">
        <v>0</v>
      </c>
      <c r="AK1204" s="71">
        <v>0.15</v>
      </c>
      <c r="AL1204" s="88">
        <v>3.3608034753612098E-2</v>
      </c>
      <c r="AM1204" s="89">
        <f t="shared" si="18"/>
        <v>0.22405356502408066</v>
      </c>
    </row>
    <row r="1205" spans="1:39" x14ac:dyDescent="0.25">
      <c r="A1205" t="s">
        <v>44</v>
      </c>
      <c r="B1205" t="s">
        <v>52</v>
      </c>
      <c r="C1205" s="121" t="s">
        <v>174</v>
      </c>
      <c r="D1205" t="s">
        <v>203</v>
      </c>
      <c r="E1205" t="s">
        <v>65</v>
      </c>
      <c r="F1205">
        <v>2</v>
      </c>
      <c r="G1205">
        <v>64</v>
      </c>
      <c r="H1205" s="86">
        <v>45973.109326157399</v>
      </c>
      <c r="I1205" s="86">
        <v>45973.214861180597</v>
      </c>
      <c r="J1205" s="87">
        <v>2.53284055555556</v>
      </c>
      <c r="K1205" s="69" t="s">
        <v>274</v>
      </c>
      <c r="P1205" s="71" t="s">
        <v>275</v>
      </c>
      <c r="Q1205" s="88">
        <v>3.9016838395547503E-2</v>
      </c>
      <c r="R1205" s="89" t="s">
        <v>276</v>
      </c>
      <c r="T1205">
        <v>9.1999999999999993</v>
      </c>
      <c r="U1205" s="76">
        <v>0.2</v>
      </c>
      <c r="V1205">
        <v>9.3000000000000007</v>
      </c>
      <c r="W1205" s="90">
        <v>0.1</v>
      </c>
      <c r="AG1205" s="91">
        <v>0</v>
      </c>
      <c r="AK1205" s="71">
        <v>0.15</v>
      </c>
      <c r="AL1205" s="88">
        <v>3.3608034753612098E-2</v>
      </c>
      <c r="AM1205" s="89">
        <f t="shared" si="18"/>
        <v>0.22405356502408066</v>
      </c>
    </row>
    <row r="1206" spans="1:39" x14ac:dyDescent="0.25">
      <c r="A1206" t="s">
        <v>44</v>
      </c>
      <c r="B1206" t="s">
        <v>52</v>
      </c>
      <c r="C1206" s="121" t="s">
        <v>174</v>
      </c>
      <c r="D1206" t="s">
        <v>203</v>
      </c>
      <c r="E1206" t="s">
        <v>65</v>
      </c>
      <c r="F1206">
        <v>2</v>
      </c>
      <c r="G1206">
        <v>65</v>
      </c>
      <c r="H1206" s="86">
        <v>45973.214861180597</v>
      </c>
      <c r="I1206" s="86">
        <v>45973.320387187501</v>
      </c>
      <c r="J1206" s="87">
        <v>2.53262416666667</v>
      </c>
      <c r="K1206" s="69" t="s">
        <v>274</v>
      </c>
      <c r="P1206" s="71" t="s">
        <v>275</v>
      </c>
      <c r="Q1206" s="88">
        <v>3.51061074431787E-2</v>
      </c>
      <c r="R1206" s="89" t="s">
        <v>276</v>
      </c>
      <c r="T1206">
        <v>9</v>
      </c>
      <c r="U1206" s="76">
        <v>0.2</v>
      </c>
      <c r="V1206">
        <v>9.4</v>
      </c>
      <c r="W1206" s="90">
        <v>0.1</v>
      </c>
      <c r="AG1206" s="91">
        <v>0</v>
      </c>
      <c r="AK1206" s="71">
        <v>0.15</v>
      </c>
      <c r="AL1206" s="88">
        <v>3.3608034753612098E-2</v>
      </c>
      <c r="AM1206" s="89">
        <f t="shared" si="18"/>
        <v>0.22405356502408066</v>
      </c>
    </row>
    <row r="1207" spans="1:39" x14ac:dyDescent="0.25">
      <c r="A1207" t="s">
        <v>44</v>
      </c>
      <c r="B1207" t="s">
        <v>52</v>
      </c>
      <c r="C1207" s="121" t="s">
        <v>174</v>
      </c>
      <c r="D1207" t="s">
        <v>203</v>
      </c>
      <c r="E1207" t="s">
        <v>65</v>
      </c>
      <c r="F1207">
        <v>2</v>
      </c>
      <c r="G1207">
        <v>66</v>
      </c>
      <c r="H1207" s="86">
        <v>45973.320387187501</v>
      </c>
      <c r="I1207" s="86">
        <v>45973.425914618099</v>
      </c>
      <c r="J1207" s="87">
        <v>2.5326583333333299</v>
      </c>
      <c r="K1207" s="69" t="s">
        <v>274</v>
      </c>
      <c r="P1207" s="71" t="s">
        <v>275</v>
      </c>
      <c r="Q1207" s="88">
        <v>3.6175133826138101E-2</v>
      </c>
      <c r="R1207" s="89" t="s">
        <v>276</v>
      </c>
      <c r="T1207">
        <v>9</v>
      </c>
      <c r="U1207" s="76">
        <v>0.2</v>
      </c>
      <c r="V1207">
        <v>9.4</v>
      </c>
      <c r="W1207" s="90">
        <v>0.1</v>
      </c>
      <c r="AG1207" s="91">
        <v>0</v>
      </c>
      <c r="AK1207" s="71">
        <v>0.15</v>
      </c>
      <c r="AL1207" s="88">
        <v>3.3608034753612098E-2</v>
      </c>
      <c r="AM1207" s="89">
        <f t="shared" si="18"/>
        <v>0.22405356502408066</v>
      </c>
    </row>
    <row r="1208" spans="1:39" x14ac:dyDescent="0.25">
      <c r="A1208" t="s">
        <v>44</v>
      </c>
      <c r="B1208" t="s">
        <v>52</v>
      </c>
      <c r="C1208" s="121" t="s">
        <v>174</v>
      </c>
      <c r="D1208" t="s">
        <v>204</v>
      </c>
      <c r="E1208" t="s">
        <v>65</v>
      </c>
      <c r="F1208">
        <v>3</v>
      </c>
      <c r="G1208">
        <v>1</v>
      </c>
      <c r="H1208" s="86">
        <v>45966.525158912002</v>
      </c>
      <c r="I1208" s="86">
        <v>45966.568001863401</v>
      </c>
      <c r="J1208" s="87">
        <v>1.0282308333333301</v>
      </c>
      <c r="K1208" s="69" t="s">
        <v>274</v>
      </c>
      <c r="P1208" s="71" t="s">
        <v>275</v>
      </c>
      <c r="Q1208" s="88">
        <v>9.6558926989021195E-3</v>
      </c>
      <c r="R1208" s="89" t="s">
        <v>276</v>
      </c>
      <c r="T1208">
        <v>13</v>
      </c>
      <c r="U1208" s="76">
        <v>0.2</v>
      </c>
      <c r="V1208">
        <v>10.9</v>
      </c>
      <c r="W1208" s="90">
        <v>0.1</v>
      </c>
      <c r="AG1208" s="91">
        <v>0</v>
      </c>
      <c r="AK1208" s="71">
        <v>0.15</v>
      </c>
      <c r="AL1208" s="88">
        <v>3.4047026301866699E-2</v>
      </c>
      <c r="AM1208" s="89">
        <f t="shared" si="18"/>
        <v>0.226980175345778</v>
      </c>
    </row>
    <row r="1209" spans="1:39" x14ac:dyDescent="0.25">
      <c r="A1209" t="s">
        <v>44</v>
      </c>
      <c r="B1209" t="s">
        <v>52</v>
      </c>
      <c r="C1209" s="121" t="s">
        <v>174</v>
      </c>
      <c r="D1209" t="s">
        <v>204</v>
      </c>
      <c r="E1209" t="s">
        <v>65</v>
      </c>
      <c r="F1209">
        <v>3</v>
      </c>
      <c r="G1209">
        <v>2</v>
      </c>
      <c r="H1209" s="86">
        <v>45966.568001863401</v>
      </c>
      <c r="I1209" s="86">
        <v>45966.678569988399</v>
      </c>
      <c r="J1209" s="87">
        <v>2.653635</v>
      </c>
      <c r="K1209" s="69" t="s">
        <v>274</v>
      </c>
      <c r="P1209" s="71" t="s">
        <v>275</v>
      </c>
      <c r="Q1209" s="88">
        <v>1.6295014938191799E-2</v>
      </c>
      <c r="R1209" s="89" t="s">
        <v>276</v>
      </c>
      <c r="T1209">
        <v>12.9</v>
      </c>
      <c r="U1209" s="76">
        <v>0.2</v>
      </c>
      <c r="V1209">
        <v>10.9</v>
      </c>
      <c r="W1209" s="90">
        <v>0.1</v>
      </c>
      <c r="AG1209" s="91">
        <v>0</v>
      </c>
      <c r="AK1209" s="71">
        <v>0.15</v>
      </c>
      <c r="AL1209" s="88">
        <v>3.4047026301866699E-2</v>
      </c>
      <c r="AM1209" s="89">
        <f t="shared" si="18"/>
        <v>0.226980175345778</v>
      </c>
    </row>
    <row r="1210" spans="1:39" x14ac:dyDescent="0.25">
      <c r="A1210" t="s">
        <v>44</v>
      </c>
      <c r="B1210" t="s">
        <v>52</v>
      </c>
      <c r="C1210" s="121" t="s">
        <v>174</v>
      </c>
      <c r="D1210" t="s">
        <v>204</v>
      </c>
      <c r="E1210" t="s">
        <v>65</v>
      </c>
      <c r="F1210">
        <v>3</v>
      </c>
      <c r="G1210">
        <v>3</v>
      </c>
      <c r="H1210" s="86">
        <v>45966.678569988399</v>
      </c>
      <c r="I1210" s="86">
        <v>45966.784091689799</v>
      </c>
      <c r="J1210" s="87">
        <v>2.5325208333333298</v>
      </c>
      <c r="K1210" s="69" t="s">
        <v>274</v>
      </c>
      <c r="P1210" s="71" t="s">
        <v>275</v>
      </c>
      <c r="Q1210" s="88">
        <v>2.4891272936269401E-2</v>
      </c>
      <c r="R1210" s="89" t="s">
        <v>276</v>
      </c>
      <c r="T1210">
        <v>12.1</v>
      </c>
      <c r="U1210" s="76">
        <v>0.2</v>
      </c>
      <c r="V1210">
        <v>11</v>
      </c>
      <c r="W1210" s="90">
        <v>0.1</v>
      </c>
      <c r="AG1210" s="91">
        <v>0</v>
      </c>
      <c r="AK1210" s="71">
        <v>0.15</v>
      </c>
      <c r="AL1210" s="88">
        <v>3.4047026301866699E-2</v>
      </c>
      <c r="AM1210" s="89">
        <f t="shared" si="18"/>
        <v>0.226980175345778</v>
      </c>
    </row>
    <row r="1211" spans="1:39" x14ac:dyDescent="0.25">
      <c r="A1211" t="s">
        <v>44</v>
      </c>
      <c r="B1211" t="s">
        <v>52</v>
      </c>
      <c r="C1211" s="121" t="s">
        <v>174</v>
      </c>
      <c r="D1211" t="s">
        <v>204</v>
      </c>
      <c r="E1211" t="s">
        <v>65</v>
      </c>
      <c r="F1211">
        <v>3</v>
      </c>
      <c r="G1211">
        <v>4</v>
      </c>
      <c r="H1211" s="86">
        <v>45966.784091689799</v>
      </c>
      <c r="I1211" s="86">
        <v>45966.889623425901</v>
      </c>
      <c r="J1211" s="87">
        <v>2.5327616666666701</v>
      </c>
      <c r="K1211" s="69" t="s">
        <v>274</v>
      </c>
      <c r="P1211" s="71" t="s">
        <v>275</v>
      </c>
      <c r="Q1211" s="88">
        <v>2.3249107538296999E-2</v>
      </c>
      <c r="R1211" s="89" t="s">
        <v>276</v>
      </c>
      <c r="T1211">
        <v>10.5</v>
      </c>
      <c r="U1211" s="76">
        <v>0.2</v>
      </c>
      <c r="V1211">
        <v>11.1</v>
      </c>
      <c r="W1211" s="90">
        <v>0.1</v>
      </c>
      <c r="AG1211" s="91">
        <v>0</v>
      </c>
      <c r="AK1211" s="71">
        <v>0.15</v>
      </c>
      <c r="AL1211" s="88">
        <v>3.4047026301866699E-2</v>
      </c>
      <c r="AM1211" s="89">
        <f t="shared" si="18"/>
        <v>0.226980175345778</v>
      </c>
    </row>
    <row r="1212" spans="1:39" x14ac:dyDescent="0.25">
      <c r="A1212" t="s">
        <v>44</v>
      </c>
      <c r="B1212" t="s">
        <v>52</v>
      </c>
      <c r="C1212" s="121" t="s">
        <v>174</v>
      </c>
      <c r="D1212" t="s">
        <v>204</v>
      </c>
      <c r="E1212" t="s">
        <v>65</v>
      </c>
      <c r="F1212">
        <v>3</v>
      </c>
      <c r="G1212">
        <v>5</v>
      </c>
      <c r="H1212" s="86">
        <v>45966.889623425901</v>
      </c>
      <c r="I1212" s="86">
        <v>45966.995140555598</v>
      </c>
      <c r="J1212" s="87">
        <v>2.5324111111111098</v>
      </c>
      <c r="K1212" s="69" t="s">
        <v>274</v>
      </c>
      <c r="P1212" s="71" t="s">
        <v>275</v>
      </c>
      <c r="Q1212" s="88">
        <v>3.3926555590351001E-2</v>
      </c>
      <c r="R1212" s="89" t="s">
        <v>276</v>
      </c>
      <c r="T1212">
        <v>10.7</v>
      </c>
      <c r="U1212" s="76">
        <v>0.2</v>
      </c>
      <c r="V1212">
        <v>11</v>
      </c>
      <c r="W1212" s="90">
        <v>0.1</v>
      </c>
      <c r="AG1212" s="91">
        <v>0</v>
      </c>
      <c r="AK1212" s="71">
        <v>0.15</v>
      </c>
      <c r="AL1212" s="88">
        <v>3.4047026301866699E-2</v>
      </c>
      <c r="AM1212" s="89">
        <f t="shared" si="18"/>
        <v>0.226980175345778</v>
      </c>
    </row>
    <row r="1213" spans="1:39" x14ac:dyDescent="0.25">
      <c r="A1213" t="s">
        <v>44</v>
      </c>
      <c r="B1213" t="s">
        <v>52</v>
      </c>
      <c r="C1213" s="121" t="s">
        <v>174</v>
      </c>
      <c r="D1213" t="s">
        <v>204</v>
      </c>
      <c r="E1213" t="s">
        <v>65</v>
      </c>
      <c r="F1213">
        <v>3</v>
      </c>
      <c r="G1213">
        <v>6</v>
      </c>
      <c r="H1213" s="86">
        <v>45966.995140555598</v>
      </c>
      <c r="I1213" s="86">
        <v>45967.100684965299</v>
      </c>
      <c r="J1213" s="87">
        <v>2.53306583333333</v>
      </c>
      <c r="K1213" s="69" t="s">
        <v>274</v>
      </c>
      <c r="P1213" s="71" t="s">
        <v>275</v>
      </c>
      <c r="Q1213" s="88">
        <v>2.7527861791741701E-2</v>
      </c>
      <c r="R1213" s="89" t="s">
        <v>276</v>
      </c>
      <c r="T1213">
        <v>10.6</v>
      </c>
      <c r="U1213" s="76">
        <v>0.2</v>
      </c>
      <c r="V1213">
        <v>11</v>
      </c>
      <c r="W1213" s="90">
        <v>0.1</v>
      </c>
      <c r="AG1213" s="91">
        <v>0.1</v>
      </c>
      <c r="AK1213" s="71">
        <v>0.15</v>
      </c>
      <c r="AL1213" s="88">
        <v>3.4047026301866699E-2</v>
      </c>
      <c r="AM1213" s="89">
        <f t="shared" si="18"/>
        <v>0.226980175345778</v>
      </c>
    </row>
    <row r="1214" spans="1:39" x14ac:dyDescent="0.25">
      <c r="A1214" t="s">
        <v>44</v>
      </c>
      <c r="B1214" t="s">
        <v>52</v>
      </c>
      <c r="C1214" s="121" t="s">
        <v>174</v>
      </c>
      <c r="D1214" t="s">
        <v>204</v>
      </c>
      <c r="E1214" t="s">
        <v>65</v>
      </c>
      <c r="F1214">
        <v>3</v>
      </c>
      <c r="G1214">
        <v>7</v>
      </c>
      <c r="H1214" s="86">
        <v>45967.100684965299</v>
      </c>
      <c r="I1214" s="86">
        <v>45967.2062017477</v>
      </c>
      <c r="J1214" s="87">
        <v>2.5324027777777798</v>
      </c>
      <c r="K1214" s="69" t="s">
        <v>274</v>
      </c>
      <c r="P1214" s="71" t="s">
        <v>275</v>
      </c>
      <c r="Q1214" s="88">
        <v>3.2790757736886299E-2</v>
      </c>
      <c r="R1214" s="89" t="s">
        <v>276</v>
      </c>
      <c r="T1214">
        <v>10.4</v>
      </c>
      <c r="U1214" s="76">
        <v>0.2</v>
      </c>
      <c r="V1214">
        <v>11</v>
      </c>
      <c r="W1214" s="90">
        <v>0.1</v>
      </c>
      <c r="AG1214" s="91">
        <v>0</v>
      </c>
      <c r="AK1214" s="71">
        <v>0.15</v>
      </c>
      <c r="AL1214" s="88">
        <v>3.4047026301866699E-2</v>
      </c>
      <c r="AM1214" s="89">
        <f t="shared" si="18"/>
        <v>0.226980175345778</v>
      </c>
    </row>
    <row r="1215" spans="1:39" x14ac:dyDescent="0.25">
      <c r="A1215" t="s">
        <v>44</v>
      </c>
      <c r="B1215" t="s">
        <v>52</v>
      </c>
      <c r="C1215" s="121" t="s">
        <v>174</v>
      </c>
      <c r="D1215" t="s">
        <v>204</v>
      </c>
      <c r="E1215" t="s">
        <v>65</v>
      </c>
      <c r="F1215">
        <v>3</v>
      </c>
      <c r="G1215">
        <v>8</v>
      </c>
      <c r="H1215" s="86">
        <v>45967.2062017477</v>
      </c>
      <c r="I1215" s="86">
        <v>45967.311730891197</v>
      </c>
      <c r="J1215" s="87">
        <v>2.5326994444444502</v>
      </c>
      <c r="K1215" s="69" t="s">
        <v>274</v>
      </c>
      <c r="P1215" s="71" t="s">
        <v>275</v>
      </c>
      <c r="Q1215" s="88">
        <v>3.3720374370298498E-2</v>
      </c>
      <c r="R1215" s="89" t="s">
        <v>276</v>
      </c>
      <c r="T1215">
        <v>10.3</v>
      </c>
      <c r="U1215" s="76">
        <v>0.2</v>
      </c>
      <c r="V1215">
        <v>10.9</v>
      </c>
      <c r="W1215" s="90">
        <v>0.1</v>
      </c>
      <c r="AG1215" s="91">
        <v>0</v>
      </c>
      <c r="AK1215" s="71">
        <v>0.15</v>
      </c>
      <c r="AL1215" s="88">
        <v>3.4047026301866699E-2</v>
      </c>
      <c r="AM1215" s="89">
        <f t="shared" si="18"/>
        <v>0.226980175345778</v>
      </c>
    </row>
    <row r="1216" spans="1:39" x14ac:dyDescent="0.25">
      <c r="A1216" t="s">
        <v>44</v>
      </c>
      <c r="B1216" t="s">
        <v>52</v>
      </c>
      <c r="C1216" s="121" t="s">
        <v>174</v>
      </c>
      <c r="D1216" t="s">
        <v>204</v>
      </c>
      <c r="E1216" t="s">
        <v>65</v>
      </c>
      <c r="F1216">
        <v>3</v>
      </c>
      <c r="G1216">
        <v>9</v>
      </c>
      <c r="H1216" s="86">
        <v>45967.311730891197</v>
      </c>
      <c r="I1216" s="86">
        <v>45967.4172634028</v>
      </c>
      <c r="J1216" s="87">
        <v>2.5327802777777801</v>
      </c>
      <c r="K1216" s="69" t="s">
        <v>274</v>
      </c>
      <c r="P1216" s="71" t="s">
        <v>275</v>
      </c>
      <c r="Q1216" s="88">
        <v>2.8107851368640399E-2</v>
      </c>
      <c r="R1216" s="89" t="s">
        <v>276</v>
      </c>
      <c r="T1216">
        <v>9.5</v>
      </c>
      <c r="U1216" s="76">
        <v>0.2</v>
      </c>
      <c r="V1216">
        <v>10.9</v>
      </c>
      <c r="W1216" s="90">
        <v>0.1</v>
      </c>
      <c r="AG1216" s="91">
        <v>0</v>
      </c>
      <c r="AK1216" s="71">
        <v>0.15</v>
      </c>
      <c r="AL1216" s="88">
        <v>3.4047026301866699E-2</v>
      </c>
      <c r="AM1216" s="89">
        <f t="shared" si="18"/>
        <v>0.226980175345778</v>
      </c>
    </row>
    <row r="1217" spans="1:39" x14ac:dyDescent="0.25">
      <c r="A1217" t="s">
        <v>44</v>
      </c>
      <c r="B1217" t="s">
        <v>52</v>
      </c>
      <c r="C1217" s="121" t="s">
        <v>174</v>
      </c>
      <c r="D1217" t="s">
        <v>204</v>
      </c>
      <c r="E1217" t="s">
        <v>65</v>
      </c>
      <c r="F1217">
        <v>3</v>
      </c>
      <c r="G1217">
        <v>10</v>
      </c>
      <c r="H1217" s="86">
        <v>45967.4172634028</v>
      </c>
      <c r="I1217" s="86">
        <v>45967.5227936921</v>
      </c>
      <c r="J1217" s="87">
        <v>2.5327269444444398</v>
      </c>
      <c r="K1217" s="69" t="s">
        <v>274</v>
      </c>
      <c r="P1217" s="71" t="s">
        <v>275</v>
      </c>
      <c r="Q1217" s="88">
        <v>7.8603391670000106E-2</v>
      </c>
      <c r="R1217" s="89" t="s">
        <v>276</v>
      </c>
      <c r="T1217">
        <v>13.3</v>
      </c>
      <c r="U1217" s="76">
        <v>0.2</v>
      </c>
      <c r="V1217">
        <v>10.8</v>
      </c>
      <c r="W1217" s="90">
        <v>0.1</v>
      </c>
      <c r="AG1217" s="91">
        <v>0</v>
      </c>
      <c r="AK1217" s="71">
        <v>0.15</v>
      </c>
      <c r="AL1217" s="88">
        <v>3.4047026301866699E-2</v>
      </c>
      <c r="AM1217" s="89">
        <f t="shared" si="18"/>
        <v>0.226980175345778</v>
      </c>
    </row>
    <row r="1218" spans="1:39" x14ac:dyDescent="0.25">
      <c r="A1218" t="s">
        <v>44</v>
      </c>
      <c r="B1218" t="s">
        <v>52</v>
      </c>
      <c r="C1218" s="121" t="s">
        <v>174</v>
      </c>
      <c r="D1218" t="s">
        <v>204</v>
      </c>
      <c r="E1218" t="s">
        <v>65</v>
      </c>
      <c r="F1218">
        <v>3</v>
      </c>
      <c r="G1218">
        <v>11</v>
      </c>
      <c r="H1218" s="86">
        <v>45967.5227936921</v>
      </c>
      <c r="I1218" s="86">
        <v>45967.628307361098</v>
      </c>
      <c r="J1218" s="87">
        <v>2.5323280555555598</v>
      </c>
      <c r="K1218" s="69" t="s">
        <v>274</v>
      </c>
      <c r="P1218" s="71" t="s">
        <v>275</v>
      </c>
      <c r="Q1218" s="88">
        <v>9.8303808114605998E-2</v>
      </c>
      <c r="R1218" s="89" t="s">
        <v>276</v>
      </c>
      <c r="T1218">
        <v>15.9</v>
      </c>
      <c r="U1218" s="76">
        <v>0.2</v>
      </c>
      <c r="V1218">
        <v>11</v>
      </c>
      <c r="W1218" s="90">
        <v>0.1</v>
      </c>
      <c r="AG1218" s="91">
        <v>0</v>
      </c>
      <c r="AK1218" s="71">
        <v>0.15</v>
      </c>
      <c r="AL1218" s="88">
        <v>3.4047026301866699E-2</v>
      </c>
      <c r="AM1218" s="89">
        <f t="shared" si="18"/>
        <v>0.226980175345778</v>
      </c>
    </row>
    <row r="1219" spans="1:39" x14ac:dyDescent="0.25">
      <c r="A1219" t="s">
        <v>44</v>
      </c>
      <c r="B1219" t="s">
        <v>52</v>
      </c>
      <c r="C1219" s="121" t="s">
        <v>174</v>
      </c>
      <c r="D1219" t="s">
        <v>204</v>
      </c>
      <c r="E1219" t="s">
        <v>65</v>
      </c>
      <c r="F1219">
        <v>3</v>
      </c>
      <c r="G1219">
        <v>12</v>
      </c>
      <c r="H1219" s="86">
        <v>45967.628307361098</v>
      </c>
      <c r="I1219" s="86">
        <v>45967.733836446801</v>
      </c>
      <c r="J1219" s="87">
        <v>2.53269805555556</v>
      </c>
      <c r="K1219" s="69" t="s">
        <v>274</v>
      </c>
      <c r="P1219" s="71" t="s">
        <v>275</v>
      </c>
      <c r="Q1219" s="88">
        <v>4.7288371680530003E-2</v>
      </c>
      <c r="R1219" s="89" t="s">
        <v>276</v>
      </c>
      <c r="T1219">
        <v>12.7</v>
      </c>
      <c r="U1219" s="76">
        <v>0.2</v>
      </c>
      <c r="V1219">
        <v>11.2</v>
      </c>
      <c r="W1219" s="90">
        <v>0.1</v>
      </c>
      <c r="AG1219" s="91">
        <v>0</v>
      </c>
      <c r="AK1219" s="71">
        <v>0.15</v>
      </c>
      <c r="AL1219" s="88">
        <v>3.4047026301866699E-2</v>
      </c>
      <c r="AM1219" s="89">
        <f t="shared" si="18"/>
        <v>0.226980175345778</v>
      </c>
    </row>
    <row r="1220" spans="1:39" x14ac:dyDescent="0.25">
      <c r="A1220" t="s">
        <v>44</v>
      </c>
      <c r="B1220" t="s">
        <v>52</v>
      </c>
      <c r="C1220" s="121" t="s">
        <v>174</v>
      </c>
      <c r="D1220" t="s">
        <v>204</v>
      </c>
      <c r="E1220" t="s">
        <v>65</v>
      </c>
      <c r="F1220">
        <v>3</v>
      </c>
      <c r="G1220">
        <v>13</v>
      </c>
      <c r="H1220" s="86">
        <v>45967.733836446801</v>
      </c>
      <c r="I1220" s="86">
        <v>45967.839356030097</v>
      </c>
      <c r="J1220" s="87">
        <v>2.53247</v>
      </c>
      <c r="K1220" s="69" t="s">
        <v>274</v>
      </c>
      <c r="P1220" s="71" t="s">
        <v>275</v>
      </c>
      <c r="Q1220" s="88">
        <v>1.8079171325706599E-2</v>
      </c>
      <c r="R1220" s="89" t="s">
        <v>276</v>
      </c>
      <c r="T1220">
        <v>7.9</v>
      </c>
      <c r="U1220" s="76">
        <v>0.2</v>
      </c>
      <c r="V1220">
        <v>11.2</v>
      </c>
      <c r="W1220" s="90">
        <v>0.1</v>
      </c>
      <c r="AG1220" s="91">
        <v>0</v>
      </c>
      <c r="AK1220" s="71">
        <v>0.15</v>
      </c>
      <c r="AL1220" s="88">
        <v>3.4047026301866699E-2</v>
      </c>
      <c r="AM1220" s="89">
        <f t="shared" si="18"/>
        <v>0.226980175345778</v>
      </c>
    </row>
    <row r="1221" spans="1:39" x14ac:dyDescent="0.25">
      <c r="A1221" t="s">
        <v>44</v>
      </c>
      <c r="B1221" t="s">
        <v>52</v>
      </c>
      <c r="C1221" s="121" t="s">
        <v>174</v>
      </c>
      <c r="D1221" t="s">
        <v>204</v>
      </c>
      <c r="E1221" t="s">
        <v>65</v>
      </c>
      <c r="F1221">
        <v>3</v>
      </c>
      <c r="G1221">
        <v>14</v>
      </c>
      <c r="H1221" s="86">
        <v>45967.839356030097</v>
      </c>
      <c r="I1221" s="86">
        <v>45967.944886620397</v>
      </c>
      <c r="J1221" s="87">
        <v>2.5327341666666698</v>
      </c>
      <c r="K1221" s="69" t="s">
        <v>274</v>
      </c>
      <c r="P1221" s="71" t="s">
        <v>275</v>
      </c>
      <c r="Q1221" s="88">
        <v>1.1376679863554499E-2</v>
      </c>
      <c r="R1221" s="89" t="s">
        <v>276</v>
      </c>
      <c r="T1221">
        <v>6.7</v>
      </c>
      <c r="U1221" s="76">
        <v>0.2</v>
      </c>
      <c r="V1221">
        <v>11</v>
      </c>
      <c r="W1221" s="90">
        <v>0.1</v>
      </c>
      <c r="AG1221" s="91">
        <v>0</v>
      </c>
      <c r="AK1221" s="71">
        <v>0.15</v>
      </c>
      <c r="AL1221" s="88">
        <v>3.4047026301866699E-2</v>
      </c>
      <c r="AM1221" s="89">
        <f t="shared" ref="AM1221:AM1284" si="19">AL1221/AK1221</f>
        <v>0.226980175345778</v>
      </c>
    </row>
    <row r="1222" spans="1:39" x14ac:dyDescent="0.25">
      <c r="A1222" t="s">
        <v>44</v>
      </c>
      <c r="B1222" t="s">
        <v>52</v>
      </c>
      <c r="C1222" s="121" t="s">
        <v>174</v>
      </c>
      <c r="D1222" t="s">
        <v>204</v>
      </c>
      <c r="E1222" t="s">
        <v>65</v>
      </c>
      <c r="F1222">
        <v>3</v>
      </c>
      <c r="G1222">
        <v>15</v>
      </c>
      <c r="H1222" s="86">
        <v>45967.944886620397</v>
      </c>
      <c r="I1222" s="86">
        <v>45968.050398159699</v>
      </c>
      <c r="J1222" s="87">
        <v>2.53227694444444</v>
      </c>
      <c r="K1222" s="69" t="s">
        <v>274</v>
      </c>
      <c r="P1222" s="71" t="s">
        <v>275</v>
      </c>
      <c r="Q1222" s="88">
        <v>1.2788129770905E-2</v>
      </c>
      <c r="R1222" s="89" t="s">
        <v>276</v>
      </c>
      <c r="T1222">
        <v>7.1</v>
      </c>
      <c r="U1222" s="76">
        <v>0.2</v>
      </c>
      <c r="V1222">
        <v>10.7</v>
      </c>
      <c r="W1222" s="90">
        <v>0.1</v>
      </c>
      <c r="AG1222" s="91">
        <v>0</v>
      </c>
      <c r="AK1222" s="71">
        <v>0.15</v>
      </c>
      <c r="AL1222" s="88">
        <v>3.4047026301866699E-2</v>
      </c>
      <c r="AM1222" s="89">
        <f t="shared" si="19"/>
        <v>0.226980175345778</v>
      </c>
    </row>
    <row r="1223" spans="1:39" x14ac:dyDescent="0.25">
      <c r="A1223" t="s">
        <v>44</v>
      </c>
      <c r="B1223" t="s">
        <v>52</v>
      </c>
      <c r="C1223" s="121" t="s">
        <v>174</v>
      </c>
      <c r="D1223" t="s">
        <v>204</v>
      </c>
      <c r="E1223" t="s">
        <v>65</v>
      </c>
      <c r="F1223">
        <v>3</v>
      </c>
      <c r="G1223">
        <v>16</v>
      </c>
      <c r="H1223" s="86">
        <v>45968.050398159699</v>
      </c>
      <c r="I1223" s="86">
        <v>45968.155922500002</v>
      </c>
      <c r="J1223" s="87">
        <v>2.5325841666666702</v>
      </c>
      <c r="K1223" s="69" t="s">
        <v>274</v>
      </c>
      <c r="P1223" s="71" t="s">
        <v>275</v>
      </c>
      <c r="Q1223" s="88">
        <v>1.26624114814667E-2</v>
      </c>
      <c r="R1223" s="89" t="s">
        <v>276</v>
      </c>
      <c r="T1223">
        <v>5.9</v>
      </c>
      <c r="U1223" s="76">
        <v>0.2</v>
      </c>
      <c r="V1223">
        <v>10.5</v>
      </c>
      <c r="W1223" s="90">
        <v>0.1</v>
      </c>
      <c r="AG1223" s="91">
        <v>0</v>
      </c>
      <c r="AK1223" s="71">
        <v>0.15</v>
      </c>
      <c r="AL1223" s="88">
        <v>3.4047026301866699E-2</v>
      </c>
      <c r="AM1223" s="89">
        <f t="shared" si="19"/>
        <v>0.226980175345778</v>
      </c>
    </row>
    <row r="1224" spans="1:39" x14ac:dyDescent="0.25">
      <c r="A1224" t="s">
        <v>44</v>
      </c>
      <c r="B1224" t="s">
        <v>52</v>
      </c>
      <c r="C1224" s="121" t="s">
        <v>174</v>
      </c>
      <c r="D1224" t="s">
        <v>204</v>
      </c>
      <c r="E1224" t="s">
        <v>65</v>
      </c>
      <c r="F1224">
        <v>3</v>
      </c>
      <c r="G1224">
        <v>17</v>
      </c>
      <c r="H1224" s="86">
        <v>45968.155922500002</v>
      </c>
      <c r="I1224" s="86">
        <v>45968.261446481498</v>
      </c>
      <c r="J1224" s="87">
        <v>2.5325755555555598</v>
      </c>
      <c r="K1224" s="69" t="s">
        <v>274</v>
      </c>
      <c r="P1224" s="71" t="s">
        <v>275</v>
      </c>
      <c r="Q1224" s="88">
        <v>8.3322826328143702E-3</v>
      </c>
      <c r="R1224" s="89" t="s">
        <v>276</v>
      </c>
      <c r="T1224">
        <v>4</v>
      </c>
      <c r="U1224" s="76">
        <v>0.2</v>
      </c>
      <c r="V1224">
        <v>10.199999999999999</v>
      </c>
      <c r="W1224" s="90">
        <v>0.1</v>
      </c>
      <c r="AG1224" s="91">
        <v>0</v>
      </c>
      <c r="AK1224" s="71">
        <v>0.15</v>
      </c>
      <c r="AL1224" s="88">
        <v>3.4047026301866699E-2</v>
      </c>
      <c r="AM1224" s="89">
        <f t="shared" si="19"/>
        <v>0.226980175345778</v>
      </c>
    </row>
    <row r="1225" spans="1:39" x14ac:dyDescent="0.25">
      <c r="A1225" t="s">
        <v>44</v>
      </c>
      <c r="B1225" t="s">
        <v>52</v>
      </c>
      <c r="C1225" s="121" t="s">
        <v>174</v>
      </c>
      <c r="D1225" t="s">
        <v>204</v>
      </c>
      <c r="E1225" t="s">
        <v>65</v>
      </c>
      <c r="F1225">
        <v>3</v>
      </c>
      <c r="G1225">
        <v>18</v>
      </c>
      <c r="H1225" s="86">
        <v>45968.261446481498</v>
      </c>
      <c r="I1225" s="86">
        <v>45968.366981898202</v>
      </c>
      <c r="J1225" s="87">
        <v>2.5328499999999998</v>
      </c>
      <c r="K1225" s="69" t="s">
        <v>274</v>
      </c>
      <c r="P1225" s="71" t="s">
        <v>275</v>
      </c>
      <c r="Q1225" s="88">
        <v>7.7954220963423297E-3</v>
      </c>
      <c r="R1225" s="89" t="s">
        <v>276</v>
      </c>
      <c r="T1225">
        <v>5.7</v>
      </c>
      <c r="U1225" s="76">
        <v>0.2</v>
      </c>
      <c r="V1225">
        <v>10</v>
      </c>
      <c r="W1225" s="90">
        <v>0.1</v>
      </c>
      <c r="AG1225" s="91">
        <v>0</v>
      </c>
      <c r="AK1225" s="71">
        <v>0.15</v>
      </c>
      <c r="AL1225" s="88">
        <v>3.4047026301866699E-2</v>
      </c>
      <c r="AM1225" s="89">
        <f t="shared" si="19"/>
        <v>0.226980175345778</v>
      </c>
    </row>
    <row r="1226" spans="1:39" x14ac:dyDescent="0.25">
      <c r="A1226" t="s">
        <v>44</v>
      </c>
      <c r="B1226" t="s">
        <v>52</v>
      </c>
      <c r="C1226" s="121" t="s">
        <v>174</v>
      </c>
      <c r="D1226" t="s">
        <v>204</v>
      </c>
      <c r="E1226" t="s">
        <v>65</v>
      </c>
      <c r="F1226">
        <v>3</v>
      </c>
      <c r="G1226">
        <v>19</v>
      </c>
      <c r="H1226" s="86">
        <v>45968.366981898202</v>
      </c>
      <c r="I1226" s="86">
        <v>45968.472514386602</v>
      </c>
      <c r="J1226" s="87">
        <v>2.5327797222222199</v>
      </c>
      <c r="K1226" s="69" t="s">
        <v>274</v>
      </c>
      <c r="P1226" s="71" t="s">
        <v>275</v>
      </c>
      <c r="Q1226" s="88">
        <v>9.4900764984644295E-3</v>
      </c>
      <c r="R1226" s="89" t="s">
        <v>276</v>
      </c>
      <c r="T1226">
        <v>7.7</v>
      </c>
      <c r="U1226" s="76">
        <v>0.2</v>
      </c>
      <c r="V1226">
        <v>9.8000000000000007</v>
      </c>
      <c r="W1226" s="90">
        <v>0.1</v>
      </c>
      <c r="AG1226" s="91">
        <v>0</v>
      </c>
      <c r="AK1226" s="71">
        <v>0.15</v>
      </c>
      <c r="AL1226" s="88">
        <v>3.4047026301866699E-2</v>
      </c>
      <c r="AM1226" s="89">
        <f t="shared" si="19"/>
        <v>0.226980175345778</v>
      </c>
    </row>
    <row r="1227" spans="1:39" x14ac:dyDescent="0.25">
      <c r="A1227" t="s">
        <v>44</v>
      </c>
      <c r="B1227" t="s">
        <v>52</v>
      </c>
      <c r="C1227" s="121" t="s">
        <v>174</v>
      </c>
      <c r="D1227" t="s">
        <v>204</v>
      </c>
      <c r="E1227" t="s">
        <v>65</v>
      </c>
      <c r="F1227">
        <v>3</v>
      </c>
      <c r="G1227">
        <v>20</v>
      </c>
      <c r="H1227" s="86">
        <v>45968.472514386602</v>
      </c>
      <c r="I1227" s="86">
        <v>45968.578014085702</v>
      </c>
      <c r="J1227" s="87">
        <v>2.5319927777777802</v>
      </c>
      <c r="K1227" s="69" t="s">
        <v>274</v>
      </c>
      <c r="P1227" s="71" t="s">
        <v>275</v>
      </c>
      <c r="Q1227" s="88">
        <v>3.1314898704844801E-2</v>
      </c>
      <c r="R1227" s="89" t="s">
        <v>276</v>
      </c>
      <c r="T1227">
        <v>8.9</v>
      </c>
      <c r="U1227" s="76">
        <v>0.2</v>
      </c>
      <c r="V1227">
        <v>9.8000000000000007</v>
      </c>
      <c r="W1227" s="90">
        <v>0.1</v>
      </c>
      <c r="AG1227" s="91">
        <v>0</v>
      </c>
      <c r="AK1227" s="71">
        <v>0.15</v>
      </c>
      <c r="AL1227" s="88">
        <v>3.4047026301866699E-2</v>
      </c>
      <c r="AM1227" s="89">
        <f t="shared" si="19"/>
        <v>0.226980175345778</v>
      </c>
    </row>
    <row r="1228" spans="1:39" x14ac:dyDescent="0.25">
      <c r="A1228" t="s">
        <v>44</v>
      </c>
      <c r="B1228" t="s">
        <v>52</v>
      </c>
      <c r="C1228" s="121" t="s">
        <v>174</v>
      </c>
      <c r="D1228" t="s">
        <v>204</v>
      </c>
      <c r="E1228" t="s">
        <v>65</v>
      </c>
      <c r="F1228">
        <v>3</v>
      </c>
      <c r="G1228">
        <v>21</v>
      </c>
      <c r="H1228" s="86">
        <v>45968.578014085702</v>
      </c>
      <c r="I1228" s="86">
        <v>45968.683509606497</v>
      </c>
      <c r="J1228" s="87">
        <v>2.5318925000000001</v>
      </c>
      <c r="K1228" s="69" t="s">
        <v>274</v>
      </c>
      <c r="P1228" s="71" t="s">
        <v>275</v>
      </c>
      <c r="Q1228" s="88">
        <v>3.0591894668894299E-2</v>
      </c>
      <c r="R1228" s="89" t="s">
        <v>276</v>
      </c>
      <c r="T1228">
        <v>8.6999999999999993</v>
      </c>
      <c r="U1228" s="76">
        <v>0.2</v>
      </c>
      <c r="V1228">
        <v>10</v>
      </c>
      <c r="W1228" s="90">
        <v>0.1</v>
      </c>
      <c r="AG1228" s="91">
        <v>0</v>
      </c>
      <c r="AK1228" s="71">
        <v>0.15</v>
      </c>
      <c r="AL1228" s="88">
        <v>3.4047026301866699E-2</v>
      </c>
      <c r="AM1228" s="89">
        <f t="shared" si="19"/>
        <v>0.226980175345778</v>
      </c>
    </row>
    <row r="1229" spans="1:39" x14ac:dyDescent="0.25">
      <c r="A1229" t="s">
        <v>44</v>
      </c>
      <c r="B1229" t="s">
        <v>52</v>
      </c>
      <c r="C1229" s="121" t="s">
        <v>174</v>
      </c>
      <c r="D1229" t="s">
        <v>204</v>
      </c>
      <c r="E1229" t="s">
        <v>65</v>
      </c>
      <c r="F1229">
        <v>3</v>
      </c>
      <c r="G1229">
        <v>22</v>
      </c>
      <c r="H1229" s="86">
        <v>45968.683509606497</v>
      </c>
      <c r="I1229" s="86">
        <v>45968.789012419002</v>
      </c>
      <c r="J1229" s="87">
        <v>2.5320675000000001</v>
      </c>
      <c r="K1229" s="69" t="s">
        <v>274</v>
      </c>
      <c r="P1229" s="71" t="s">
        <v>275</v>
      </c>
      <c r="Q1229" s="88">
        <v>2.06702632991431E-2</v>
      </c>
      <c r="R1229" s="89" t="s">
        <v>276</v>
      </c>
      <c r="T1229">
        <v>8.1</v>
      </c>
      <c r="U1229" s="76">
        <v>0.2</v>
      </c>
      <c r="V1229">
        <v>10.1</v>
      </c>
      <c r="W1229" s="90">
        <v>0.1</v>
      </c>
      <c r="AG1229" s="91">
        <v>0</v>
      </c>
      <c r="AK1229" s="71">
        <v>0.15</v>
      </c>
      <c r="AL1229" s="88">
        <v>3.4047026301866699E-2</v>
      </c>
      <c r="AM1229" s="89">
        <f t="shared" si="19"/>
        <v>0.226980175345778</v>
      </c>
    </row>
    <row r="1230" spans="1:39" x14ac:dyDescent="0.25">
      <c r="A1230" t="s">
        <v>44</v>
      </c>
      <c r="B1230" t="s">
        <v>52</v>
      </c>
      <c r="C1230" s="121" t="s">
        <v>174</v>
      </c>
      <c r="D1230" t="s">
        <v>204</v>
      </c>
      <c r="E1230" t="s">
        <v>65</v>
      </c>
      <c r="F1230">
        <v>3</v>
      </c>
      <c r="G1230">
        <v>23</v>
      </c>
      <c r="H1230" s="86">
        <v>45968.789012419002</v>
      </c>
      <c r="I1230" s="86">
        <v>45968.894511111102</v>
      </c>
      <c r="J1230" s="87">
        <v>2.5319686111111102</v>
      </c>
      <c r="K1230" s="69" t="s">
        <v>274</v>
      </c>
      <c r="P1230" s="71" t="s">
        <v>275</v>
      </c>
      <c r="Q1230" s="88">
        <v>1.76351866341923E-2</v>
      </c>
      <c r="R1230" s="89" t="s">
        <v>276</v>
      </c>
      <c r="T1230">
        <v>7.9</v>
      </c>
      <c r="U1230" s="76">
        <v>0.2</v>
      </c>
      <c r="V1230">
        <v>10.199999999999999</v>
      </c>
      <c r="W1230" s="90">
        <v>0.1</v>
      </c>
      <c r="AG1230" s="91">
        <v>0</v>
      </c>
      <c r="AK1230" s="71">
        <v>0.15</v>
      </c>
      <c r="AL1230" s="88">
        <v>3.4047026301866699E-2</v>
      </c>
      <c r="AM1230" s="89">
        <f t="shared" si="19"/>
        <v>0.226980175345778</v>
      </c>
    </row>
    <row r="1231" spans="1:39" x14ac:dyDescent="0.25">
      <c r="A1231" t="s">
        <v>44</v>
      </c>
      <c r="B1231" t="s">
        <v>52</v>
      </c>
      <c r="C1231" s="121" t="s">
        <v>174</v>
      </c>
      <c r="D1231" t="s">
        <v>204</v>
      </c>
      <c r="E1231" t="s">
        <v>65</v>
      </c>
      <c r="F1231">
        <v>3</v>
      </c>
      <c r="G1231">
        <v>24</v>
      </c>
      <c r="H1231" s="86">
        <v>45968.894511111102</v>
      </c>
      <c r="I1231" s="86">
        <v>45969.0000819329</v>
      </c>
      <c r="J1231" s="87">
        <v>2.5336997222222202</v>
      </c>
      <c r="K1231" s="69" t="s">
        <v>274</v>
      </c>
      <c r="P1231" s="71" t="s">
        <v>275</v>
      </c>
      <c r="Q1231" s="88">
        <v>1.3000927411144199E-2</v>
      </c>
      <c r="R1231" s="89" t="s">
        <v>276</v>
      </c>
      <c r="T1231">
        <v>7.9</v>
      </c>
      <c r="U1231" s="76">
        <v>0.2</v>
      </c>
      <c r="V1231">
        <v>10.199999999999999</v>
      </c>
      <c r="W1231" s="90">
        <v>0.1</v>
      </c>
      <c r="AG1231" s="91">
        <v>0</v>
      </c>
      <c r="AK1231" s="71">
        <v>0.15</v>
      </c>
      <c r="AL1231" s="88">
        <v>3.4047026301866699E-2</v>
      </c>
      <c r="AM1231" s="89">
        <f t="shared" si="19"/>
        <v>0.226980175345778</v>
      </c>
    </row>
    <row r="1232" spans="1:39" x14ac:dyDescent="0.25">
      <c r="A1232" t="s">
        <v>44</v>
      </c>
      <c r="B1232" t="s">
        <v>52</v>
      </c>
      <c r="C1232" s="121" t="s">
        <v>174</v>
      </c>
      <c r="D1232" t="s">
        <v>204</v>
      </c>
      <c r="E1232" t="s">
        <v>65</v>
      </c>
      <c r="F1232">
        <v>3</v>
      </c>
      <c r="G1232">
        <v>25</v>
      </c>
      <c r="H1232" s="86">
        <v>45969.0000819329</v>
      </c>
      <c r="I1232" s="86">
        <v>45969.105520208301</v>
      </c>
      <c r="J1232" s="87">
        <v>2.53051861111111</v>
      </c>
      <c r="K1232" s="69" t="s">
        <v>274</v>
      </c>
      <c r="P1232" s="71" t="s">
        <v>275</v>
      </c>
      <c r="Q1232" s="88">
        <v>1.33909273835277E-2</v>
      </c>
      <c r="R1232" s="89" t="s">
        <v>276</v>
      </c>
      <c r="T1232">
        <v>8.1</v>
      </c>
      <c r="U1232" s="76">
        <v>0.2</v>
      </c>
      <c r="V1232">
        <v>10.1</v>
      </c>
      <c r="W1232" s="90">
        <v>0.1</v>
      </c>
      <c r="AG1232" s="91">
        <v>0</v>
      </c>
      <c r="AK1232" s="71">
        <v>0.15</v>
      </c>
      <c r="AL1232" s="88">
        <v>3.4047026301866699E-2</v>
      </c>
      <c r="AM1232" s="89">
        <f t="shared" si="19"/>
        <v>0.226980175345778</v>
      </c>
    </row>
    <row r="1233" spans="1:39" x14ac:dyDescent="0.25">
      <c r="A1233" t="s">
        <v>44</v>
      </c>
      <c r="B1233" t="s">
        <v>52</v>
      </c>
      <c r="C1233" s="121" t="s">
        <v>174</v>
      </c>
      <c r="D1233" t="s">
        <v>204</v>
      </c>
      <c r="E1233" t="s">
        <v>65</v>
      </c>
      <c r="F1233">
        <v>3</v>
      </c>
      <c r="G1233">
        <v>26</v>
      </c>
      <c r="H1233" s="86">
        <v>45969.105520208301</v>
      </c>
      <c r="I1233" s="86">
        <v>45969.211017187503</v>
      </c>
      <c r="J1233" s="87">
        <v>2.5319275000000001</v>
      </c>
      <c r="K1233" s="69" t="s">
        <v>274</v>
      </c>
      <c r="P1233" s="71" t="s">
        <v>275</v>
      </c>
      <c r="Q1233" s="88">
        <v>1.4501145040216899E-2</v>
      </c>
      <c r="R1233" s="89" t="s">
        <v>276</v>
      </c>
      <c r="T1233">
        <v>8.1999999999999993</v>
      </c>
      <c r="U1233" s="76">
        <v>0.2</v>
      </c>
      <c r="V1233">
        <v>10.1</v>
      </c>
      <c r="W1233" s="90">
        <v>0.1</v>
      </c>
      <c r="AG1233" s="91">
        <v>0</v>
      </c>
      <c r="AK1233" s="71">
        <v>0.15</v>
      </c>
      <c r="AL1233" s="88">
        <v>3.4047026301866699E-2</v>
      </c>
      <c r="AM1233" s="89">
        <f t="shared" si="19"/>
        <v>0.226980175345778</v>
      </c>
    </row>
    <row r="1234" spans="1:39" x14ac:dyDescent="0.25">
      <c r="A1234" t="s">
        <v>44</v>
      </c>
      <c r="B1234" t="s">
        <v>52</v>
      </c>
      <c r="C1234" s="121" t="s">
        <v>174</v>
      </c>
      <c r="D1234" t="s">
        <v>204</v>
      </c>
      <c r="E1234" t="s">
        <v>65</v>
      </c>
      <c r="F1234">
        <v>3</v>
      </c>
      <c r="G1234">
        <v>27</v>
      </c>
      <c r="H1234" s="86">
        <v>45969.211017187503</v>
      </c>
      <c r="I1234" s="86">
        <v>45969.316508425902</v>
      </c>
      <c r="J1234" s="87">
        <v>2.5317897222222201</v>
      </c>
      <c r="K1234" s="69" t="s">
        <v>274</v>
      </c>
      <c r="P1234" s="71" t="s">
        <v>275</v>
      </c>
      <c r="Q1234" s="88">
        <v>1.4652016551928E-2</v>
      </c>
      <c r="R1234" s="89" t="s">
        <v>276</v>
      </c>
      <c r="T1234">
        <v>8.1</v>
      </c>
      <c r="U1234" s="76">
        <v>0.2</v>
      </c>
      <c r="V1234">
        <v>10.1</v>
      </c>
      <c r="W1234" s="90">
        <v>0.1</v>
      </c>
      <c r="AG1234" s="91">
        <v>0</v>
      </c>
      <c r="AK1234" s="71">
        <v>0.15</v>
      </c>
      <c r="AL1234" s="88">
        <v>3.4047026301866699E-2</v>
      </c>
      <c r="AM1234" s="89">
        <f t="shared" si="19"/>
        <v>0.226980175345778</v>
      </c>
    </row>
    <row r="1235" spans="1:39" x14ac:dyDescent="0.25">
      <c r="A1235" t="s">
        <v>44</v>
      </c>
      <c r="B1235" t="s">
        <v>52</v>
      </c>
      <c r="C1235" s="121" t="s">
        <v>174</v>
      </c>
      <c r="D1235" t="s">
        <v>204</v>
      </c>
      <c r="E1235" t="s">
        <v>65</v>
      </c>
      <c r="F1235">
        <v>3</v>
      </c>
      <c r="G1235">
        <v>28</v>
      </c>
      <c r="H1235" s="86">
        <v>45969.316508425902</v>
      </c>
      <c r="I1235" s="86">
        <v>45969.422023553198</v>
      </c>
      <c r="J1235" s="87">
        <v>2.5323630555555598</v>
      </c>
      <c r="K1235" s="69" t="s">
        <v>274</v>
      </c>
      <c r="P1235" s="71" t="s">
        <v>275</v>
      </c>
      <c r="Q1235" s="88">
        <v>1.45071454918719E-2</v>
      </c>
      <c r="R1235" s="89" t="s">
        <v>276</v>
      </c>
      <c r="T1235">
        <v>8.1</v>
      </c>
      <c r="U1235" s="76">
        <v>0.2</v>
      </c>
      <c r="V1235">
        <v>10.1</v>
      </c>
      <c r="W1235" s="90">
        <v>0.1</v>
      </c>
      <c r="AG1235" s="91">
        <v>0</v>
      </c>
      <c r="AK1235" s="71">
        <v>0.15</v>
      </c>
      <c r="AL1235" s="88">
        <v>3.4047026301866699E-2</v>
      </c>
      <c r="AM1235" s="89">
        <f t="shared" si="19"/>
        <v>0.226980175345778</v>
      </c>
    </row>
    <row r="1236" spans="1:39" x14ac:dyDescent="0.25">
      <c r="A1236" t="s">
        <v>44</v>
      </c>
      <c r="B1236" t="s">
        <v>52</v>
      </c>
      <c r="C1236" s="121" t="s">
        <v>174</v>
      </c>
      <c r="D1236" t="s">
        <v>204</v>
      </c>
      <c r="E1236" t="s">
        <v>65</v>
      </c>
      <c r="F1236">
        <v>3</v>
      </c>
      <c r="G1236">
        <v>29</v>
      </c>
      <c r="H1236" s="86">
        <v>45969.422023553198</v>
      </c>
      <c r="I1236" s="86">
        <v>45969.527514884299</v>
      </c>
      <c r="J1236" s="87">
        <v>2.5317919444444401</v>
      </c>
      <c r="K1236" s="69" t="s">
        <v>274</v>
      </c>
      <c r="P1236" s="71" t="s">
        <v>275</v>
      </c>
      <c r="Q1236" s="88">
        <v>1.93200616410137E-2</v>
      </c>
      <c r="R1236" s="89" t="s">
        <v>276</v>
      </c>
      <c r="T1236">
        <v>8.4</v>
      </c>
      <c r="U1236" s="76">
        <v>0.2</v>
      </c>
      <c r="V1236">
        <v>10.1</v>
      </c>
      <c r="W1236" s="90">
        <v>0.1</v>
      </c>
      <c r="AG1236" s="91">
        <v>0</v>
      </c>
      <c r="AK1236" s="71">
        <v>0.15</v>
      </c>
      <c r="AL1236" s="88">
        <v>3.4047026301866699E-2</v>
      </c>
      <c r="AM1236" s="89">
        <f t="shared" si="19"/>
        <v>0.226980175345778</v>
      </c>
    </row>
    <row r="1237" spans="1:39" x14ac:dyDescent="0.25">
      <c r="A1237" t="s">
        <v>44</v>
      </c>
      <c r="B1237" t="s">
        <v>52</v>
      </c>
      <c r="C1237" s="121" t="s">
        <v>174</v>
      </c>
      <c r="D1237" t="s">
        <v>204</v>
      </c>
      <c r="E1237" t="s">
        <v>65</v>
      </c>
      <c r="F1237">
        <v>3</v>
      </c>
      <c r="G1237">
        <v>30</v>
      </c>
      <c r="H1237" s="86">
        <v>45969.527514884299</v>
      </c>
      <c r="I1237" s="86">
        <v>45969.633010092599</v>
      </c>
      <c r="J1237" s="87">
        <v>2.5318849999999999</v>
      </c>
      <c r="K1237" s="69" t="s">
        <v>274</v>
      </c>
      <c r="P1237" s="71" t="s">
        <v>275</v>
      </c>
      <c r="Q1237" s="88">
        <v>1.7675506852075602E-2</v>
      </c>
      <c r="R1237" s="89" t="s">
        <v>276</v>
      </c>
      <c r="T1237">
        <v>8.6999999999999993</v>
      </c>
      <c r="U1237" s="76">
        <v>0.2</v>
      </c>
      <c r="V1237">
        <v>10.199999999999999</v>
      </c>
      <c r="W1237" s="90">
        <v>0.1</v>
      </c>
      <c r="AG1237" s="91">
        <v>0</v>
      </c>
      <c r="AK1237" s="71">
        <v>0.15</v>
      </c>
      <c r="AL1237" s="88">
        <v>3.4047026301866699E-2</v>
      </c>
      <c r="AM1237" s="89">
        <f t="shared" si="19"/>
        <v>0.226980175345778</v>
      </c>
    </row>
    <row r="1238" spans="1:39" x14ac:dyDescent="0.25">
      <c r="A1238" t="s">
        <v>44</v>
      </c>
      <c r="B1238" t="s">
        <v>52</v>
      </c>
      <c r="C1238" s="121" t="s">
        <v>174</v>
      </c>
      <c r="D1238" t="s">
        <v>204</v>
      </c>
      <c r="E1238" t="s">
        <v>65</v>
      </c>
      <c r="F1238">
        <v>3</v>
      </c>
      <c r="G1238">
        <v>31</v>
      </c>
      <c r="H1238" s="86">
        <v>45969.633010092599</v>
      </c>
      <c r="I1238" s="86">
        <v>45969.738515208301</v>
      </c>
      <c r="J1238" s="87">
        <v>2.5321227777777802</v>
      </c>
      <c r="K1238" s="69" t="s">
        <v>274</v>
      </c>
      <c r="P1238" s="71" t="s">
        <v>275</v>
      </c>
      <c r="Q1238" s="88">
        <v>1.66061847102849E-2</v>
      </c>
      <c r="R1238" s="89" t="s">
        <v>276</v>
      </c>
      <c r="T1238">
        <v>8.4</v>
      </c>
      <c r="U1238" s="76">
        <v>0.2</v>
      </c>
      <c r="V1238">
        <v>10.199999999999999</v>
      </c>
      <c r="W1238" s="90">
        <v>0.1</v>
      </c>
      <c r="AG1238" s="91">
        <v>0</v>
      </c>
      <c r="AK1238" s="71">
        <v>0.15</v>
      </c>
      <c r="AL1238" s="88">
        <v>3.4047026301866699E-2</v>
      </c>
      <c r="AM1238" s="89">
        <f t="shared" si="19"/>
        <v>0.226980175345778</v>
      </c>
    </row>
    <row r="1239" spans="1:39" x14ac:dyDescent="0.25">
      <c r="A1239" t="s">
        <v>44</v>
      </c>
      <c r="B1239" t="s">
        <v>52</v>
      </c>
      <c r="C1239" s="121" t="s">
        <v>174</v>
      </c>
      <c r="D1239" t="s">
        <v>204</v>
      </c>
      <c r="E1239" t="s">
        <v>65</v>
      </c>
      <c r="F1239">
        <v>3</v>
      </c>
      <c r="G1239">
        <v>32</v>
      </c>
      <c r="H1239" s="86">
        <v>45969.738515208301</v>
      </c>
      <c r="I1239" s="86">
        <v>45969.844023275502</v>
      </c>
      <c r="J1239" s="87">
        <v>2.5321936111111101</v>
      </c>
      <c r="K1239" s="69" t="s">
        <v>274</v>
      </c>
      <c r="P1239" s="71" t="s">
        <v>275</v>
      </c>
      <c r="Q1239" s="88">
        <v>1.42410817111018E-2</v>
      </c>
      <c r="R1239" s="89" t="s">
        <v>276</v>
      </c>
      <c r="T1239">
        <v>8</v>
      </c>
      <c r="U1239" s="76">
        <v>0.2</v>
      </c>
      <c r="V1239">
        <v>10.199999999999999</v>
      </c>
      <c r="W1239" s="90">
        <v>0.1</v>
      </c>
      <c r="AG1239" s="91">
        <v>0</v>
      </c>
      <c r="AK1239" s="71">
        <v>0.15</v>
      </c>
      <c r="AL1239" s="88">
        <v>3.4047026301866699E-2</v>
      </c>
      <c r="AM1239" s="89">
        <f t="shared" si="19"/>
        <v>0.226980175345778</v>
      </c>
    </row>
    <row r="1240" spans="1:39" x14ac:dyDescent="0.25">
      <c r="A1240" t="s">
        <v>44</v>
      </c>
      <c r="B1240" t="s">
        <v>52</v>
      </c>
      <c r="C1240" s="121" t="s">
        <v>174</v>
      </c>
      <c r="D1240" t="s">
        <v>204</v>
      </c>
      <c r="E1240" t="s">
        <v>65</v>
      </c>
      <c r="F1240">
        <v>3</v>
      </c>
      <c r="G1240">
        <v>33</v>
      </c>
      <c r="H1240" s="86">
        <v>45969.844023275502</v>
      </c>
      <c r="I1240" s="86">
        <v>45969.949526296303</v>
      </c>
      <c r="J1240" s="87">
        <v>2.5320724999999999</v>
      </c>
      <c r="K1240" s="69" t="s">
        <v>274</v>
      </c>
      <c r="P1240" s="71" t="s">
        <v>275</v>
      </c>
      <c r="Q1240" s="88">
        <v>1.5919170612326901E-2</v>
      </c>
      <c r="R1240" s="89" t="s">
        <v>276</v>
      </c>
      <c r="T1240">
        <v>7.8</v>
      </c>
      <c r="U1240" s="76">
        <v>0.2</v>
      </c>
      <c r="V1240">
        <v>10.199999999999999</v>
      </c>
      <c r="W1240" s="90">
        <v>0.1</v>
      </c>
      <c r="AG1240" s="91">
        <v>0</v>
      </c>
      <c r="AK1240" s="71">
        <v>0.15</v>
      </c>
      <c r="AL1240" s="88">
        <v>3.4047026301866699E-2</v>
      </c>
      <c r="AM1240" s="89">
        <f t="shared" si="19"/>
        <v>0.226980175345778</v>
      </c>
    </row>
    <row r="1241" spans="1:39" x14ac:dyDescent="0.25">
      <c r="A1241" t="s">
        <v>44</v>
      </c>
      <c r="B1241" t="s">
        <v>52</v>
      </c>
      <c r="C1241" s="121" t="s">
        <v>174</v>
      </c>
      <c r="D1241" t="s">
        <v>204</v>
      </c>
      <c r="E1241" t="s">
        <v>65</v>
      </c>
      <c r="F1241">
        <v>3</v>
      </c>
      <c r="G1241">
        <v>34</v>
      </c>
      <c r="H1241" s="86">
        <v>45969.949526296303</v>
      </c>
      <c r="I1241" s="86">
        <v>45970.055026724498</v>
      </c>
      <c r="J1241" s="87">
        <v>2.53201027777778</v>
      </c>
      <c r="K1241" s="69" t="s">
        <v>274</v>
      </c>
      <c r="P1241" s="71" t="s">
        <v>275</v>
      </c>
      <c r="Q1241" s="88">
        <v>1.45330120758665E-2</v>
      </c>
      <c r="R1241" s="89" t="s">
        <v>276</v>
      </c>
      <c r="T1241">
        <v>7.8</v>
      </c>
      <c r="U1241" s="76">
        <v>0.2</v>
      </c>
      <c r="V1241">
        <v>10.199999999999999</v>
      </c>
      <c r="W1241" s="90">
        <v>0.1</v>
      </c>
      <c r="AG1241" s="91">
        <v>0.1</v>
      </c>
      <c r="AK1241" s="71">
        <v>0.15</v>
      </c>
      <c r="AL1241" s="88">
        <v>3.4047026301866699E-2</v>
      </c>
      <c r="AM1241" s="89">
        <f t="shared" si="19"/>
        <v>0.226980175345778</v>
      </c>
    </row>
    <row r="1242" spans="1:39" x14ac:dyDescent="0.25">
      <c r="A1242" t="s">
        <v>44</v>
      </c>
      <c r="B1242" t="s">
        <v>52</v>
      </c>
      <c r="C1242" s="121" t="s">
        <v>174</v>
      </c>
      <c r="D1242" t="s">
        <v>204</v>
      </c>
      <c r="E1242" t="s">
        <v>65</v>
      </c>
      <c r="F1242">
        <v>3</v>
      </c>
      <c r="G1242">
        <v>35</v>
      </c>
      <c r="H1242" s="86">
        <v>45970.055026724498</v>
      </c>
      <c r="I1242" s="86">
        <v>45970.160528622699</v>
      </c>
      <c r="J1242" s="87">
        <v>2.5320455555555599</v>
      </c>
      <c r="K1242" s="69" t="s">
        <v>274</v>
      </c>
      <c r="P1242" s="71" t="s">
        <v>275</v>
      </c>
      <c r="Q1242" s="88">
        <v>1.23888641754055E-2</v>
      </c>
      <c r="R1242" s="89" t="s">
        <v>276</v>
      </c>
      <c r="T1242">
        <v>7.4</v>
      </c>
      <c r="U1242" s="76">
        <v>0.2</v>
      </c>
      <c r="V1242">
        <v>10.1</v>
      </c>
      <c r="W1242" s="90">
        <v>0.1</v>
      </c>
      <c r="AG1242" s="91">
        <v>0.1</v>
      </c>
      <c r="AK1242" s="71">
        <v>0.15</v>
      </c>
      <c r="AL1242" s="88">
        <v>3.4047026301866699E-2</v>
      </c>
      <c r="AM1242" s="89">
        <f t="shared" si="19"/>
        <v>0.226980175345778</v>
      </c>
    </row>
    <row r="1243" spans="1:39" x14ac:dyDescent="0.25">
      <c r="A1243" t="s">
        <v>44</v>
      </c>
      <c r="B1243" t="s">
        <v>52</v>
      </c>
      <c r="C1243" s="121" t="s">
        <v>174</v>
      </c>
      <c r="D1243" t="s">
        <v>204</v>
      </c>
      <c r="E1243" t="s">
        <v>65</v>
      </c>
      <c r="F1243">
        <v>3</v>
      </c>
      <c r="G1243">
        <v>36</v>
      </c>
      <c r="H1243" s="86">
        <v>45970.160528622699</v>
      </c>
      <c r="I1243" s="86">
        <v>45970.266032268497</v>
      </c>
      <c r="J1243" s="87">
        <v>2.5320874999999998</v>
      </c>
      <c r="K1243" s="69" t="s">
        <v>274</v>
      </c>
      <c r="P1243" s="71" t="s">
        <v>275</v>
      </c>
      <c r="Q1243" s="88">
        <v>1.25272650512147E-2</v>
      </c>
      <c r="R1243" s="89" t="s">
        <v>276</v>
      </c>
      <c r="T1243">
        <v>6.9</v>
      </c>
      <c r="U1243" s="76">
        <v>0.2</v>
      </c>
      <c r="V1243">
        <v>10.1</v>
      </c>
      <c r="W1243" s="90">
        <v>0.1</v>
      </c>
      <c r="AG1243" s="91">
        <v>0</v>
      </c>
      <c r="AK1243" s="71">
        <v>0.15</v>
      </c>
      <c r="AL1243" s="88">
        <v>3.4047026301866699E-2</v>
      </c>
      <c r="AM1243" s="89">
        <f t="shared" si="19"/>
        <v>0.226980175345778</v>
      </c>
    </row>
    <row r="1244" spans="1:39" x14ac:dyDescent="0.25">
      <c r="A1244" t="s">
        <v>44</v>
      </c>
      <c r="B1244" t="s">
        <v>52</v>
      </c>
      <c r="C1244" s="121" t="s">
        <v>174</v>
      </c>
      <c r="D1244" t="s">
        <v>204</v>
      </c>
      <c r="E1244" t="s">
        <v>65</v>
      </c>
      <c r="F1244">
        <v>3</v>
      </c>
      <c r="G1244">
        <v>37</v>
      </c>
      <c r="H1244" s="86">
        <v>45970.266032268497</v>
      </c>
      <c r="I1244" s="86">
        <v>45970.371531053199</v>
      </c>
      <c r="J1244" s="87">
        <v>2.5319708333333302</v>
      </c>
      <c r="K1244" s="69" t="s">
        <v>274</v>
      </c>
      <c r="P1244" s="71" t="s">
        <v>275</v>
      </c>
      <c r="Q1244" s="88">
        <v>1.3357974368257799E-2</v>
      </c>
      <c r="R1244" s="89" t="s">
        <v>276</v>
      </c>
      <c r="T1244">
        <v>6.8</v>
      </c>
      <c r="U1244" s="76">
        <v>0.2</v>
      </c>
      <c r="V1244">
        <v>10</v>
      </c>
      <c r="W1244" s="90">
        <v>0.1</v>
      </c>
      <c r="AG1244" s="91">
        <v>0</v>
      </c>
      <c r="AK1244" s="71">
        <v>0.15</v>
      </c>
      <c r="AL1244" s="88">
        <v>3.4047026301866699E-2</v>
      </c>
      <c r="AM1244" s="89">
        <f t="shared" si="19"/>
        <v>0.226980175345778</v>
      </c>
    </row>
    <row r="1245" spans="1:39" x14ac:dyDescent="0.25">
      <c r="A1245" t="s">
        <v>44</v>
      </c>
      <c r="B1245" t="s">
        <v>52</v>
      </c>
      <c r="C1245" s="121" t="s">
        <v>174</v>
      </c>
      <c r="D1245" t="s">
        <v>204</v>
      </c>
      <c r="E1245" t="s">
        <v>65</v>
      </c>
      <c r="F1245">
        <v>3</v>
      </c>
      <c r="G1245">
        <v>38</v>
      </c>
      <c r="H1245" s="86">
        <v>45970.371531053199</v>
      </c>
      <c r="I1245" s="86">
        <v>45970.477035844902</v>
      </c>
      <c r="J1245" s="87">
        <v>2.5321150000000001</v>
      </c>
      <c r="K1245" s="69" t="s">
        <v>274</v>
      </c>
      <c r="P1245" s="71" t="s">
        <v>275</v>
      </c>
      <c r="Q1245" s="88">
        <v>1.4547133607383699E-2</v>
      </c>
      <c r="R1245" s="89" t="s">
        <v>276</v>
      </c>
      <c r="T1245">
        <v>7</v>
      </c>
      <c r="U1245" s="76">
        <v>0.2</v>
      </c>
      <c r="V1245">
        <v>10</v>
      </c>
      <c r="W1245" s="90">
        <v>0.1</v>
      </c>
      <c r="AG1245" s="91">
        <v>0</v>
      </c>
      <c r="AK1245" s="71">
        <v>0.15</v>
      </c>
      <c r="AL1245" s="88">
        <v>3.4047026301866699E-2</v>
      </c>
      <c r="AM1245" s="89">
        <f t="shared" si="19"/>
        <v>0.226980175345778</v>
      </c>
    </row>
    <row r="1246" spans="1:39" x14ac:dyDescent="0.25">
      <c r="A1246" t="s">
        <v>44</v>
      </c>
      <c r="B1246" t="s">
        <v>52</v>
      </c>
      <c r="C1246" s="121" t="s">
        <v>174</v>
      </c>
      <c r="D1246" t="s">
        <v>204</v>
      </c>
      <c r="E1246" t="s">
        <v>65</v>
      </c>
      <c r="F1246">
        <v>3</v>
      </c>
      <c r="G1246">
        <v>39</v>
      </c>
      <c r="H1246" s="86">
        <v>45970.477035844902</v>
      </c>
      <c r="I1246" s="86">
        <v>45970.582532245397</v>
      </c>
      <c r="J1246" s="87">
        <v>2.53191361111111</v>
      </c>
      <c r="K1246" s="69" t="s">
        <v>274</v>
      </c>
      <c r="P1246" s="71" t="s">
        <v>275</v>
      </c>
      <c r="Q1246" s="88">
        <v>2.7556451885806001E-2</v>
      </c>
      <c r="R1246" s="89" t="s">
        <v>276</v>
      </c>
      <c r="T1246">
        <v>7.6</v>
      </c>
      <c r="U1246" s="76">
        <v>0.2</v>
      </c>
      <c r="V1246">
        <v>9.9</v>
      </c>
      <c r="W1246" s="90">
        <v>0.1</v>
      </c>
      <c r="AG1246" s="91">
        <v>0</v>
      </c>
      <c r="AK1246" s="71">
        <v>0.15</v>
      </c>
      <c r="AL1246" s="88">
        <v>3.4047026301866699E-2</v>
      </c>
      <c r="AM1246" s="89">
        <f t="shared" si="19"/>
        <v>0.226980175345778</v>
      </c>
    </row>
    <row r="1247" spans="1:39" x14ac:dyDescent="0.25">
      <c r="A1247" t="s">
        <v>44</v>
      </c>
      <c r="B1247" t="s">
        <v>52</v>
      </c>
      <c r="C1247" s="121" t="s">
        <v>174</v>
      </c>
      <c r="D1247" t="s">
        <v>204</v>
      </c>
      <c r="E1247" t="s">
        <v>65</v>
      </c>
      <c r="F1247">
        <v>3</v>
      </c>
      <c r="G1247">
        <v>40</v>
      </c>
      <c r="H1247" s="86">
        <v>45970.582532245397</v>
      </c>
      <c r="I1247" s="86">
        <v>45970.688036713</v>
      </c>
      <c r="J1247" s="87">
        <v>2.5321072222222201</v>
      </c>
      <c r="K1247" s="69" t="s">
        <v>274</v>
      </c>
      <c r="P1247" s="71" t="s">
        <v>275</v>
      </c>
      <c r="Q1247" s="88">
        <v>2.4635287203860799E-2</v>
      </c>
      <c r="R1247" s="89" t="s">
        <v>276</v>
      </c>
      <c r="T1247">
        <v>7.3</v>
      </c>
      <c r="U1247" s="76">
        <v>0.2</v>
      </c>
      <c r="V1247">
        <v>10</v>
      </c>
      <c r="W1247" s="90">
        <v>0.1</v>
      </c>
      <c r="AG1247" s="91">
        <v>0</v>
      </c>
      <c r="AK1247" s="71">
        <v>0.15</v>
      </c>
      <c r="AL1247" s="88">
        <v>3.4047026301866699E-2</v>
      </c>
      <c r="AM1247" s="89">
        <f t="shared" si="19"/>
        <v>0.226980175345778</v>
      </c>
    </row>
    <row r="1248" spans="1:39" x14ac:dyDescent="0.25">
      <c r="A1248" t="s">
        <v>44</v>
      </c>
      <c r="B1248" t="s">
        <v>52</v>
      </c>
      <c r="C1248" s="121" t="s">
        <v>174</v>
      </c>
      <c r="D1248" t="s">
        <v>204</v>
      </c>
      <c r="E1248" t="s">
        <v>65</v>
      </c>
      <c r="F1248">
        <v>3</v>
      </c>
      <c r="G1248">
        <v>41</v>
      </c>
      <c r="H1248" s="86">
        <v>45970.688036713</v>
      </c>
      <c r="I1248" s="86">
        <v>45970.7935363426</v>
      </c>
      <c r="J1248" s="87">
        <v>2.5319911111111102</v>
      </c>
      <c r="K1248" s="69" t="s">
        <v>274</v>
      </c>
      <c r="P1248" s="71" t="s">
        <v>275</v>
      </c>
      <c r="Q1248" s="88">
        <v>1.5722412726069099E-2</v>
      </c>
      <c r="R1248" s="89" t="s">
        <v>276</v>
      </c>
      <c r="T1248">
        <v>6.7</v>
      </c>
      <c r="U1248" s="76">
        <v>0.2</v>
      </c>
      <c r="V1248">
        <v>10.1</v>
      </c>
      <c r="W1248" s="90">
        <v>0.1</v>
      </c>
      <c r="AG1248" s="91">
        <v>0</v>
      </c>
      <c r="AK1248" s="71">
        <v>0.15</v>
      </c>
      <c r="AL1248" s="88">
        <v>3.4047026301866699E-2</v>
      </c>
      <c r="AM1248" s="89">
        <f t="shared" si="19"/>
        <v>0.226980175345778</v>
      </c>
    </row>
    <row r="1249" spans="1:39" x14ac:dyDescent="0.25">
      <c r="A1249" t="s">
        <v>44</v>
      </c>
      <c r="B1249" t="s">
        <v>52</v>
      </c>
      <c r="C1249" s="121" t="s">
        <v>174</v>
      </c>
      <c r="D1249" t="s">
        <v>204</v>
      </c>
      <c r="E1249" t="s">
        <v>65</v>
      </c>
      <c r="F1249">
        <v>3</v>
      </c>
      <c r="G1249">
        <v>42</v>
      </c>
      <c r="H1249" s="86">
        <v>45970.7935363426</v>
      </c>
      <c r="I1249" s="86">
        <v>45970.8990444097</v>
      </c>
      <c r="J1249" s="87">
        <v>2.5321936111111101</v>
      </c>
      <c r="K1249" s="69" t="s">
        <v>274</v>
      </c>
      <c r="P1249" s="71" t="s">
        <v>275</v>
      </c>
      <c r="Q1249" s="88">
        <v>1.12620188211431E-2</v>
      </c>
      <c r="R1249" s="89" t="s">
        <v>276</v>
      </c>
      <c r="T1249">
        <v>6.1</v>
      </c>
      <c r="U1249" s="76">
        <v>0.2</v>
      </c>
      <c r="V1249">
        <v>10</v>
      </c>
      <c r="W1249" s="90">
        <v>0.1</v>
      </c>
      <c r="AG1249" s="91">
        <v>0</v>
      </c>
      <c r="AK1249" s="71">
        <v>0.15</v>
      </c>
      <c r="AL1249" s="88">
        <v>3.4047026301866699E-2</v>
      </c>
      <c r="AM1249" s="89">
        <f t="shared" si="19"/>
        <v>0.226980175345778</v>
      </c>
    </row>
    <row r="1250" spans="1:39" x14ac:dyDescent="0.25">
      <c r="A1250" t="s">
        <v>44</v>
      </c>
      <c r="B1250" t="s">
        <v>52</v>
      </c>
      <c r="C1250" s="121" t="s">
        <v>174</v>
      </c>
      <c r="D1250" t="s">
        <v>204</v>
      </c>
      <c r="E1250" t="s">
        <v>65</v>
      </c>
      <c r="F1250">
        <v>3</v>
      </c>
      <c r="G1250">
        <v>43</v>
      </c>
      <c r="H1250" s="86">
        <v>45970.8990444097</v>
      </c>
      <c r="I1250" s="86">
        <v>45971.004549814803</v>
      </c>
      <c r="J1250" s="87">
        <v>2.5321297222222201</v>
      </c>
      <c r="K1250" s="69" t="s">
        <v>274</v>
      </c>
      <c r="P1250" s="71" t="s">
        <v>275</v>
      </c>
      <c r="Q1250" s="88">
        <v>1.2188019681362501E-2</v>
      </c>
      <c r="R1250" s="89" t="s">
        <v>276</v>
      </c>
      <c r="T1250">
        <v>6</v>
      </c>
      <c r="U1250" s="76">
        <v>0.2</v>
      </c>
      <c r="V1250">
        <v>9.9</v>
      </c>
      <c r="W1250" s="90">
        <v>0.1</v>
      </c>
      <c r="AG1250" s="91">
        <v>0</v>
      </c>
      <c r="AK1250" s="71">
        <v>0.15</v>
      </c>
      <c r="AL1250" s="88">
        <v>3.4047026301866699E-2</v>
      </c>
      <c r="AM1250" s="89">
        <f t="shared" si="19"/>
        <v>0.226980175345778</v>
      </c>
    </row>
    <row r="1251" spans="1:39" x14ac:dyDescent="0.25">
      <c r="A1251" t="s">
        <v>44</v>
      </c>
      <c r="B1251" t="s">
        <v>52</v>
      </c>
      <c r="C1251" s="121" t="s">
        <v>174</v>
      </c>
      <c r="D1251" t="s">
        <v>204</v>
      </c>
      <c r="E1251" t="s">
        <v>65</v>
      </c>
      <c r="F1251">
        <v>3</v>
      </c>
      <c r="G1251">
        <v>44</v>
      </c>
      <c r="H1251" s="86">
        <v>45971.004549814803</v>
      </c>
      <c r="I1251" s="86">
        <v>45971.110051585703</v>
      </c>
      <c r="J1251" s="87">
        <v>2.5320425000000002</v>
      </c>
      <c r="K1251" s="69" t="s">
        <v>274</v>
      </c>
      <c r="P1251" s="71" t="s">
        <v>275</v>
      </c>
      <c r="Q1251" s="88">
        <v>1.1312096049195201E-2</v>
      </c>
      <c r="R1251" s="89" t="s">
        <v>276</v>
      </c>
      <c r="T1251">
        <v>5.7</v>
      </c>
      <c r="U1251" s="76">
        <v>0.2</v>
      </c>
      <c r="V1251">
        <v>9.9</v>
      </c>
      <c r="W1251" s="90">
        <v>0.1</v>
      </c>
      <c r="AG1251" s="91">
        <v>0</v>
      </c>
      <c r="AK1251" s="71">
        <v>0.15</v>
      </c>
      <c r="AL1251" s="88">
        <v>3.4047026301866699E-2</v>
      </c>
      <c r="AM1251" s="89">
        <f t="shared" si="19"/>
        <v>0.226980175345778</v>
      </c>
    </row>
    <row r="1252" spans="1:39" x14ac:dyDescent="0.25">
      <c r="A1252" t="s">
        <v>44</v>
      </c>
      <c r="B1252" t="s">
        <v>52</v>
      </c>
      <c r="C1252" s="121" t="s">
        <v>174</v>
      </c>
      <c r="D1252" t="s">
        <v>204</v>
      </c>
      <c r="E1252" t="s">
        <v>65</v>
      </c>
      <c r="F1252">
        <v>3</v>
      </c>
      <c r="G1252">
        <v>45</v>
      </c>
      <c r="H1252" s="86">
        <v>45971.110051585703</v>
      </c>
      <c r="I1252" s="86">
        <v>45971.215553911999</v>
      </c>
      <c r="J1252" s="87">
        <v>2.5320558333333301</v>
      </c>
      <c r="K1252" s="69" t="s">
        <v>274</v>
      </c>
      <c r="P1252" s="71" t="s">
        <v>275</v>
      </c>
      <c r="Q1252" s="88">
        <v>1.57891112223509E-2</v>
      </c>
      <c r="R1252" s="89" t="s">
        <v>276</v>
      </c>
      <c r="T1252">
        <v>6.3</v>
      </c>
      <c r="U1252" s="76">
        <v>0.2</v>
      </c>
      <c r="V1252">
        <v>9.6999999999999993</v>
      </c>
      <c r="W1252" s="90">
        <v>0.1</v>
      </c>
      <c r="AG1252" s="91">
        <v>0</v>
      </c>
      <c r="AK1252" s="71">
        <v>0.15</v>
      </c>
      <c r="AL1252" s="88">
        <v>3.4047026301866699E-2</v>
      </c>
      <c r="AM1252" s="89">
        <f t="shared" si="19"/>
        <v>0.226980175345778</v>
      </c>
    </row>
    <row r="1253" spans="1:39" x14ac:dyDescent="0.25">
      <c r="A1253" t="s">
        <v>44</v>
      </c>
      <c r="B1253" t="s">
        <v>52</v>
      </c>
      <c r="C1253" s="121" t="s">
        <v>174</v>
      </c>
      <c r="D1253" t="s">
        <v>204</v>
      </c>
      <c r="E1253" t="s">
        <v>65</v>
      </c>
      <c r="F1253">
        <v>3</v>
      </c>
      <c r="G1253">
        <v>46</v>
      </c>
      <c r="H1253" s="86">
        <v>45971.215553911999</v>
      </c>
      <c r="I1253" s="86">
        <v>45971.321052013896</v>
      </c>
      <c r="J1253" s="87">
        <v>2.5319544444444499</v>
      </c>
      <c r="K1253" s="69" t="s">
        <v>274</v>
      </c>
      <c r="P1253" s="71" t="s">
        <v>275</v>
      </c>
      <c r="Q1253" s="88">
        <v>1.3629207277652501E-2</v>
      </c>
      <c r="R1253" s="89" t="s">
        <v>276</v>
      </c>
      <c r="T1253">
        <v>5</v>
      </c>
      <c r="U1253" s="76">
        <v>0.2</v>
      </c>
      <c r="V1253">
        <v>9.6999999999999993</v>
      </c>
      <c r="W1253" s="90">
        <v>0.1</v>
      </c>
      <c r="AG1253" s="91">
        <v>0</v>
      </c>
      <c r="AK1253" s="71">
        <v>0.15</v>
      </c>
      <c r="AL1253" s="88">
        <v>3.4047026301866699E-2</v>
      </c>
      <c r="AM1253" s="89">
        <f t="shared" si="19"/>
        <v>0.226980175345778</v>
      </c>
    </row>
    <row r="1254" spans="1:39" x14ac:dyDescent="0.25">
      <c r="A1254" t="s">
        <v>44</v>
      </c>
      <c r="B1254" t="s">
        <v>52</v>
      </c>
      <c r="C1254" s="121" t="s">
        <v>174</v>
      </c>
      <c r="D1254" t="s">
        <v>204</v>
      </c>
      <c r="E1254" t="s">
        <v>65</v>
      </c>
      <c r="F1254">
        <v>3</v>
      </c>
      <c r="G1254">
        <v>47</v>
      </c>
      <c r="H1254" s="86">
        <v>45971.321052013896</v>
      </c>
      <c r="I1254" s="86">
        <v>45971.426550115699</v>
      </c>
      <c r="J1254" s="87">
        <v>2.5319544444444499</v>
      </c>
      <c r="K1254" s="69" t="s">
        <v>274</v>
      </c>
      <c r="P1254" s="71" t="s">
        <v>275</v>
      </c>
      <c r="Q1254" s="88">
        <v>1.75920509859595E-2</v>
      </c>
      <c r="R1254" s="89" t="s">
        <v>276</v>
      </c>
      <c r="T1254">
        <v>5.2</v>
      </c>
      <c r="U1254" s="76">
        <v>0.2</v>
      </c>
      <c r="V1254">
        <v>9.6</v>
      </c>
      <c r="W1254" s="90">
        <v>0.1</v>
      </c>
      <c r="AG1254" s="91">
        <v>0</v>
      </c>
      <c r="AK1254" s="71">
        <v>0.15</v>
      </c>
      <c r="AL1254" s="88">
        <v>3.4047026301866699E-2</v>
      </c>
      <c r="AM1254" s="89">
        <f t="shared" si="19"/>
        <v>0.226980175345778</v>
      </c>
    </row>
    <row r="1255" spans="1:39" x14ac:dyDescent="0.25">
      <c r="A1255" t="s">
        <v>44</v>
      </c>
      <c r="B1255" t="s">
        <v>52</v>
      </c>
      <c r="C1255" s="121" t="s">
        <v>174</v>
      </c>
      <c r="D1255" t="s">
        <v>204</v>
      </c>
      <c r="E1255" t="s">
        <v>65</v>
      </c>
      <c r="F1255">
        <v>3</v>
      </c>
      <c r="G1255">
        <v>48</v>
      </c>
      <c r="H1255" s="86">
        <v>45971.426550115699</v>
      </c>
      <c r="I1255" s="86">
        <v>45971.532054930598</v>
      </c>
      <c r="J1255" s="87">
        <v>2.5321155555555599</v>
      </c>
      <c r="K1255" s="69" t="s">
        <v>274</v>
      </c>
      <c r="P1255" s="71" t="s">
        <v>275</v>
      </c>
      <c r="Q1255" s="88">
        <v>3.02042676956151E-2</v>
      </c>
      <c r="R1255" s="89" t="s">
        <v>276</v>
      </c>
      <c r="T1255">
        <v>7.1</v>
      </c>
      <c r="U1255" s="76">
        <v>0.2</v>
      </c>
      <c r="V1255">
        <v>9.5</v>
      </c>
      <c r="W1255" s="90">
        <v>0.1</v>
      </c>
      <c r="AG1255" s="91">
        <v>0</v>
      </c>
      <c r="AK1255" s="71">
        <v>0.15</v>
      </c>
      <c r="AL1255" s="88">
        <v>3.4047026301866699E-2</v>
      </c>
      <c r="AM1255" s="89">
        <f t="shared" si="19"/>
        <v>0.226980175345778</v>
      </c>
    </row>
    <row r="1256" spans="1:39" x14ac:dyDescent="0.25">
      <c r="A1256" t="s">
        <v>44</v>
      </c>
      <c r="B1256" t="s">
        <v>52</v>
      </c>
      <c r="C1256" s="121" t="s">
        <v>174</v>
      </c>
      <c r="D1256" t="s">
        <v>204</v>
      </c>
      <c r="E1256" t="s">
        <v>65</v>
      </c>
      <c r="F1256">
        <v>3</v>
      </c>
      <c r="G1256">
        <v>49</v>
      </c>
      <c r="H1256" s="86">
        <v>45971.532054930598</v>
      </c>
      <c r="I1256" s="86">
        <v>45971.637561597199</v>
      </c>
      <c r="J1256" s="87">
        <v>2.5321600000000002</v>
      </c>
      <c r="K1256" s="69" t="s">
        <v>274</v>
      </c>
      <c r="P1256" s="71" t="s">
        <v>275</v>
      </c>
      <c r="Q1256" s="88">
        <v>6.06500779098684E-2</v>
      </c>
      <c r="R1256" s="89" t="s">
        <v>276</v>
      </c>
      <c r="T1256">
        <v>9.6999999999999993</v>
      </c>
      <c r="U1256" s="76">
        <v>0.2</v>
      </c>
      <c r="V1256">
        <v>9.6</v>
      </c>
      <c r="W1256" s="90">
        <v>0.1</v>
      </c>
      <c r="AG1256" s="91">
        <v>0</v>
      </c>
      <c r="AK1256" s="71">
        <v>0.15</v>
      </c>
      <c r="AL1256" s="88">
        <v>3.4047026301866699E-2</v>
      </c>
      <c r="AM1256" s="89">
        <f t="shared" si="19"/>
        <v>0.226980175345778</v>
      </c>
    </row>
    <row r="1257" spans="1:39" x14ac:dyDescent="0.25">
      <c r="A1257" t="s">
        <v>44</v>
      </c>
      <c r="B1257" t="s">
        <v>52</v>
      </c>
      <c r="C1257" s="121" t="s">
        <v>174</v>
      </c>
      <c r="D1257" t="s">
        <v>204</v>
      </c>
      <c r="E1257" t="s">
        <v>65</v>
      </c>
      <c r="F1257">
        <v>3</v>
      </c>
      <c r="G1257">
        <v>50</v>
      </c>
      <c r="H1257" s="86">
        <v>45971.637561597199</v>
      </c>
      <c r="I1257" s="86">
        <v>45971.743061180598</v>
      </c>
      <c r="J1257" s="87">
        <v>2.53199</v>
      </c>
      <c r="K1257" s="69" t="s">
        <v>274</v>
      </c>
      <c r="P1257" s="71" t="s">
        <v>275</v>
      </c>
      <c r="Q1257" s="88">
        <v>2.8685505449532502E-2</v>
      </c>
      <c r="R1257" s="89" t="s">
        <v>276</v>
      </c>
      <c r="T1257">
        <v>8.6</v>
      </c>
      <c r="U1257" s="76">
        <v>0.2</v>
      </c>
      <c r="V1257">
        <v>9.6999999999999993</v>
      </c>
      <c r="W1257" s="90">
        <v>0.1</v>
      </c>
      <c r="AG1257" s="91">
        <v>0</v>
      </c>
      <c r="AK1257" s="71">
        <v>0.15</v>
      </c>
      <c r="AL1257" s="88">
        <v>3.4047026301866699E-2</v>
      </c>
      <c r="AM1257" s="89">
        <f t="shared" si="19"/>
        <v>0.226980175345778</v>
      </c>
    </row>
    <row r="1258" spans="1:39" x14ac:dyDescent="0.25">
      <c r="A1258" t="s">
        <v>44</v>
      </c>
      <c r="B1258" t="s">
        <v>52</v>
      </c>
      <c r="C1258" s="121" t="s">
        <v>174</v>
      </c>
      <c r="D1258" t="s">
        <v>204</v>
      </c>
      <c r="E1258" t="s">
        <v>65</v>
      </c>
      <c r="F1258">
        <v>3</v>
      </c>
      <c r="G1258">
        <v>51</v>
      </c>
      <c r="H1258" s="86">
        <v>45971.743061180598</v>
      </c>
      <c r="I1258" s="86">
        <v>45971.848593483803</v>
      </c>
      <c r="J1258" s="87">
        <v>2.5327752777777799</v>
      </c>
      <c r="K1258" s="69" t="s">
        <v>274</v>
      </c>
      <c r="P1258" s="71" t="s">
        <v>275</v>
      </c>
      <c r="Q1258" s="88">
        <v>1.80252812699228E-2</v>
      </c>
      <c r="R1258" s="89" t="s">
        <v>276</v>
      </c>
      <c r="T1258">
        <v>7.8</v>
      </c>
      <c r="U1258" s="76">
        <v>0.2</v>
      </c>
      <c r="V1258">
        <v>9.8000000000000007</v>
      </c>
      <c r="W1258" s="90">
        <v>0.1</v>
      </c>
      <c r="AG1258" s="91">
        <v>0</v>
      </c>
      <c r="AK1258" s="71">
        <v>0.15</v>
      </c>
      <c r="AL1258" s="88">
        <v>3.4047026301866699E-2</v>
      </c>
      <c r="AM1258" s="89">
        <f t="shared" si="19"/>
        <v>0.226980175345778</v>
      </c>
    </row>
    <row r="1259" spans="1:39" x14ac:dyDescent="0.25">
      <c r="A1259" t="s">
        <v>44</v>
      </c>
      <c r="B1259" t="s">
        <v>52</v>
      </c>
      <c r="C1259" s="121" t="s">
        <v>174</v>
      </c>
      <c r="D1259" t="s">
        <v>204</v>
      </c>
      <c r="E1259" t="s">
        <v>65</v>
      </c>
      <c r="F1259">
        <v>3</v>
      </c>
      <c r="G1259">
        <v>52</v>
      </c>
      <c r="H1259" s="86">
        <v>45971.848593483803</v>
      </c>
      <c r="I1259" s="86">
        <v>45971.954107500002</v>
      </c>
      <c r="J1259" s="87">
        <v>2.5323363888888899</v>
      </c>
      <c r="K1259" s="69" t="s">
        <v>274</v>
      </c>
      <c r="P1259" s="71" t="s">
        <v>275</v>
      </c>
      <c r="Q1259" s="88">
        <v>2.2370878729555201E-2</v>
      </c>
      <c r="R1259" s="89" t="s">
        <v>276</v>
      </c>
      <c r="T1259">
        <v>7.8</v>
      </c>
      <c r="U1259" s="76">
        <v>0.2</v>
      </c>
      <c r="V1259">
        <v>9.8000000000000007</v>
      </c>
      <c r="W1259" s="90">
        <v>0.1</v>
      </c>
      <c r="AG1259" s="91">
        <v>0</v>
      </c>
      <c r="AK1259" s="71">
        <v>0.15</v>
      </c>
      <c r="AL1259" s="88">
        <v>3.4047026301866699E-2</v>
      </c>
      <c r="AM1259" s="89">
        <f t="shared" si="19"/>
        <v>0.226980175345778</v>
      </c>
    </row>
    <row r="1260" spans="1:39" x14ac:dyDescent="0.25">
      <c r="A1260" t="s">
        <v>44</v>
      </c>
      <c r="B1260" t="s">
        <v>52</v>
      </c>
      <c r="C1260" s="121" t="s">
        <v>174</v>
      </c>
      <c r="D1260" t="s">
        <v>204</v>
      </c>
      <c r="E1260" t="s">
        <v>65</v>
      </c>
      <c r="F1260">
        <v>3</v>
      </c>
      <c r="G1260">
        <v>53</v>
      </c>
      <c r="H1260" s="86">
        <v>45971.954107500002</v>
      </c>
      <c r="I1260" s="86">
        <v>45972.0596347338</v>
      </c>
      <c r="J1260" s="87">
        <v>2.53265361111111</v>
      </c>
      <c r="K1260" s="69" t="s">
        <v>274</v>
      </c>
      <c r="P1260" s="71" t="s">
        <v>275</v>
      </c>
      <c r="Q1260" s="88">
        <v>2.3633404106419099E-2</v>
      </c>
      <c r="R1260" s="89" t="s">
        <v>276</v>
      </c>
      <c r="T1260">
        <v>7.1</v>
      </c>
      <c r="U1260" s="76">
        <v>0.2</v>
      </c>
      <c r="V1260">
        <v>9.6999999999999993</v>
      </c>
      <c r="W1260" s="90">
        <v>0.1</v>
      </c>
      <c r="AG1260" s="91">
        <v>0</v>
      </c>
      <c r="AK1260" s="71">
        <v>0.15</v>
      </c>
      <c r="AL1260" s="88">
        <v>3.4047026301866699E-2</v>
      </c>
      <c r="AM1260" s="89">
        <f t="shared" si="19"/>
        <v>0.226980175345778</v>
      </c>
    </row>
    <row r="1261" spans="1:39" x14ac:dyDescent="0.25">
      <c r="A1261" t="s">
        <v>44</v>
      </c>
      <c r="B1261" t="s">
        <v>52</v>
      </c>
      <c r="C1261" s="121" t="s">
        <v>174</v>
      </c>
      <c r="D1261" t="s">
        <v>204</v>
      </c>
      <c r="E1261" t="s">
        <v>65</v>
      </c>
      <c r="F1261">
        <v>3</v>
      </c>
      <c r="G1261">
        <v>54</v>
      </c>
      <c r="H1261" s="86">
        <v>45972.0596347338</v>
      </c>
      <c r="I1261" s="86">
        <v>45972.165168726897</v>
      </c>
      <c r="J1261" s="87">
        <v>2.5328158333333302</v>
      </c>
      <c r="K1261" s="69" t="s">
        <v>274</v>
      </c>
      <c r="P1261" s="71" t="s">
        <v>275</v>
      </c>
      <c r="Q1261" s="88">
        <v>2.0277722964374301E-2</v>
      </c>
      <c r="R1261" s="89" t="s">
        <v>276</v>
      </c>
      <c r="T1261">
        <v>6.3</v>
      </c>
      <c r="U1261" s="76">
        <v>0.2</v>
      </c>
      <c r="V1261">
        <v>9.6</v>
      </c>
      <c r="W1261" s="90">
        <v>0.1</v>
      </c>
      <c r="AG1261" s="91">
        <v>0</v>
      </c>
      <c r="AK1261" s="71">
        <v>0.15</v>
      </c>
      <c r="AL1261" s="88">
        <v>3.4047026301866699E-2</v>
      </c>
      <c r="AM1261" s="89">
        <f t="shared" si="19"/>
        <v>0.226980175345778</v>
      </c>
    </row>
    <row r="1262" spans="1:39" x14ac:dyDescent="0.25">
      <c r="A1262" t="s">
        <v>44</v>
      </c>
      <c r="B1262" t="s">
        <v>52</v>
      </c>
      <c r="C1262" s="121" t="s">
        <v>174</v>
      </c>
      <c r="D1262" t="s">
        <v>204</v>
      </c>
      <c r="E1262" t="s">
        <v>65</v>
      </c>
      <c r="F1262">
        <v>3</v>
      </c>
      <c r="G1262">
        <v>55</v>
      </c>
      <c r="H1262" s="86">
        <v>45972.165168726897</v>
      </c>
      <c r="I1262" s="86">
        <v>45972.270687546297</v>
      </c>
      <c r="J1262" s="87">
        <v>2.5324516666666699</v>
      </c>
      <c r="K1262" s="69" t="s">
        <v>274</v>
      </c>
      <c r="P1262" s="71" t="s">
        <v>275</v>
      </c>
      <c r="Q1262" s="88">
        <v>1.42767693942525E-2</v>
      </c>
      <c r="R1262" s="89" t="s">
        <v>276</v>
      </c>
      <c r="T1262">
        <v>5.8</v>
      </c>
      <c r="U1262" s="76">
        <v>0.2</v>
      </c>
      <c r="V1262">
        <v>9.5</v>
      </c>
      <c r="W1262" s="90">
        <v>0.1</v>
      </c>
      <c r="AG1262" s="91">
        <v>0</v>
      </c>
      <c r="AK1262" s="71">
        <v>0.15</v>
      </c>
      <c r="AL1262" s="88">
        <v>3.4047026301866699E-2</v>
      </c>
      <c r="AM1262" s="89">
        <f t="shared" si="19"/>
        <v>0.226980175345778</v>
      </c>
    </row>
    <row r="1263" spans="1:39" x14ac:dyDescent="0.25">
      <c r="A1263" t="s">
        <v>44</v>
      </c>
      <c r="B1263" t="s">
        <v>52</v>
      </c>
      <c r="C1263" s="121" t="s">
        <v>174</v>
      </c>
      <c r="D1263" t="s">
        <v>204</v>
      </c>
      <c r="E1263" t="s">
        <v>65</v>
      </c>
      <c r="F1263">
        <v>3</v>
      </c>
      <c r="G1263">
        <v>56</v>
      </c>
      <c r="H1263" s="86">
        <v>45972.270687546297</v>
      </c>
      <c r="I1263" s="86">
        <v>45972.376205289402</v>
      </c>
      <c r="J1263" s="87">
        <v>2.5324258333333298</v>
      </c>
      <c r="K1263" s="69" t="s">
        <v>274</v>
      </c>
      <c r="P1263" s="71" t="s">
        <v>275</v>
      </c>
      <c r="Q1263" s="88">
        <v>3.0363513996881301E-2</v>
      </c>
      <c r="R1263" s="89" t="s">
        <v>276</v>
      </c>
      <c r="T1263">
        <v>6.6</v>
      </c>
      <c r="U1263" s="76">
        <v>0.2</v>
      </c>
      <c r="V1263">
        <v>9.4</v>
      </c>
      <c r="W1263" s="90">
        <v>0.1</v>
      </c>
      <c r="AG1263" s="91">
        <v>0</v>
      </c>
      <c r="AK1263" s="71">
        <v>0.15</v>
      </c>
      <c r="AL1263" s="88">
        <v>3.4047026301866699E-2</v>
      </c>
      <c r="AM1263" s="89">
        <f t="shared" si="19"/>
        <v>0.226980175345778</v>
      </c>
    </row>
    <row r="1264" spans="1:39" x14ac:dyDescent="0.25">
      <c r="A1264" t="s">
        <v>44</v>
      </c>
      <c r="B1264" t="s">
        <v>52</v>
      </c>
      <c r="C1264" s="121" t="s">
        <v>174</v>
      </c>
      <c r="D1264" t="s">
        <v>204</v>
      </c>
      <c r="E1264" t="s">
        <v>65</v>
      </c>
      <c r="F1264">
        <v>3</v>
      </c>
      <c r="G1264">
        <v>57</v>
      </c>
      <c r="H1264" s="86">
        <v>45972.376205289402</v>
      </c>
      <c r="I1264" s="86">
        <v>45972.481729942097</v>
      </c>
      <c r="J1264" s="87">
        <v>2.5325916666666699</v>
      </c>
      <c r="K1264" s="69" t="s">
        <v>274</v>
      </c>
      <c r="P1264" s="71" t="s">
        <v>275</v>
      </c>
      <c r="Q1264" s="88">
        <v>3.5434349360480198E-2</v>
      </c>
      <c r="R1264" s="89" t="s">
        <v>276</v>
      </c>
      <c r="T1264">
        <v>7.5</v>
      </c>
      <c r="U1264" s="76">
        <v>0.2</v>
      </c>
      <c r="V1264">
        <v>9.3000000000000007</v>
      </c>
      <c r="W1264" s="90">
        <v>0.1</v>
      </c>
      <c r="AG1264" s="91">
        <v>0</v>
      </c>
      <c r="AK1264" s="71">
        <v>0.15</v>
      </c>
      <c r="AL1264" s="88">
        <v>3.4047026301866699E-2</v>
      </c>
      <c r="AM1264" s="89">
        <f t="shared" si="19"/>
        <v>0.226980175345778</v>
      </c>
    </row>
    <row r="1265" spans="1:39" x14ac:dyDescent="0.25">
      <c r="A1265" t="s">
        <v>44</v>
      </c>
      <c r="B1265" t="s">
        <v>52</v>
      </c>
      <c r="C1265" s="121" t="s">
        <v>174</v>
      </c>
      <c r="D1265" t="s">
        <v>204</v>
      </c>
      <c r="E1265" t="s">
        <v>65</v>
      </c>
      <c r="F1265">
        <v>3</v>
      </c>
      <c r="G1265">
        <v>58</v>
      </c>
      <c r="H1265" s="86">
        <v>45972.481729942097</v>
      </c>
      <c r="I1265" s="86">
        <v>45972.5872694676</v>
      </c>
      <c r="J1265" s="87">
        <v>2.5329486111111099</v>
      </c>
      <c r="K1265" s="69" t="s">
        <v>274</v>
      </c>
      <c r="P1265" s="71" t="s">
        <v>275</v>
      </c>
      <c r="Q1265" s="88">
        <v>3.2469417169341402E-2</v>
      </c>
      <c r="R1265" s="89" t="s">
        <v>276</v>
      </c>
      <c r="T1265">
        <v>8.5</v>
      </c>
      <c r="U1265" s="76">
        <v>0.2</v>
      </c>
      <c r="V1265">
        <v>9.3000000000000007</v>
      </c>
      <c r="W1265" s="90">
        <v>0.1</v>
      </c>
      <c r="AG1265" s="91">
        <v>0</v>
      </c>
      <c r="AK1265" s="71">
        <v>0.15</v>
      </c>
      <c r="AL1265" s="88">
        <v>3.4047026301866699E-2</v>
      </c>
      <c r="AM1265" s="89">
        <f t="shared" si="19"/>
        <v>0.226980175345778</v>
      </c>
    </row>
    <row r="1266" spans="1:39" x14ac:dyDescent="0.25">
      <c r="A1266" t="s">
        <v>44</v>
      </c>
      <c r="B1266" t="s">
        <v>52</v>
      </c>
      <c r="C1266" s="121" t="s">
        <v>174</v>
      </c>
      <c r="D1266" t="s">
        <v>204</v>
      </c>
      <c r="E1266" t="s">
        <v>65</v>
      </c>
      <c r="F1266">
        <v>3</v>
      </c>
      <c r="G1266">
        <v>59</v>
      </c>
      <c r="H1266" s="86">
        <v>45972.5872694676</v>
      </c>
      <c r="I1266" s="86">
        <v>45972.692786145803</v>
      </c>
      <c r="J1266" s="87">
        <v>2.5324002777777799</v>
      </c>
      <c r="K1266" s="69" t="s">
        <v>274</v>
      </c>
      <c r="P1266" s="71" t="s">
        <v>275</v>
      </c>
      <c r="Q1266" s="88">
        <v>4.40467671016576E-2</v>
      </c>
      <c r="R1266" s="89" t="s">
        <v>276</v>
      </c>
      <c r="T1266">
        <v>9.1999999999999993</v>
      </c>
      <c r="U1266" s="76">
        <v>0.2</v>
      </c>
      <c r="V1266">
        <v>9.4</v>
      </c>
      <c r="W1266" s="90">
        <v>0.1</v>
      </c>
      <c r="AG1266" s="91">
        <v>0</v>
      </c>
      <c r="AK1266" s="71">
        <v>0.15</v>
      </c>
      <c r="AL1266" s="88">
        <v>3.4047026301866699E-2</v>
      </c>
      <c r="AM1266" s="89">
        <f t="shared" si="19"/>
        <v>0.226980175345778</v>
      </c>
    </row>
    <row r="1267" spans="1:39" x14ac:dyDescent="0.25">
      <c r="A1267" t="s">
        <v>44</v>
      </c>
      <c r="B1267" t="s">
        <v>52</v>
      </c>
      <c r="C1267" s="121" t="s">
        <v>174</v>
      </c>
      <c r="D1267" t="s">
        <v>204</v>
      </c>
      <c r="E1267" t="s">
        <v>65</v>
      </c>
      <c r="F1267">
        <v>3</v>
      </c>
      <c r="G1267">
        <v>60</v>
      </c>
      <c r="H1267" s="86">
        <v>45972.692786145803</v>
      </c>
      <c r="I1267" s="86">
        <v>45972.798311168997</v>
      </c>
      <c r="J1267" s="87">
        <v>2.5326005555555602</v>
      </c>
      <c r="K1267" s="69" t="s">
        <v>274</v>
      </c>
      <c r="P1267" s="71" t="s">
        <v>275</v>
      </c>
      <c r="Q1267" s="88">
        <v>2.2849532176469099E-2</v>
      </c>
      <c r="R1267" s="89" t="s">
        <v>276</v>
      </c>
      <c r="T1267">
        <v>7.8</v>
      </c>
      <c r="U1267" s="76">
        <v>0.2</v>
      </c>
      <c r="V1267">
        <v>9.5</v>
      </c>
      <c r="W1267" s="90">
        <v>0.1</v>
      </c>
      <c r="AG1267" s="91">
        <v>0</v>
      </c>
      <c r="AK1267" s="71">
        <v>0.15</v>
      </c>
      <c r="AL1267" s="88">
        <v>3.4047026301866699E-2</v>
      </c>
      <c r="AM1267" s="89">
        <f t="shared" si="19"/>
        <v>0.226980175345778</v>
      </c>
    </row>
    <row r="1268" spans="1:39" x14ac:dyDescent="0.25">
      <c r="A1268" t="s">
        <v>44</v>
      </c>
      <c r="B1268" t="s">
        <v>52</v>
      </c>
      <c r="C1268" s="121" t="s">
        <v>174</v>
      </c>
      <c r="D1268" t="s">
        <v>204</v>
      </c>
      <c r="E1268" t="s">
        <v>65</v>
      </c>
      <c r="F1268">
        <v>3</v>
      </c>
      <c r="G1268">
        <v>61</v>
      </c>
      <c r="H1268" s="86">
        <v>45972.798311168997</v>
      </c>
      <c r="I1268" s="86">
        <v>45972.903841817097</v>
      </c>
      <c r="J1268" s="87">
        <v>2.53273555555556</v>
      </c>
      <c r="K1268" s="69" t="s">
        <v>274</v>
      </c>
      <c r="P1268" s="71" t="s">
        <v>275</v>
      </c>
      <c r="Q1268" s="88">
        <v>2.1708463803354901E-2</v>
      </c>
      <c r="R1268" s="89" t="s">
        <v>276</v>
      </c>
      <c r="T1268">
        <v>7</v>
      </c>
      <c r="U1268" s="76">
        <v>0.2</v>
      </c>
      <c r="V1268">
        <v>9.5</v>
      </c>
      <c r="W1268" s="90">
        <v>0.1</v>
      </c>
      <c r="AG1268" s="91">
        <v>0</v>
      </c>
      <c r="AK1268" s="71">
        <v>0.15</v>
      </c>
      <c r="AL1268" s="88">
        <v>3.4047026301866699E-2</v>
      </c>
      <c r="AM1268" s="89">
        <f t="shared" si="19"/>
        <v>0.226980175345778</v>
      </c>
    </row>
    <row r="1269" spans="1:39" x14ac:dyDescent="0.25">
      <c r="A1269" t="s">
        <v>44</v>
      </c>
      <c r="B1269" t="s">
        <v>52</v>
      </c>
      <c r="C1269" s="121" t="s">
        <v>174</v>
      </c>
      <c r="D1269" t="s">
        <v>204</v>
      </c>
      <c r="E1269" t="s">
        <v>65</v>
      </c>
      <c r="F1269">
        <v>3</v>
      </c>
      <c r="G1269">
        <v>62</v>
      </c>
      <c r="H1269" s="86">
        <v>45972.903841817097</v>
      </c>
      <c r="I1269" s="86">
        <v>45973.009357025498</v>
      </c>
      <c r="J1269" s="87">
        <v>2.532365</v>
      </c>
      <c r="K1269" s="69" t="s">
        <v>274</v>
      </c>
      <c r="P1269" s="71" t="s">
        <v>275</v>
      </c>
      <c r="Q1269" s="88">
        <v>1.8153137179155902E-2</v>
      </c>
      <c r="R1269" s="89" t="s">
        <v>276</v>
      </c>
      <c r="T1269">
        <v>7.4</v>
      </c>
      <c r="U1269" s="76">
        <v>0.2</v>
      </c>
      <c r="V1269">
        <v>9.3000000000000007</v>
      </c>
      <c r="W1269" s="90">
        <v>0.1</v>
      </c>
      <c r="AG1269" s="91">
        <v>0</v>
      </c>
      <c r="AK1269" s="71">
        <v>0.15</v>
      </c>
      <c r="AL1269" s="88">
        <v>3.4047026301866699E-2</v>
      </c>
      <c r="AM1269" s="89">
        <f t="shared" si="19"/>
        <v>0.226980175345778</v>
      </c>
    </row>
    <row r="1270" spans="1:39" x14ac:dyDescent="0.25">
      <c r="A1270" t="s">
        <v>44</v>
      </c>
      <c r="B1270" t="s">
        <v>52</v>
      </c>
      <c r="C1270" s="121" t="s">
        <v>174</v>
      </c>
      <c r="D1270" t="s">
        <v>204</v>
      </c>
      <c r="E1270" t="s">
        <v>65</v>
      </c>
      <c r="F1270">
        <v>3</v>
      </c>
      <c r="G1270">
        <v>63</v>
      </c>
      <c r="H1270" s="86">
        <v>45973.009357025498</v>
      </c>
      <c r="I1270" s="86">
        <v>45973.114877407403</v>
      </c>
      <c r="J1270" s="87">
        <v>2.5324891666666698</v>
      </c>
      <c r="K1270" s="69" t="s">
        <v>274</v>
      </c>
      <c r="P1270" s="71" t="s">
        <v>275</v>
      </c>
      <c r="Q1270" s="88">
        <v>3.7754577102686697E-2</v>
      </c>
      <c r="R1270" s="89" t="s">
        <v>276</v>
      </c>
      <c r="T1270">
        <v>9.3000000000000007</v>
      </c>
      <c r="U1270" s="76">
        <v>0.2</v>
      </c>
      <c r="V1270">
        <v>9.3000000000000007</v>
      </c>
      <c r="W1270" s="90">
        <v>0.1</v>
      </c>
      <c r="AG1270" s="91">
        <v>0</v>
      </c>
      <c r="AK1270" s="71">
        <v>0.15</v>
      </c>
      <c r="AL1270" s="88">
        <v>3.4047026301866699E-2</v>
      </c>
      <c r="AM1270" s="89">
        <f t="shared" si="19"/>
        <v>0.226980175345778</v>
      </c>
    </row>
    <row r="1271" spans="1:39" x14ac:dyDescent="0.25">
      <c r="A1271" t="s">
        <v>44</v>
      </c>
      <c r="B1271" t="s">
        <v>52</v>
      </c>
      <c r="C1271" s="121" t="s">
        <v>174</v>
      </c>
      <c r="D1271" t="s">
        <v>204</v>
      </c>
      <c r="E1271" t="s">
        <v>65</v>
      </c>
      <c r="F1271">
        <v>3</v>
      </c>
      <c r="G1271">
        <v>64</v>
      </c>
      <c r="H1271" s="86">
        <v>45973.114877407403</v>
      </c>
      <c r="I1271" s="86">
        <v>45973.220413877301</v>
      </c>
      <c r="J1271" s="87">
        <v>2.5328752777777801</v>
      </c>
      <c r="K1271" s="69" t="s">
        <v>274</v>
      </c>
      <c r="P1271" s="71" t="s">
        <v>275</v>
      </c>
      <c r="Q1271" s="88">
        <v>5.0271956872267001E-2</v>
      </c>
      <c r="R1271" s="89" t="s">
        <v>276</v>
      </c>
      <c r="T1271">
        <v>9.1999999999999993</v>
      </c>
      <c r="U1271" s="76">
        <v>0.2</v>
      </c>
      <c r="V1271">
        <v>9.3000000000000007</v>
      </c>
      <c r="W1271" s="90">
        <v>0.1</v>
      </c>
      <c r="AG1271" s="91">
        <v>0</v>
      </c>
      <c r="AK1271" s="71">
        <v>0.15</v>
      </c>
      <c r="AL1271" s="88">
        <v>3.4047026301866699E-2</v>
      </c>
      <c r="AM1271" s="89">
        <f t="shared" si="19"/>
        <v>0.226980175345778</v>
      </c>
    </row>
    <row r="1272" spans="1:39" x14ac:dyDescent="0.25">
      <c r="A1272" t="s">
        <v>44</v>
      </c>
      <c r="B1272" t="s">
        <v>52</v>
      </c>
      <c r="C1272" s="121" t="s">
        <v>174</v>
      </c>
      <c r="D1272" t="s">
        <v>204</v>
      </c>
      <c r="E1272" t="s">
        <v>65</v>
      </c>
      <c r="F1272">
        <v>3</v>
      </c>
      <c r="G1272">
        <v>65</v>
      </c>
      <c r="H1272" s="86">
        <v>45973.220413877301</v>
      </c>
      <c r="I1272" s="86">
        <v>45973.325938588001</v>
      </c>
      <c r="J1272" s="87">
        <v>2.53259305555556</v>
      </c>
      <c r="K1272" s="69" t="s">
        <v>274</v>
      </c>
      <c r="P1272" s="71" t="s">
        <v>275</v>
      </c>
      <c r="Q1272" s="88">
        <v>4.4802295775587697E-2</v>
      </c>
      <c r="R1272" s="89" t="s">
        <v>276</v>
      </c>
      <c r="T1272">
        <v>9</v>
      </c>
      <c r="U1272" s="76">
        <v>0.2</v>
      </c>
      <c r="V1272">
        <v>9.4</v>
      </c>
      <c r="W1272" s="90">
        <v>0.1</v>
      </c>
      <c r="AG1272" s="91">
        <v>0</v>
      </c>
      <c r="AK1272" s="71">
        <v>0.15</v>
      </c>
      <c r="AL1272" s="88">
        <v>3.4047026301866699E-2</v>
      </c>
      <c r="AM1272" s="89">
        <f t="shared" si="19"/>
        <v>0.226980175345778</v>
      </c>
    </row>
    <row r="1273" spans="1:39" x14ac:dyDescent="0.25">
      <c r="A1273" t="s">
        <v>44</v>
      </c>
      <c r="B1273" t="s">
        <v>52</v>
      </c>
      <c r="C1273" s="121" t="s">
        <v>174</v>
      </c>
      <c r="D1273" t="s">
        <v>204</v>
      </c>
      <c r="E1273" t="s">
        <v>65</v>
      </c>
      <c r="F1273">
        <v>3</v>
      </c>
      <c r="G1273">
        <v>66</v>
      </c>
      <c r="H1273" s="86">
        <v>45973.325938588001</v>
      </c>
      <c r="I1273" s="86">
        <v>45973.431469490701</v>
      </c>
      <c r="J1273" s="87">
        <v>2.53274166666667</v>
      </c>
      <c r="K1273" s="69" t="s">
        <v>274</v>
      </c>
      <c r="P1273" s="71" t="s">
        <v>275</v>
      </c>
      <c r="Q1273" s="88">
        <v>4.3990652167297299E-2</v>
      </c>
      <c r="R1273" s="89" t="s">
        <v>276</v>
      </c>
      <c r="T1273">
        <v>9</v>
      </c>
      <c r="U1273" s="76">
        <v>0.2</v>
      </c>
      <c r="V1273">
        <v>9.4</v>
      </c>
      <c r="W1273" s="90">
        <v>0.1</v>
      </c>
      <c r="AG1273" s="91">
        <v>0</v>
      </c>
      <c r="AK1273" s="71">
        <v>0.15</v>
      </c>
      <c r="AL1273" s="88">
        <v>3.4047026301866699E-2</v>
      </c>
      <c r="AM1273" s="89">
        <f t="shared" si="19"/>
        <v>0.226980175345778</v>
      </c>
    </row>
    <row r="1274" spans="1:39" x14ac:dyDescent="0.25">
      <c r="A1274" t="s">
        <v>44</v>
      </c>
      <c r="B1274" t="s">
        <v>52</v>
      </c>
      <c r="C1274" s="121" t="s">
        <v>174</v>
      </c>
      <c r="D1274" t="s">
        <v>191</v>
      </c>
      <c r="E1274" t="s">
        <v>59</v>
      </c>
      <c r="F1274">
        <v>1</v>
      </c>
      <c r="G1274">
        <v>1</v>
      </c>
      <c r="H1274" s="86">
        <v>45966.583363368103</v>
      </c>
      <c r="I1274" s="86">
        <v>45966.684123414401</v>
      </c>
      <c r="J1274" s="87">
        <v>2.4182411111111102</v>
      </c>
      <c r="K1274" s="69" t="s">
        <v>274</v>
      </c>
      <c r="P1274" s="71" t="s">
        <v>275</v>
      </c>
      <c r="Q1274" s="88">
        <v>7.4834495129004995E-4</v>
      </c>
      <c r="R1274" s="89" t="s">
        <v>276</v>
      </c>
      <c r="T1274">
        <v>12.9</v>
      </c>
      <c r="U1274" s="76">
        <v>0.2</v>
      </c>
      <c r="V1274">
        <v>10.9</v>
      </c>
      <c r="W1274" s="90">
        <v>0.1</v>
      </c>
      <c r="AG1274" s="91">
        <v>0</v>
      </c>
      <c r="AK1274" s="71">
        <v>0.15</v>
      </c>
      <c r="AL1274" s="88">
        <v>3.3794970039933502E-2</v>
      </c>
      <c r="AM1274" s="89">
        <f t="shared" si="19"/>
        <v>0.22529980026622334</v>
      </c>
    </row>
    <row r="1275" spans="1:39" x14ac:dyDescent="0.25">
      <c r="A1275" t="s">
        <v>44</v>
      </c>
      <c r="B1275" t="s">
        <v>52</v>
      </c>
      <c r="C1275" s="121" t="s">
        <v>174</v>
      </c>
      <c r="D1275" t="s">
        <v>191</v>
      </c>
      <c r="E1275" t="s">
        <v>59</v>
      </c>
      <c r="F1275">
        <v>1</v>
      </c>
      <c r="G1275">
        <v>2</v>
      </c>
      <c r="H1275" s="86">
        <v>45966.684123414401</v>
      </c>
      <c r="I1275" s="86">
        <v>45966.789649270802</v>
      </c>
      <c r="J1275" s="87">
        <v>2.5326205555555599</v>
      </c>
      <c r="K1275" s="69" t="s">
        <v>274</v>
      </c>
      <c r="P1275" s="71" t="s">
        <v>275</v>
      </c>
      <c r="Q1275" s="88">
        <v>5.4175100746904096E-3</v>
      </c>
      <c r="R1275" s="89" t="s">
        <v>276</v>
      </c>
      <c r="T1275">
        <v>12.1</v>
      </c>
      <c r="U1275" s="76">
        <v>0.2</v>
      </c>
      <c r="V1275">
        <v>11</v>
      </c>
      <c r="W1275" s="90">
        <v>0.1</v>
      </c>
      <c r="AG1275" s="91">
        <v>0</v>
      </c>
      <c r="AK1275" s="71">
        <v>0.15</v>
      </c>
      <c r="AL1275" s="88">
        <v>3.3794970039933502E-2</v>
      </c>
      <c r="AM1275" s="89">
        <f t="shared" si="19"/>
        <v>0.22529980026622334</v>
      </c>
    </row>
    <row r="1276" spans="1:39" x14ac:dyDescent="0.25">
      <c r="A1276" t="s">
        <v>44</v>
      </c>
      <c r="B1276" t="s">
        <v>52</v>
      </c>
      <c r="C1276" s="121" t="s">
        <v>174</v>
      </c>
      <c r="D1276" t="s">
        <v>191</v>
      </c>
      <c r="E1276" t="s">
        <v>59</v>
      </c>
      <c r="F1276">
        <v>1</v>
      </c>
      <c r="G1276">
        <v>3</v>
      </c>
      <c r="H1276" s="86">
        <v>45966.789649270802</v>
      </c>
      <c r="I1276" s="86">
        <v>45966.895172500001</v>
      </c>
      <c r="J1276" s="87">
        <v>2.5325574999999998</v>
      </c>
      <c r="K1276" s="69" t="s">
        <v>274</v>
      </c>
      <c r="P1276" s="71" t="s">
        <v>275</v>
      </c>
      <c r="Q1276" s="88">
        <v>6.0488781539881397E-3</v>
      </c>
      <c r="R1276" s="89" t="s">
        <v>276</v>
      </c>
      <c r="T1276">
        <v>10.5</v>
      </c>
      <c r="U1276" s="76">
        <v>0.2</v>
      </c>
      <c r="V1276">
        <v>11.1</v>
      </c>
      <c r="W1276" s="90">
        <v>0.1</v>
      </c>
      <c r="AG1276" s="91">
        <v>0</v>
      </c>
      <c r="AK1276" s="71">
        <v>0.15</v>
      </c>
      <c r="AL1276" s="88">
        <v>3.3794970039933502E-2</v>
      </c>
      <c r="AM1276" s="89">
        <f t="shared" si="19"/>
        <v>0.22529980026622334</v>
      </c>
    </row>
    <row r="1277" spans="1:39" x14ac:dyDescent="0.25">
      <c r="A1277" t="s">
        <v>44</v>
      </c>
      <c r="B1277" t="s">
        <v>52</v>
      </c>
      <c r="C1277" s="121" t="s">
        <v>174</v>
      </c>
      <c r="D1277" t="s">
        <v>191</v>
      </c>
      <c r="E1277" t="s">
        <v>59</v>
      </c>
      <c r="F1277">
        <v>1</v>
      </c>
      <c r="G1277">
        <v>4</v>
      </c>
      <c r="H1277" s="86">
        <v>45966.895172500001</v>
      </c>
      <c r="I1277" s="86">
        <v>45967.000688738401</v>
      </c>
      <c r="J1277" s="87">
        <v>2.53238972222222</v>
      </c>
      <c r="K1277" s="69" t="s">
        <v>274</v>
      </c>
      <c r="P1277" s="71" t="s">
        <v>275</v>
      </c>
      <c r="Q1277" s="88">
        <v>1.1638610963680801E-2</v>
      </c>
      <c r="R1277" s="89" t="s">
        <v>276</v>
      </c>
      <c r="T1277">
        <v>10.7</v>
      </c>
      <c r="U1277" s="76">
        <v>0.2</v>
      </c>
      <c r="V1277">
        <v>11</v>
      </c>
      <c r="W1277" s="90">
        <v>0.1</v>
      </c>
      <c r="AG1277" s="91">
        <v>0</v>
      </c>
      <c r="AK1277" s="71">
        <v>0.15</v>
      </c>
      <c r="AL1277" s="88">
        <v>3.3794970039933502E-2</v>
      </c>
      <c r="AM1277" s="89">
        <f t="shared" si="19"/>
        <v>0.22529980026622334</v>
      </c>
    </row>
    <row r="1278" spans="1:39" x14ac:dyDescent="0.25">
      <c r="A1278" t="s">
        <v>44</v>
      </c>
      <c r="B1278" t="s">
        <v>52</v>
      </c>
      <c r="C1278" s="121" t="s">
        <v>174</v>
      </c>
      <c r="D1278" t="s">
        <v>191</v>
      </c>
      <c r="E1278" t="s">
        <v>59</v>
      </c>
      <c r="F1278">
        <v>1</v>
      </c>
      <c r="G1278">
        <v>5</v>
      </c>
      <c r="H1278" s="86">
        <v>45967.000688738401</v>
      </c>
      <c r="I1278" s="86">
        <v>45967.106235949097</v>
      </c>
      <c r="J1278" s="87">
        <v>2.53313305555556</v>
      </c>
      <c r="K1278" s="69" t="s">
        <v>274</v>
      </c>
      <c r="P1278" s="71" t="s">
        <v>275</v>
      </c>
      <c r="Q1278" s="88">
        <v>1.20956843194786E-2</v>
      </c>
      <c r="R1278" s="89" t="s">
        <v>276</v>
      </c>
      <c r="T1278">
        <v>10.6</v>
      </c>
      <c r="U1278" s="76">
        <v>0.2</v>
      </c>
      <c r="V1278">
        <v>11</v>
      </c>
      <c r="W1278" s="90">
        <v>0.1</v>
      </c>
      <c r="AG1278" s="91">
        <v>0.1</v>
      </c>
      <c r="AK1278" s="71">
        <v>0.15</v>
      </c>
      <c r="AL1278" s="88">
        <v>3.3794970039933502E-2</v>
      </c>
      <c r="AM1278" s="89">
        <f t="shared" si="19"/>
        <v>0.22529980026622334</v>
      </c>
    </row>
    <row r="1279" spans="1:39" x14ac:dyDescent="0.25">
      <c r="A1279" t="s">
        <v>44</v>
      </c>
      <c r="B1279" t="s">
        <v>52</v>
      </c>
      <c r="C1279" s="121" t="s">
        <v>174</v>
      </c>
      <c r="D1279" t="s">
        <v>191</v>
      </c>
      <c r="E1279" t="s">
        <v>59</v>
      </c>
      <c r="F1279">
        <v>1</v>
      </c>
      <c r="G1279">
        <v>6</v>
      </c>
      <c r="H1279" s="86">
        <v>45967.106235949097</v>
      </c>
      <c r="I1279" s="86">
        <v>45967.211752581003</v>
      </c>
      <c r="J1279" s="87">
        <v>2.5323991666666701</v>
      </c>
      <c r="K1279" s="69" t="s">
        <v>274</v>
      </c>
      <c r="P1279" s="71" t="s">
        <v>275</v>
      </c>
      <c r="Q1279" s="88">
        <v>1.8260176114766401E-2</v>
      </c>
      <c r="R1279" s="89" t="s">
        <v>276</v>
      </c>
      <c r="T1279">
        <v>10.6</v>
      </c>
      <c r="U1279" s="76">
        <v>0.2</v>
      </c>
      <c r="V1279">
        <v>10.9</v>
      </c>
      <c r="W1279" s="90">
        <v>0.1</v>
      </c>
      <c r="AG1279" s="91">
        <v>0</v>
      </c>
      <c r="AK1279" s="71">
        <v>0.15</v>
      </c>
      <c r="AL1279" s="88">
        <v>3.3794970039933502E-2</v>
      </c>
      <c r="AM1279" s="89">
        <f t="shared" si="19"/>
        <v>0.22529980026622334</v>
      </c>
    </row>
    <row r="1280" spans="1:39" x14ac:dyDescent="0.25">
      <c r="A1280" t="s">
        <v>44</v>
      </c>
      <c r="B1280" t="s">
        <v>52</v>
      </c>
      <c r="C1280" s="121" t="s">
        <v>174</v>
      </c>
      <c r="D1280" t="s">
        <v>191</v>
      </c>
      <c r="E1280" t="s">
        <v>59</v>
      </c>
      <c r="F1280">
        <v>1</v>
      </c>
      <c r="G1280">
        <v>7</v>
      </c>
      <c r="H1280" s="86">
        <v>45967.211752581003</v>
      </c>
      <c r="I1280" s="86">
        <v>45967.317286516198</v>
      </c>
      <c r="J1280" s="87">
        <v>2.53281444444444</v>
      </c>
      <c r="K1280" s="69" t="s">
        <v>274</v>
      </c>
      <c r="P1280" s="71" t="s">
        <v>275</v>
      </c>
      <c r="Q1280" s="88">
        <v>1.9958235821040501E-2</v>
      </c>
      <c r="R1280" s="89" t="s">
        <v>276</v>
      </c>
      <c r="T1280">
        <v>10.3</v>
      </c>
      <c r="U1280" s="76">
        <v>0.2</v>
      </c>
      <c r="V1280">
        <v>10.9</v>
      </c>
      <c r="W1280" s="90">
        <v>0.1</v>
      </c>
      <c r="AG1280" s="91">
        <v>0</v>
      </c>
      <c r="AK1280" s="71">
        <v>0.15</v>
      </c>
      <c r="AL1280" s="88">
        <v>3.3794970039933502E-2</v>
      </c>
      <c r="AM1280" s="89">
        <f t="shared" si="19"/>
        <v>0.22529980026622334</v>
      </c>
    </row>
    <row r="1281" spans="1:39" x14ac:dyDescent="0.25">
      <c r="A1281" t="s">
        <v>44</v>
      </c>
      <c r="B1281" t="s">
        <v>52</v>
      </c>
      <c r="C1281" s="121" t="s">
        <v>174</v>
      </c>
      <c r="D1281" t="s">
        <v>191</v>
      </c>
      <c r="E1281" t="s">
        <v>59</v>
      </c>
      <c r="F1281">
        <v>1</v>
      </c>
      <c r="G1281">
        <v>8</v>
      </c>
      <c r="H1281" s="86">
        <v>45967.317286516198</v>
      </c>
      <c r="I1281" s="86">
        <v>45967.422808981501</v>
      </c>
      <c r="J1281" s="87">
        <v>2.5325391666666701</v>
      </c>
      <c r="K1281" s="69" t="s">
        <v>274</v>
      </c>
      <c r="P1281" s="71" t="s">
        <v>275</v>
      </c>
      <c r="Q1281" s="88">
        <v>1.72988439524728E-2</v>
      </c>
      <c r="R1281" s="89" t="s">
        <v>276</v>
      </c>
      <c r="T1281">
        <v>9.9</v>
      </c>
      <c r="U1281" s="76">
        <v>0.2</v>
      </c>
      <c r="V1281">
        <v>10.9</v>
      </c>
      <c r="W1281" s="90">
        <v>0.1</v>
      </c>
      <c r="AG1281" s="91">
        <v>0</v>
      </c>
      <c r="AK1281" s="71">
        <v>0.15</v>
      </c>
      <c r="AL1281" s="88">
        <v>3.3794970039933502E-2</v>
      </c>
      <c r="AM1281" s="89">
        <f t="shared" si="19"/>
        <v>0.22529980026622334</v>
      </c>
    </row>
    <row r="1282" spans="1:39" x14ac:dyDescent="0.25">
      <c r="A1282" t="s">
        <v>44</v>
      </c>
      <c r="B1282" t="s">
        <v>52</v>
      </c>
      <c r="C1282" s="121" t="s">
        <v>174</v>
      </c>
      <c r="D1282" t="s">
        <v>191</v>
      </c>
      <c r="E1282" t="s">
        <v>59</v>
      </c>
      <c r="F1282">
        <v>1</v>
      </c>
      <c r="G1282">
        <v>9</v>
      </c>
      <c r="H1282" s="86">
        <v>45967.422808981501</v>
      </c>
      <c r="I1282" s="86">
        <v>45967.528341296304</v>
      </c>
      <c r="J1282" s="87">
        <v>2.5327755555555602</v>
      </c>
      <c r="K1282" s="69" t="s">
        <v>274</v>
      </c>
      <c r="P1282" s="71" t="s">
        <v>275</v>
      </c>
      <c r="Q1282" s="88">
        <v>5.8872175200207398E-2</v>
      </c>
      <c r="R1282" s="89" t="s">
        <v>276</v>
      </c>
      <c r="T1282">
        <v>13.3</v>
      </c>
      <c r="U1282" s="76">
        <v>0.2</v>
      </c>
      <c r="V1282">
        <v>10.8</v>
      </c>
      <c r="W1282" s="90">
        <v>0.1</v>
      </c>
      <c r="AG1282" s="91">
        <v>0</v>
      </c>
      <c r="AK1282" s="71">
        <v>0.15</v>
      </c>
      <c r="AL1282" s="88">
        <v>3.3794970039933502E-2</v>
      </c>
      <c r="AM1282" s="89">
        <f t="shared" si="19"/>
        <v>0.22529980026622334</v>
      </c>
    </row>
    <row r="1283" spans="1:39" x14ac:dyDescent="0.25">
      <c r="A1283" t="s">
        <v>44</v>
      </c>
      <c r="B1283" t="s">
        <v>52</v>
      </c>
      <c r="C1283" s="121" t="s">
        <v>174</v>
      </c>
      <c r="D1283" t="s">
        <v>191</v>
      </c>
      <c r="E1283" t="s">
        <v>59</v>
      </c>
      <c r="F1283">
        <v>1</v>
      </c>
      <c r="G1283">
        <v>10</v>
      </c>
      <c r="H1283" s="86">
        <v>45967.528341296304</v>
      </c>
      <c r="I1283" s="86">
        <v>45967.633870682897</v>
      </c>
      <c r="J1283" s="87">
        <v>2.5327052777777799</v>
      </c>
      <c r="K1283" s="69" t="s">
        <v>274</v>
      </c>
      <c r="P1283" s="71" t="s">
        <v>275</v>
      </c>
      <c r="Q1283" s="88">
        <v>8.5245590911107005E-2</v>
      </c>
      <c r="R1283" s="89" t="s">
        <v>276</v>
      </c>
      <c r="T1283">
        <v>15.9</v>
      </c>
      <c r="U1283" s="76">
        <v>0.2</v>
      </c>
      <c r="V1283">
        <v>11</v>
      </c>
      <c r="W1283" s="90">
        <v>0.1</v>
      </c>
      <c r="AG1283" s="91">
        <v>0</v>
      </c>
      <c r="AK1283" s="71">
        <v>0.15</v>
      </c>
      <c r="AL1283" s="88">
        <v>3.3794970039933502E-2</v>
      </c>
      <c r="AM1283" s="89">
        <f t="shared" si="19"/>
        <v>0.22529980026622334</v>
      </c>
    </row>
    <row r="1284" spans="1:39" x14ac:dyDescent="0.25">
      <c r="A1284" t="s">
        <v>44</v>
      </c>
      <c r="B1284" t="s">
        <v>52</v>
      </c>
      <c r="C1284" s="121" t="s">
        <v>174</v>
      </c>
      <c r="D1284" t="s">
        <v>191</v>
      </c>
      <c r="E1284" t="s">
        <v>59</v>
      </c>
      <c r="F1284">
        <v>1</v>
      </c>
      <c r="G1284">
        <v>11</v>
      </c>
      <c r="H1284" s="86">
        <v>45967.633870682897</v>
      </c>
      <c r="I1284" s="86">
        <v>45967.739388588001</v>
      </c>
      <c r="J1284" s="87">
        <v>2.5324297222222198</v>
      </c>
      <c r="K1284" s="69" t="s">
        <v>274</v>
      </c>
      <c r="P1284" s="71" t="s">
        <v>275</v>
      </c>
      <c r="Q1284" s="88">
        <v>4.4357713147190399E-2</v>
      </c>
      <c r="R1284" s="89" t="s">
        <v>276</v>
      </c>
      <c r="T1284">
        <v>12.7</v>
      </c>
      <c r="U1284" s="76">
        <v>0.2</v>
      </c>
      <c r="V1284">
        <v>11.2</v>
      </c>
      <c r="W1284" s="90">
        <v>0.1</v>
      </c>
      <c r="AG1284" s="91">
        <v>0</v>
      </c>
      <c r="AK1284" s="71">
        <v>0.15</v>
      </c>
      <c r="AL1284" s="88">
        <v>3.3794970039933502E-2</v>
      </c>
      <c r="AM1284" s="89">
        <f t="shared" si="19"/>
        <v>0.22529980026622334</v>
      </c>
    </row>
    <row r="1285" spans="1:39" x14ac:dyDescent="0.25">
      <c r="A1285" t="s">
        <v>44</v>
      </c>
      <c r="B1285" t="s">
        <v>52</v>
      </c>
      <c r="C1285" s="121" t="s">
        <v>174</v>
      </c>
      <c r="D1285" t="s">
        <v>191</v>
      </c>
      <c r="E1285" t="s">
        <v>59</v>
      </c>
      <c r="F1285">
        <v>1</v>
      </c>
      <c r="G1285">
        <v>12</v>
      </c>
      <c r="H1285" s="86">
        <v>45967.739388588001</v>
      </c>
      <c r="I1285" s="86">
        <v>45967.844912696797</v>
      </c>
      <c r="J1285" s="87">
        <v>2.5325786111111102</v>
      </c>
      <c r="K1285" s="69" t="s">
        <v>274</v>
      </c>
      <c r="P1285" s="71" t="s">
        <v>275</v>
      </c>
      <c r="Q1285" s="88">
        <v>1.48330512240889E-2</v>
      </c>
      <c r="R1285" s="89" t="s">
        <v>276</v>
      </c>
      <c r="T1285">
        <v>7.9</v>
      </c>
      <c r="U1285" s="76">
        <v>0.2</v>
      </c>
      <c r="V1285">
        <v>11.2</v>
      </c>
      <c r="W1285" s="90">
        <v>0.1</v>
      </c>
      <c r="AG1285" s="91">
        <v>0</v>
      </c>
      <c r="AK1285" s="71">
        <v>0.15</v>
      </c>
      <c r="AL1285" s="88">
        <v>3.3794970039933502E-2</v>
      </c>
      <c r="AM1285" s="89">
        <f t="shared" ref="AM1285:AM1348" si="20">AL1285/AK1285</f>
        <v>0.22529980026622334</v>
      </c>
    </row>
    <row r="1286" spans="1:39" x14ac:dyDescent="0.25">
      <c r="A1286" t="s">
        <v>44</v>
      </c>
      <c r="B1286" t="s">
        <v>52</v>
      </c>
      <c r="C1286" s="121" t="s">
        <v>174</v>
      </c>
      <c r="D1286" t="s">
        <v>191</v>
      </c>
      <c r="E1286" t="s">
        <v>59</v>
      </c>
      <c r="F1286">
        <v>1</v>
      </c>
      <c r="G1286">
        <v>13</v>
      </c>
      <c r="H1286" s="86">
        <v>45967.844912696797</v>
      </c>
      <c r="I1286" s="86">
        <v>45967.9504372917</v>
      </c>
      <c r="J1286" s="87">
        <v>2.5325902777777798</v>
      </c>
      <c r="K1286" s="69" t="s">
        <v>274</v>
      </c>
      <c r="P1286" s="71" t="s">
        <v>275</v>
      </c>
      <c r="Q1286" s="88">
        <v>9.0137265955559497E-3</v>
      </c>
      <c r="R1286" s="89" t="s">
        <v>276</v>
      </c>
      <c r="T1286">
        <v>6.7</v>
      </c>
      <c r="U1286" s="76">
        <v>0.2</v>
      </c>
      <c r="V1286">
        <v>11</v>
      </c>
      <c r="W1286" s="90">
        <v>0.1</v>
      </c>
      <c r="AG1286" s="91">
        <v>0</v>
      </c>
      <c r="AK1286" s="71">
        <v>0.15</v>
      </c>
      <c r="AL1286" s="88">
        <v>3.3794970039933502E-2</v>
      </c>
      <c r="AM1286" s="89">
        <f t="shared" si="20"/>
        <v>0.22529980026622334</v>
      </c>
    </row>
    <row r="1287" spans="1:39" x14ac:dyDescent="0.25">
      <c r="A1287" t="s">
        <v>44</v>
      </c>
      <c r="B1287" t="s">
        <v>52</v>
      </c>
      <c r="C1287" s="121" t="s">
        <v>174</v>
      </c>
      <c r="D1287" t="s">
        <v>191</v>
      </c>
      <c r="E1287" t="s">
        <v>59</v>
      </c>
      <c r="F1287">
        <v>1</v>
      </c>
      <c r="G1287">
        <v>14</v>
      </c>
      <c r="H1287" s="86">
        <v>45967.9504372917</v>
      </c>
      <c r="I1287" s="86">
        <v>45968.055951631897</v>
      </c>
      <c r="J1287" s="87">
        <v>2.5323441666666699</v>
      </c>
      <c r="K1287" s="69" t="s">
        <v>274</v>
      </c>
      <c r="P1287" s="71" t="s">
        <v>275</v>
      </c>
      <c r="Q1287" s="88">
        <v>1.1323332131962901E-2</v>
      </c>
      <c r="R1287" s="89" t="s">
        <v>276</v>
      </c>
      <c r="T1287">
        <v>7.1</v>
      </c>
      <c r="U1287" s="76">
        <v>0.2</v>
      </c>
      <c r="V1287">
        <v>10.7</v>
      </c>
      <c r="W1287" s="90">
        <v>0.1</v>
      </c>
      <c r="AG1287" s="91">
        <v>0</v>
      </c>
      <c r="AK1287" s="71">
        <v>0.15</v>
      </c>
      <c r="AL1287" s="88">
        <v>3.3794970039933502E-2</v>
      </c>
      <c r="AM1287" s="89">
        <f t="shared" si="20"/>
        <v>0.22529980026622334</v>
      </c>
    </row>
    <row r="1288" spans="1:39" x14ac:dyDescent="0.25">
      <c r="A1288" t="s">
        <v>44</v>
      </c>
      <c r="B1288" t="s">
        <v>52</v>
      </c>
      <c r="C1288" s="121" t="s">
        <v>174</v>
      </c>
      <c r="D1288" t="s">
        <v>191</v>
      </c>
      <c r="E1288" t="s">
        <v>59</v>
      </c>
      <c r="F1288">
        <v>1</v>
      </c>
      <c r="G1288">
        <v>15</v>
      </c>
      <c r="H1288" s="86">
        <v>45968.055951631897</v>
      </c>
      <c r="I1288" s="86">
        <v>45968.1614803009</v>
      </c>
      <c r="J1288" s="87">
        <v>2.53268805555556</v>
      </c>
      <c r="K1288" s="69" t="s">
        <v>274</v>
      </c>
      <c r="P1288" s="71" t="s">
        <v>275</v>
      </c>
      <c r="Q1288" s="88">
        <v>1.1098678576020701E-2</v>
      </c>
      <c r="R1288" s="89" t="s">
        <v>276</v>
      </c>
      <c r="T1288">
        <v>5.9</v>
      </c>
      <c r="U1288" s="76">
        <v>0.2</v>
      </c>
      <c r="V1288">
        <v>10.5</v>
      </c>
      <c r="W1288" s="90">
        <v>0.1</v>
      </c>
      <c r="AG1288" s="91">
        <v>0</v>
      </c>
      <c r="AK1288" s="71">
        <v>0.15</v>
      </c>
      <c r="AL1288" s="88">
        <v>3.3794970039933502E-2</v>
      </c>
      <c r="AM1288" s="89">
        <f t="shared" si="20"/>
        <v>0.22529980026622334</v>
      </c>
    </row>
    <row r="1289" spans="1:39" x14ac:dyDescent="0.25">
      <c r="A1289" t="s">
        <v>44</v>
      </c>
      <c r="B1289" t="s">
        <v>52</v>
      </c>
      <c r="C1289" s="121" t="s">
        <v>174</v>
      </c>
      <c r="D1289" t="s">
        <v>191</v>
      </c>
      <c r="E1289" t="s">
        <v>59</v>
      </c>
      <c r="F1289">
        <v>1</v>
      </c>
      <c r="G1289">
        <v>16</v>
      </c>
      <c r="H1289" s="86">
        <v>45968.1614803009</v>
      </c>
      <c r="I1289" s="86">
        <v>45968.267008136601</v>
      </c>
      <c r="J1289" s="87">
        <v>2.5326680555555598</v>
      </c>
      <c r="K1289" s="69" t="s">
        <v>274</v>
      </c>
      <c r="P1289" s="71" t="s">
        <v>275</v>
      </c>
      <c r="Q1289" s="88">
        <v>4.2937425223358401E-3</v>
      </c>
      <c r="R1289" s="89" t="s">
        <v>276</v>
      </c>
      <c r="T1289">
        <v>4</v>
      </c>
      <c r="U1289" s="76">
        <v>0.2</v>
      </c>
      <c r="V1289">
        <v>10.199999999999999</v>
      </c>
      <c r="W1289" s="90">
        <v>0.1</v>
      </c>
      <c r="AG1289" s="91">
        <v>0</v>
      </c>
      <c r="AK1289" s="71">
        <v>0.15</v>
      </c>
      <c r="AL1289" s="88">
        <v>3.3794970039933502E-2</v>
      </c>
      <c r="AM1289" s="89">
        <f t="shared" si="20"/>
        <v>0.22529980026622334</v>
      </c>
    </row>
    <row r="1290" spans="1:39" x14ac:dyDescent="0.25">
      <c r="A1290" t="s">
        <v>44</v>
      </c>
      <c r="B1290" t="s">
        <v>52</v>
      </c>
      <c r="C1290" s="121" t="s">
        <v>174</v>
      </c>
      <c r="D1290" t="s">
        <v>191</v>
      </c>
      <c r="E1290" t="s">
        <v>59</v>
      </c>
      <c r="F1290">
        <v>1</v>
      </c>
      <c r="G1290">
        <v>17</v>
      </c>
      <c r="H1290" s="86">
        <v>45968.267008136601</v>
      </c>
      <c r="I1290" s="86">
        <v>45968.372536967603</v>
      </c>
      <c r="J1290" s="87">
        <v>2.53269194444445</v>
      </c>
      <c r="K1290" s="69" t="s">
        <v>274</v>
      </c>
      <c r="P1290" s="71" t="s">
        <v>275</v>
      </c>
      <c r="Q1290" s="88">
        <v>5.0344889975041801E-3</v>
      </c>
      <c r="R1290" s="89" t="s">
        <v>276</v>
      </c>
      <c r="T1290">
        <v>5.7</v>
      </c>
      <c r="U1290" s="76">
        <v>0.2</v>
      </c>
      <c r="V1290">
        <v>10</v>
      </c>
      <c r="W1290" s="90">
        <v>0.1</v>
      </c>
      <c r="AG1290" s="91">
        <v>0</v>
      </c>
      <c r="AK1290" s="71">
        <v>0.15</v>
      </c>
      <c r="AL1290" s="88">
        <v>3.3794970039933502E-2</v>
      </c>
      <c r="AM1290" s="89">
        <f t="shared" si="20"/>
        <v>0.22529980026622334</v>
      </c>
    </row>
    <row r="1291" spans="1:39" x14ac:dyDescent="0.25">
      <c r="A1291" t="s">
        <v>44</v>
      </c>
      <c r="B1291" t="s">
        <v>52</v>
      </c>
      <c r="C1291" s="121" t="s">
        <v>174</v>
      </c>
      <c r="D1291" t="s">
        <v>191</v>
      </c>
      <c r="E1291" t="s">
        <v>59</v>
      </c>
      <c r="F1291">
        <v>1</v>
      </c>
      <c r="G1291">
        <v>18</v>
      </c>
      <c r="H1291" s="86">
        <v>45968.372536967603</v>
      </c>
      <c r="I1291" s="86">
        <v>45968.478062708302</v>
      </c>
      <c r="J1291" s="87">
        <v>2.5326177777777801</v>
      </c>
      <c r="K1291" s="69" t="s">
        <v>274</v>
      </c>
      <c r="P1291" s="71" t="s">
        <v>275</v>
      </c>
      <c r="Q1291" s="88">
        <v>6.9191580810409499E-3</v>
      </c>
      <c r="R1291" s="89" t="s">
        <v>276</v>
      </c>
      <c r="T1291">
        <v>7.7</v>
      </c>
      <c r="U1291" s="76">
        <v>0.2</v>
      </c>
      <c r="V1291">
        <v>9.8000000000000007</v>
      </c>
      <c r="W1291" s="90">
        <v>0.1</v>
      </c>
      <c r="AG1291" s="91">
        <v>0</v>
      </c>
      <c r="AK1291" s="71">
        <v>0.15</v>
      </c>
      <c r="AL1291" s="88">
        <v>3.3794970039933502E-2</v>
      </c>
      <c r="AM1291" s="89">
        <f t="shared" si="20"/>
        <v>0.22529980026622334</v>
      </c>
    </row>
    <row r="1292" spans="1:39" x14ac:dyDescent="0.25">
      <c r="A1292" t="s">
        <v>44</v>
      </c>
      <c r="B1292" t="s">
        <v>52</v>
      </c>
      <c r="C1292" s="121" t="s">
        <v>174</v>
      </c>
      <c r="D1292" t="s">
        <v>191</v>
      </c>
      <c r="E1292" t="s">
        <v>59</v>
      </c>
      <c r="F1292">
        <v>1</v>
      </c>
      <c r="G1292">
        <v>19</v>
      </c>
      <c r="H1292" s="86">
        <v>45968.478062708302</v>
      </c>
      <c r="I1292" s="86">
        <v>45968.5835639699</v>
      </c>
      <c r="J1292" s="87">
        <v>2.5320302777777801</v>
      </c>
      <c r="K1292" s="69" t="s">
        <v>274</v>
      </c>
      <c r="P1292" s="71" t="s">
        <v>275</v>
      </c>
      <c r="Q1292" s="88">
        <v>2.78516704272848E-2</v>
      </c>
      <c r="R1292" s="89" t="s">
        <v>276</v>
      </c>
      <c r="T1292">
        <v>8.9</v>
      </c>
      <c r="U1292" s="76">
        <v>0.2</v>
      </c>
      <c r="V1292">
        <v>9.8000000000000007</v>
      </c>
      <c r="W1292" s="90">
        <v>0.1</v>
      </c>
      <c r="AG1292" s="91">
        <v>0</v>
      </c>
      <c r="AK1292" s="71">
        <v>0.15</v>
      </c>
      <c r="AL1292" s="88">
        <v>3.3794970039933502E-2</v>
      </c>
      <c r="AM1292" s="89">
        <f t="shared" si="20"/>
        <v>0.22529980026622334</v>
      </c>
    </row>
    <row r="1293" spans="1:39" x14ac:dyDescent="0.25">
      <c r="A1293" t="s">
        <v>44</v>
      </c>
      <c r="B1293" t="s">
        <v>52</v>
      </c>
      <c r="C1293" s="121" t="s">
        <v>174</v>
      </c>
      <c r="D1293" t="s">
        <v>191</v>
      </c>
      <c r="E1293" t="s">
        <v>59</v>
      </c>
      <c r="F1293">
        <v>1</v>
      </c>
      <c r="G1293">
        <v>20</v>
      </c>
      <c r="H1293" s="86">
        <v>45968.5835639699</v>
      </c>
      <c r="I1293" s="86">
        <v>45968.689059131997</v>
      </c>
      <c r="J1293" s="87">
        <v>2.5318838888888902</v>
      </c>
      <c r="K1293" s="69" t="s">
        <v>274</v>
      </c>
      <c r="P1293" s="71" t="s">
        <v>275</v>
      </c>
      <c r="Q1293" s="88">
        <v>2.55542621916196E-2</v>
      </c>
      <c r="R1293" s="89" t="s">
        <v>276</v>
      </c>
      <c r="T1293">
        <v>8.6999999999999993</v>
      </c>
      <c r="U1293" s="76">
        <v>0.2</v>
      </c>
      <c r="V1293">
        <v>10</v>
      </c>
      <c r="W1293" s="90">
        <v>0.1</v>
      </c>
      <c r="AG1293" s="91">
        <v>0</v>
      </c>
      <c r="AK1293" s="71">
        <v>0.15</v>
      </c>
      <c r="AL1293" s="88">
        <v>3.3794970039933502E-2</v>
      </c>
      <c r="AM1293" s="89">
        <f t="shared" si="20"/>
        <v>0.22529980026622334</v>
      </c>
    </row>
    <row r="1294" spans="1:39" x14ac:dyDescent="0.25">
      <c r="A1294" t="s">
        <v>44</v>
      </c>
      <c r="B1294" t="s">
        <v>52</v>
      </c>
      <c r="C1294" s="121" t="s">
        <v>174</v>
      </c>
      <c r="D1294" t="s">
        <v>191</v>
      </c>
      <c r="E1294" t="s">
        <v>59</v>
      </c>
      <c r="F1294">
        <v>1</v>
      </c>
      <c r="G1294">
        <v>21</v>
      </c>
      <c r="H1294" s="86">
        <v>45968.689059131997</v>
      </c>
      <c r="I1294" s="86">
        <v>45968.794561620402</v>
      </c>
      <c r="J1294" s="87">
        <v>2.5320597222222201</v>
      </c>
      <c r="K1294" s="69" t="s">
        <v>274</v>
      </c>
      <c r="P1294" s="71" t="s">
        <v>275</v>
      </c>
      <c r="Q1294" s="88">
        <v>1.6893604467910901E-2</v>
      </c>
      <c r="R1294" s="89" t="s">
        <v>276</v>
      </c>
      <c r="T1294">
        <v>7.9</v>
      </c>
      <c r="U1294" s="76">
        <v>0.2</v>
      </c>
      <c r="V1294">
        <v>10.199999999999999</v>
      </c>
      <c r="W1294" s="90">
        <v>0.1</v>
      </c>
      <c r="AG1294" s="91">
        <v>0</v>
      </c>
      <c r="AK1294" s="71">
        <v>0.15</v>
      </c>
      <c r="AL1294" s="88">
        <v>3.3794970039933502E-2</v>
      </c>
      <c r="AM1294" s="89">
        <f t="shared" si="20"/>
        <v>0.22529980026622334</v>
      </c>
    </row>
    <row r="1295" spans="1:39" x14ac:dyDescent="0.25">
      <c r="A1295" t="s">
        <v>44</v>
      </c>
      <c r="B1295" t="s">
        <v>52</v>
      </c>
      <c r="C1295" s="121" t="s">
        <v>174</v>
      </c>
      <c r="D1295" t="s">
        <v>191</v>
      </c>
      <c r="E1295" t="s">
        <v>59</v>
      </c>
      <c r="F1295">
        <v>1</v>
      </c>
      <c r="G1295">
        <v>22</v>
      </c>
      <c r="H1295" s="86">
        <v>45968.794561620402</v>
      </c>
      <c r="I1295" s="86">
        <v>45968.900062349501</v>
      </c>
      <c r="J1295" s="87">
        <v>2.5320174999999998</v>
      </c>
      <c r="K1295" s="69" t="s">
        <v>274</v>
      </c>
      <c r="P1295" s="71" t="s">
        <v>275</v>
      </c>
      <c r="Q1295" s="88">
        <v>1.2668399205835601E-2</v>
      </c>
      <c r="R1295" s="89" t="s">
        <v>276</v>
      </c>
      <c r="T1295">
        <v>7.9</v>
      </c>
      <c r="U1295" s="76">
        <v>0.2</v>
      </c>
      <c r="V1295">
        <v>10.199999999999999</v>
      </c>
      <c r="W1295" s="90">
        <v>0.1</v>
      </c>
      <c r="AG1295" s="91">
        <v>0</v>
      </c>
      <c r="AK1295" s="71">
        <v>0.15</v>
      </c>
      <c r="AL1295" s="88">
        <v>3.3794970039933502E-2</v>
      </c>
      <c r="AM1295" s="89">
        <f t="shared" si="20"/>
        <v>0.22529980026622334</v>
      </c>
    </row>
    <row r="1296" spans="1:39" x14ac:dyDescent="0.25">
      <c r="A1296" t="s">
        <v>44</v>
      </c>
      <c r="B1296" t="s">
        <v>52</v>
      </c>
      <c r="C1296" s="121" t="s">
        <v>174</v>
      </c>
      <c r="D1296" t="s">
        <v>191</v>
      </c>
      <c r="E1296" t="s">
        <v>59</v>
      </c>
      <c r="F1296">
        <v>1</v>
      </c>
      <c r="G1296">
        <v>23</v>
      </c>
      <c r="H1296" s="86">
        <v>45968.900062349501</v>
      </c>
      <c r="I1296" s="86">
        <v>45969.005567280103</v>
      </c>
      <c r="J1296" s="87">
        <v>2.5321183333333299</v>
      </c>
      <c r="K1296" s="69" t="s">
        <v>274</v>
      </c>
      <c r="P1296" s="71" t="s">
        <v>275</v>
      </c>
      <c r="Q1296" s="88">
        <v>9.4756072166776104E-3</v>
      </c>
      <c r="R1296" s="89" t="s">
        <v>276</v>
      </c>
      <c r="T1296">
        <v>7.9</v>
      </c>
      <c r="U1296" s="76">
        <v>0.2</v>
      </c>
      <c r="V1296">
        <v>10.199999999999999</v>
      </c>
      <c r="W1296" s="90">
        <v>0.1</v>
      </c>
      <c r="AG1296" s="91">
        <v>0</v>
      </c>
      <c r="AK1296" s="71">
        <v>0.15</v>
      </c>
      <c r="AL1296" s="88">
        <v>3.3794970039933502E-2</v>
      </c>
      <c r="AM1296" s="89">
        <f t="shared" si="20"/>
        <v>0.22529980026622334</v>
      </c>
    </row>
    <row r="1297" spans="1:39" x14ac:dyDescent="0.25">
      <c r="A1297" t="s">
        <v>44</v>
      </c>
      <c r="B1297" t="s">
        <v>52</v>
      </c>
      <c r="C1297" s="121" t="s">
        <v>174</v>
      </c>
      <c r="D1297" t="s">
        <v>191</v>
      </c>
      <c r="E1297" t="s">
        <v>59</v>
      </c>
      <c r="F1297">
        <v>1</v>
      </c>
      <c r="G1297">
        <v>24</v>
      </c>
      <c r="H1297" s="86">
        <v>45969.005567280103</v>
      </c>
      <c r="I1297" s="86">
        <v>45969.111069988401</v>
      </c>
      <c r="J1297" s="87">
        <v>2.5320649999999998</v>
      </c>
      <c r="K1297" s="69" t="s">
        <v>274</v>
      </c>
      <c r="P1297" s="71" t="s">
        <v>275</v>
      </c>
      <c r="Q1297" s="88">
        <v>1.10294485549591E-2</v>
      </c>
      <c r="R1297" s="89" t="s">
        <v>276</v>
      </c>
      <c r="T1297">
        <v>8.1</v>
      </c>
      <c r="U1297" s="76">
        <v>0.2</v>
      </c>
      <c r="V1297">
        <v>10.1</v>
      </c>
      <c r="W1297" s="90">
        <v>0.1</v>
      </c>
      <c r="AG1297" s="91">
        <v>0</v>
      </c>
      <c r="AK1297" s="71">
        <v>0.15</v>
      </c>
      <c r="AL1297" s="88">
        <v>3.3794970039933502E-2</v>
      </c>
      <c r="AM1297" s="89">
        <f t="shared" si="20"/>
        <v>0.22529980026622334</v>
      </c>
    </row>
    <row r="1298" spans="1:39" x14ac:dyDescent="0.25">
      <c r="A1298" t="s">
        <v>44</v>
      </c>
      <c r="B1298" t="s">
        <v>52</v>
      </c>
      <c r="C1298" s="121" t="s">
        <v>174</v>
      </c>
      <c r="D1298" t="s">
        <v>191</v>
      </c>
      <c r="E1298" t="s">
        <v>59</v>
      </c>
      <c r="F1298">
        <v>1</v>
      </c>
      <c r="G1298">
        <v>25</v>
      </c>
      <c r="H1298" s="86">
        <v>45969.111069988401</v>
      </c>
      <c r="I1298" s="86">
        <v>45969.216559062501</v>
      </c>
      <c r="J1298" s="87">
        <v>2.5317377777777801</v>
      </c>
      <c r="K1298" s="69" t="s">
        <v>274</v>
      </c>
      <c r="P1298" s="71" t="s">
        <v>275</v>
      </c>
      <c r="Q1298" s="88">
        <v>1.02167622171876E-2</v>
      </c>
      <c r="R1298" s="89" t="s">
        <v>276</v>
      </c>
      <c r="T1298">
        <v>8.1999999999999993</v>
      </c>
      <c r="U1298" s="76">
        <v>0.2</v>
      </c>
      <c r="V1298">
        <v>10.1</v>
      </c>
      <c r="W1298" s="90">
        <v>0.1</v>
      </c>
      <c r="AG1298" s="91">
        <v>0</v>
      </c>
      <c r="AK1298" s="71">
        <v>0.15</v>
      </c>
      <c r="AL1298" s="88">
        <v>3.3794970039933502E-2</v>
      </c>
      <c r="AM1298" s="89">
        <f t="shared" si="20"/>
        <v>0.22529980026622334</v>
      </c>
    </row>
    <row r="1299" spans="1:39" x14ac:dyDescent="0.25">
      <c r="A1299" t="s">
        <v>44</v>
      </c>
      <c r="B1299" t="s">
        <v>52</v>
      </c>
      <c r="C1299" s="121" t="s">
        <v>174</v>
      </c>
      <c r="D1299" t="s">
        <v>191</v>
      </c>
      <c r="E1299" t="s">
        <v>59</v>
      </c>
      <c r="F1299">
        <v>1</v>
      </c>
      <c r="G1299">
        <v>26</v>
      </c>
      <c r="H1299" s="86">
        <v>45969.216559062501</v>
      </c>
      <c r="I1299" s="86">
        <v>45969.322067638903</v>
      </c>
      <c r="J1299" s="87">
        <v>2.5322058333333302</v>
      </c>
      <c r="K1299" s="69" t="s">
        <v>274</v>
      </c>
      <c r="P1299" s="71" t="s">
        <v>275</v>
      </c>
      <c r="Q1299" s="88">
        <v>9.8466148694745202E-3</v>
      </c>
      <c r="R1299" s="89" t="s">
        <v>276</v>
      </c>
      <c r="T1299">
        <v>8.1</v>
      </c>
      <c r="U1299" s="76">
        <v>0.2</v>
      </c>
      <c r="V1299">
        <v>10.1</v>
      </c>
      <c r="W1299" s="90">
        <v>0.1</v>
      </c>
      <c r="AG1299" s="91">
        <v>0</v>
      </c>
      <c r="AK1299" s="71">
        <v>0.15</v>
      </c>
      <c r="AL1299" s="88">
        <v>3.3794970039933502E-2</v>
      </c>
      <c r="AM1299" s="89">
        <f t="shared" si="20"/>
        <v>0.22529980026622334</v>
      </c>
    </row>
    <row r="1300" spans="1:39" x14ac:dyDescent="0.25">
      <c r="A1300" t="s">
        <v>44</v>
      </c>
      <c r="B1300" t="s">
        <v>52</v>
      </c>
      <c r="C1300" s="121" t="s">
        <v>174</v>
      </c>
      <c r="D1300" t="s">
        <v>191</v>
      </c>
      <c r="E1300" t="s">
        <v>59</v>
      </c>
      <c r="F1300">
        <v>1</v>
      </c>
      <c r="G1300">
        <v>27</v>
      </c>
      <c r="H1300" s="86">
        <v>45969.322067638903</v>
      </c>
      <c r="I1300" s="86">
        <v>45969.427565590297</v>
      </c>
      <c r="J1300" s="87">
        <v>2.53195083333333</v>
      </c>
      <c r="K1300" s="69" t="s">
        <v>274</v>
      </c>
      <c r="P1300" s="71" t="s">
        <v>275</v>
      </c>
      <c r="Q1300" s="88">
        <v>9.2390405755508696E-3</v>
      </c>
      <c r="R1300" s="89" t="s">
        <v>276</v>
      </c>
      <c r="T1300">
        <v>8.1</v>
      </c>
      <c r="U1300" s="76">
        <v>0.2</v>
      </c>
      <c r="V1300">
        <v>10.1</v>
      </c>
      <c r="W1300" s="90">
        <v>0.1</v>
      </c>
      <c r="AG1300" s="91">
        <v>0</v>
      </c>
      <c r="AK1300" s="71">
        <v>0.15</v>
      </c>
      <c r="AL1300" s="88">
        <v>3.3794970039933502E-2</v>
      </c>
      <c r="AM1300" s="89">
        <f t="shared" si="20"/>
        <v>0.22529980026622334</v>
      </c>
    </row>
    <row r="1301" spans="1:39" x14ac:dyDescent="0.25">
      <c r="A1301" t="s">
        <v>44</v>
      </c>
      <c r="B1301" t="s">
        <v>52</v>
      </c>
      <c r="C1301" s="121" t="s">
        <v>174</v>
      </c>
      <c r="D1301" t="s">
        <v>191</v>
      </c>
      <c r="E1301" t="s">
        <v>59</v>
      </c>
      <c r="F1301">
        <v>1</v>
      </c>
      <c r="G1301">
        <v>28</v>
      </c>
      <c r="H1301" s="86">
        <v>45969.427565590297</v>
      </c>
      <c r="I1301" s="86">
        <v>45969.533073101898</v>
      </c>
      <c r="J1301" s="87">
        <v>2.5321802777777802</v>
      </c>
      <c r="K1301" s="69" t="s">
        <v>274</v>
      </c>
      <c r="P1301" s="71" t="s">
        <v>275</v>
      </c>
      <c r="Q1301" s="88">
        <v>1.31329260933224E-2</v>
      </c>
      <c r="R1301" s="89" t="s">
        <v>276</v>
      </c>
      <c r="T1301">
        <v>8.4</v>
      </c>
      <c r="U1301" s="76">
        <v>0.2</v>
      </c>
      <c r="V1301">
        <v>10.1</v>
      </c>
      <c r="W1301" s="90">
        <v>0.1</v>
      </c>
      <c r="AG1301" s="91">
        <v>0</v>
      </c>
      <c r="AK1301" s="71">
        <v>0.15</v>
      </c>
      <c r="AL1301" s="88">
        <v>3.3794970039933502E-2</v>
      </c>
      <c r="AM1301" s="89">
        <f t="shared" si="20"/>
        <v>0.22529980026622334</v>
      </c>
    </row>
    <row r="1302" spans="1:39" x14ac:dyDescent="0.25">
      <c r="A1302" t="s">
        <v>44</v>
      </c>
      <c r="B1302" t="s">
        <v>52</v>
      </c>
      <c r="C1302" s="121" t="s">
        <v>174</v>
      </c>
      <c r="D1302" t="s">
        <v>191</v>
      </c>
      <c r="E1302" t="s">
        <v>59</v>
      </c>
      <c r="F1302">
        <v>1</v>
      </c>
      <c r="G1302">
        <v>29</v>
      </c>
      <c r="H1302" s="86">
        <v>45969.533073101898</v>
      </c>
      <c r="I1302" s="86">
        <v>45969.638568391201</v>
      </c>
      <c r="J1302" s="87">
        <v>2.5318869444444498</v>
      </c>
      <c r="K1302" s="69" t="s">
        <v>274</v>
      </c>
      <c r="P1302" s="71" t="s">
        <v>275</v>
      </c>
      <c r="Q1302" s="88">
        <v>1.31502944872377E-2</v>
      </c>
      <c r="R1302" s="89" t="s">
        <v>276</v>
      </c>
      <c r="T1302">
        <v>8.6999999999999993</v>
      </c>
      <c r="U1302" s="76">
        <v>0.2</v>
      </c>
      <c r="V1302">
        <v>10.199999999999999</v>
      </c>
      <c r="W1302" s="90">
        <v>0.1</v>
      </c>
      <c r="AG1302" s="91">
        <v>0</v>
      </c>
      <c r="AK1302" s="71">
        <v>0.15</v>
      </c>
      <c r="AL1302" s="88">
        <v>3.3794970039933502E-2</v>
      </c>
      <c r="AM1302" s="89">
        <f t="shared" si="20"/>
        <v>0.22529980026622334</v>
      </c>
    </row>
    <row r="1303" spans="1:39" x14ac:dyDescent="0.25">
      <c r="A1303" t="s">
        <v>44</v>
      </c>
      <c r="B1303" t="s">
        <v>52</v>
      </c>
      <c r="C1303" s="121" t="s">
        <v>174</v>
      </c>
      <c r="D1303" t="s">
        <v>191</v>
      </c>
      <c r="E1303" t="s">
        <v>59</v>
      </c>
      <c r="F1303">
        <v>1</v>
      </c>
      <c r="G1303">
        <v>30</v>
      </c>
      <c r="H1303" s="86">
        <v>45969.638568391201</v>
      </c>
      <c r="I1303" s="86">
        <v>45969.744075671297</v>
      </c>
      <c r="J1303" s="87">
        <v>2.5321747222222202</v>
      </c>
      <c r="K1303" s="69" t="s">
        <v>274</v>
      </c>
      <c r="P1303" s="71" t="s">
        <v>275</v>
      </c>
      <c r="Q1303" s="88">
        <v>1.08524087671035E-2</v>
      </c>
      <c r="R1303" s="89" t="s">
        <v>276</v>
      </c>
      <c r="T1303">
        <v>8.4</v>
      </c>
      <c r="U1303" s="76">
        <v>0.2</v>
      </c>
      <c r="V1303">
        <v>10.199999999999999</v>
      </c>
      <c r="W1303" s="90">
        <v>0.1</v>
      </c>
      <c r="AG1303" s="91">
        <v>0</v>
      </c>
      <c r="AK1303" s="71">
        <v>0.15</v>
      </c>
      <c r="AL1303" s="88">
        <v>3.3794970039933502E-2</v>
      </c>
      <c r="AM1303" s="89">
        <f t="shared" si="20"/>
        <v>0.22529980026622334</v>
      </c>
    </row>
    <row r="1304" spans="1:39" x14ac:dyDescent="0.25">
      <c r="A1304" t="s">
        <v>44</v>
      </c>
      <c r="B1304" t="s">
        <v>52</v>
      </c>
      <c r="C1304" s="121" t="s">
        <v>174</v>
      </c>
      <c r="D1304" t="s">
        <v>191</v>
      </c>
      <c r="E1304" t="s">
        <v>59</v>
      </c>
      <c r="F1304">
        <v>1</v>
      </c>
      <c r="G1304">
        <v>31</v>
      </c>
      <c r="H1304" s="86">
        <v>45969.744075671297</v>
      </c>
      <c r="I1304" s="86">
        <v>45969.8495766204</v>
      </c>
      <c r="J1304" s="87">
        <v>2.53202277777778</v>
      </c>
      <c r="K1304" s="69" t="s">
        <v>274</v>
      </c>
      <c r="P1304" s="71" t="s">
        <v>275</v>
      </c>
      <c r="Q1304" s="88">
        <v>8.7752444025661694E-3</v>
      </c>
      <c r="R1304" s="89" t="s">
        <v>276</v>
      </c>
      <c r="T1304">
        <v>8</v>
      </c>
      <c r="U1304" s="76">
        <v>0.2</v>
      </c>
      <c r="V1304">
        <v>10.199999999999999</v>
      </c>
      <c r="W1304" s="90">
        <v>0.1</v>
      </c>
      <c r="AG1304" s="91">
        <v>0</v>
      </c>
      <c r="AK1304" s="71">
        <v>0.15</v>
      </c>
      <c r="AL1304" s="88">
        <v>3.3794970039933502E-2</v>
      </c>
      <c r="AM1304" s="89">
        <f t="shared" si="20"/>
        <v>0.22529980026622334</v>
      </c>
    </row>
    <row r="1305" spans="1:39" x14ac:dyDescent="0.25">
      <c r="A1305" t="s">
        <v>44</v>
      </c>
      <c r="B1305" t="s">
        <v>52</v>
      </c>
      <c r="C1305" s="121" t="s">
        <v>174</v>
      </c>
      <c r="D1305" t="s">
        <v>191</v>
      </c>
      <c r="E1305" t="s">
        <v>59</v>
      </c>
      <c r="F1305">
        <v>1</v>
      </c>
      <c r="G1305">
        <v>32</v>
      </c>
      <c r="H1305" s="86">
        <v>45969.8495766204</v>
      </c>
      <c r="I1305" s="86">
        <v>45969.955074583297</v>
      </c>
      <c r="J1305" s="87">
        <v>2.5319511111111099</v>
      </c>
      <c r="K1305" s="69" t="s">
        <v>274</v>
      </c>
      <c r="P1305" s="71" t="s">
        <v>275</v>
      </c>
      <c r="Q1305" s="88">
        <v>9.8306843634196495E-3</v>
      </c>
      <c r="R1305" s="89" t="s">
        <v>276</v>
      </c>
      <c r="T1305">
        <v>7.8</v>
      </c>
      <c r="U1305" s="76">
        <v>0.2</v>
      </c>
      <c r="V1305">
        <v>10.199999999999999</v>
      </c>
      <c r="W1305" s="90">
        <v>0.1</v>
      </c>
      <c r="AG1305" s="91">
        <v>0</v>
      </c>
      <c r="AK1305" s="71">
        <v>0.15</v>
      </c>
      <c r="AL1305" s="88">
        <v>3.3794970039933502E-2</v>
      </c>
      <c r="AM1305" s="89">
        <f t="shared" si="20"/>
        <v>0.22529980026622334</v>
      </c>
    </row>
    <row r="1306" spans="1:39" x14ac:dyDescent="0.25">
      <c r="A1306" t="s">
        <v>44</v>
      </c>
      <c r="B1306" t="s">
        <v>52</v>
      </c>
      <c r="C1306" s="121" t="s">
        <v>174</v>
      </c>
      <c r="D1306" t="s">
        <v>191</v>
      </c>
      <c r="E1306" t="s">
        <v>59</v>
      </c>
      <c r="F1306">
        <v>1</v>
      </c>
      <c r="G1306">
        <v>33</v>
      </c>
      <c r="H1306" s="86">
        <v>45969.955074583297</v>
      </c>
      <c r="I1306" s="86">
        <v>45970.060577407399</v>
      </c>
      <c r="J1306" s="87">
        <v>2.53206777777778</v>
      </c>
      <c r="K1306" s="69" t="s">
        <v>274</v>
      </c>
      <c r="P1306" s="71" t="s">
        <v>275</v>
      </c>
      <c r="Q1306" s="88">
        <v>8.3782549602542302E-3</v>
      </c>
      <c r="R1306" s="89" t="s">
        <v>276</v>
      </c>
      <c r="T1306">
        <v>7.8</v>
      </c>
      <c r="U1306" s="76">
        <v>0.2</v>
      </c>
      <c r="V1306">
        <v>10.199999999999999</v>
      </c>
      <c r="W1306" s="90">
        <v>0.1</v>
      </c>
      <c r="AG1306" s="91">
        <v>0.1</v>
      </c>
      <c r="AK1306" s="71">
        <v>0.15</v>
      </c>
      <c r="AL1306" s="88">
        <v>3.3794970039933502E-2</v>
      </c>
      <c r="AM1306" s="89">
        <f t="shared" si="20"/>
        <v>0.22529980026622334</v>
      </c>
    </row>
    <row r="1307" spans="1:39" x14ac:dyDescent="0.25">
      <c r="A1307" t="s">
        <v>44</v>
      </c>
      <c r="B1307" t="s">
        <v>52</v>
      </c>
      <c r="C1307" s="121" t="s">
        <v>174</v>
      </c>
      <c r="D1307" t="s">
        <v>191</v>
      </c>
      <c r="E1307" t="s">
        <v>59</v>
      </c>
      <c r="F1307">
        <v>1</v>
      </c>
      <c r="G1307">
        <v>34</v>
      </c>
      <c r="H1307" s="86">
        <v>45970.060577407399</v>
      </c>
      <c r="I1307" s="86">
        <v>45970.166076562498</v>
      </c>
      <c r="J1307" s="87">
        <v>2.53197972222222</v>
      </c>
      <c r="K1307" s="69" t="s">
        <v>274</v>
      </c>
      <c r="P1307" s="71" t="s">
        <v>275</v>
      </c>
      <c r="Q1307" s="88">
        <v>8.1297211428479205E-3</v>
      </c>
      <c r="R1307" s="89" t="s">
        <v>276</v>
      </c>
      <c r="T1307">
        <v>7.4</v>
      </c>
      <c r="U1307" s="76">
        <v>0.2</v>
      </c>
      <c r="V1307">
        <v>10.1</v>
      </c>
      <c r="W1307" s="90">
        <v>0.1</v>
      </c>
      <c r="AG1307" s="91">
        <v>0.1</v>
      </c>
      <c r="AK1307" s="71">
        <v>0.15</v>
      </c>
      <c r="AL1307" s="88">
        <v>3.3794970039933502E-2</v>
      </c>
      <c r="AM1307" s="89">
        <f t="shared" si="20"/>
        <v>0.22529980026622334</v>
      </c>
    </row>
    <row r="1308" spans="1:39" x14ac:dyDescent="0.25">
      <c r="A1308" t="s">
        <v>44</v>
      </c>
      <c r="B1308" t="s">
        <v>52</v>
      </c>
      <c r="C1308" s="121" t="s">
        <v>174</v>
      </c>
      <c r="D1308" t="s">
        <v>191</v>
      </c>
      <c r="E1308" t="s">
        <v>59</v>
      </c>
      <c r="F1308">
        <v>1</v>
      </c>
      <c r="G1308">
        <v>35</v>
      </c>
      <c r="H1308" s="86">
        <v>45970.166076562498</v>
      </c>
      <c r="I1308" s="86">
        <v>45970.271584502298</v>
      </c>
      <c r="J1308" s="87">
        <v>2.5321905555555602</v>
      </c>
      <c r="K1308" s="69" t="s">
        <v>274</v>
      </c>
      <c r="P1308" s="71" t="s">
        <v>275</v>
      </c>
      <c r="Q1308" s="88">
        <v>7.7195172482561799E-3</v>
      </c>
      <c r="R1308" s="89" t="s">
        <v>276</v>
      </c>
      <c r="T1308">
        <v>6.9</v>
      </c>
      <c r="U1308" s="76">
        <v>0.2</v>
      </c>
      <c r="V1308">
        <v>10.1</v>
      </c>
      <c r="W1308" s="90">
        <v>0.1</v>
      </c>
      <c r="AG1308" s="91">
        <v>0</v>
      </c>
      <c r="AK1308" s="71">
        <v>0.15</v>
      </c>
      <c r="AL1308" s="88">
        <v>3.3794970039933502E-2</v>
      </c>
      <c r="AM1308" s="89">
        <f t="shared" si="20"/>
        <v>0.22529980026622334</v>
      </c>
    </row>
    <row r="1309" spans="1:39" x14ac:dyDescent="0.25">
      <c r="A1309" t="s">
        <v>44</v>
      </c>
      <c r="B1309" t="s">
        <v>52</v>
      </c>
      <c r="C1309" s="121" t="s">
        <v>174</v>
      </c>
      <c r="D1309" t="s">
        <v>191</v>
      </c>
      <c r="E1309" t="s">
        <v>59</v>
      </c>
      <c r="F1309">
        <v>1</v>
      </c>
      <c r="G1309">
        <v>36</v>
      </c>
      <c r="H1309" s="86">
        <v>45970.271584502298</v>
      </c>
      <c r="I1309" s="86">
        <v>45970.3770726273</v>
      </c>
      <c r="J1309" s="87">
        <v>2.5317150000000002</v>
      </c>
      <c r="K1309" s="69" t="s">
        <v>274</v>
      </c>
      <c r="P1309" s="71" t="s">
        <v>275</v>
      </c>
      <c r="Q1309" s="88">
        <v>8.77387901713793E-3</v>
      </c>
      <c r="R1309" s="89" t="s">
        <v>276</v>
      </c>
      <c r="T1309">
        <v>6.8</v>
      </c>
      <c r="U1309" s="76">
        <v>0.2</v>
      </c>
      <c r="V1309">
        <v>10</v>
      </c>
      <c r="W1309" s="90">
        <v>0.1</v>
      </c>
      <c r="AG1309" s="91">
        <v>0</v>
      </c>
      <c r="AK1309" s="71">
        <v>0.15</v>
      </c>
      <c r="AL1309" s="88">
        <v>3.3794970039933502E-2</v>
      </c>
      <c r="AM1309" s="89">
        <f t="shared" si="20"/>
        <v>0.22529980026622334</v>
      </c>
    </row>
    <row r="1310" spans="1:39" x14ac:dyDescent="0.25">
      <c r="A1310" t="s">
        <v>44</v>
      </c>
      <c r="B1310" t="s">
        <v>52</v>
      </c>
      <c r="C1310" s="121" t="s">
        <v>174</v>
      </c>
      <c r="D1310" t="s">
        <v>191</v>
      </c>
      <c r="E1310" t="s">
        <v>59</v>
      </c>
      <c r="F1310">
        <v>1</v>
      </c>
      <c r="G1310">
        <v>37</v>
      </c>
      <c r="H1310" s="86">
        <v>45970.3770726273</v>
      </c>
      <c r="I1310" s="86">
        <v>45970.482578842602</v>
      </c>
      <c r="J1310" s="87">
        <v>2.5321491666666698</v>
      </c>
      <c r="K1310" s="69" t="s">
        <v>274</v>
      </c>
      <c r="P1310" s="71" t="s">
        <v>275</v>
      </c>
      <c r="Q1310" s="88">
        <v>1.00766545330597E-2</v>
      </c>
      <c r="R1310" s="89" t="s">
        <v>276</v>
      </c>
      <c r="T1310">
        <v>7</v>
      </c>
      <c r="U1310" s="76">
        <v>0.2</v>
      </c>
      <c r="V1310">
        <v>10</v>
      </c>
      <c r="W1310" s="90">
        <v>0.1</v>
      </c>
      <c r="AG1310" s="91">
        <v>0</v>
      </c>
      <c r="AK1310" s="71">
        <v>0.15</v>
      </c>
      <c r="AL1310" s="88">
        <v>3.3794970039933502E-2</v>
      </c>
      <c r="AM1310" s="89">
        <f t="shared" si="20"/>
        <v>0.22529980026622334</v>
      </c>
    </row>
    <row r="1311" spans="1:39" x14ac:dyDescent="0.25">
      <c r="A1311" t="s">
        <v>44</v>
      </c>
      <c r="B1311" t="s">
        <v>52</v>
      </c>
      <c r="C1311" s="121" t="s">
        <v>174</v>
      </c>
      <c r="D1311" t="s">
        <v>191</v>
      </c>
      <c r="E1311" t="s">
        <v>59</v>
      </c>
      <c r="F1311">
        <v>1</v>
      </c>
      <c r="G1311">
        <v>38</v>
      </c>
      <c r="H1311" s="86">
        <v>45970.482578842602</v>
      </c>
      <c r="I1311" s="86">
        <v>45970.588078588</v>
      </c>
      <c r="J1311" s="87">
        <v>2.53199388888889</v>
      </c>
      <c r="K1311" s="69" t="s">
        <v>274</v>
      </c>
      <c r="P1311" s="71" t="s">
        <v>275</v>
      </c>
      <c r="Q1311" s="88">
        <v>1.7320982154979101E-2</v>
      </c>
      <c r="R1311" s="89" t="s">
        <v>276</v>
      </c>
      <c r="T1311">
        <v>7.7</v>
      </c>
      <c r="U1311" s="76">
        <v>0.2</v>
      </c>
      <c r="V1311">
        <v>10</v>
      </c>
      <c r="W1311" s="90">
        <v>0.1</v>
      </c>
      <c r="AG1311" s="91">
        <v>0</v>
      </c>
      <c r="AK1311" s="71">
        <v>0.15</v>
      </c>
      <c r="AL1311" s="88">
        <v>3.3794970039933502E-2</v>
      </c>
      <c r="AM1311" s="89">
        <f t="shared" si="20"/>
        <v>0.22529980026622334</v>
      </c>
    </row>
    <row r="1312" spans="1:39" x14ac:dyDescent="0.25">
      <c r="A1312" t="s">
        <v>44</v>
      </c>
      <c r="B1312" t="s">
        <v>52</v>
      </c>
      <c r="C1312" s="121" t="s">
        <v>174</v>
      </c>
      <c r="D1312" t="s">
        <v>191</v>
      </c>
      <c r="E1312" t="s">
        <v>59</v>
      </c>
      <c r="F1312">
        <v>1</v>
      </c>
      <c r="G1312">
        <v>39</v>
      </c>
      <c r="H1312" s="86">
        <v>45970.588078588</v>
      </c>
      <c r="I1312" s="86">
        <v>45970.693587118098</v>
      </c>
      <c r="J1312" s="87">
        <v>2.5322047222222199</v>
      </c>
      <c r="K1312" s="69" t="s">
        <v>274</v>
      </c>
      <c r="P1312" s="71" t="s">
        <v>275</v>
      </c>
      <c r="Q1312" s="88">
        <v>1.41221498056028E-2</v>
      </c>
      <c r="R1312" s="89" t="s">
        <v>276</v>
      </c>
      <c r="T1312">
        <v>7.3</v>
      </c>
      <c r="U1312" s="76">
        <v>0.2</v>
      </c>
      <c r="V1312">
        <v>10</v>
      </c>
      <c r="W1312" s="90">
        <v>0.1</v>
      </c>
      <c r="AG1312" s="91">
        <v>0</v>
      </c>
      <c r="AK1312" s="71">
        <v>0.15</v>
      </c>
      <c r="AL1312" s="88">
        <v>3.3794970039933502E-2</v>
      </c>
      <c r="AM1312" s="89">
        <f t="shared" si="20"/>
        <v>0.22529980026622334</v>
      </c>
    </row>
    <row r="1313" spans="1:39" x14ac:dyDescent="0.25">
      <c r="A1313" t="s">
        <v>44</v>
      </c>
      <c r="B1313" t="s">
        <v>52</v>
      </c>
      <c r="C1313" s="121" t="s">
        <v>174</v>
      </c>
      <c r="D1313" t="s">
        <v>191</v>
      </c>
      <c r="E1313" t="s">
        <v>59</v>
      </c>
      <c r="F1313">
        <v>1</v>
      </c>
      <c r="G1313">
        <v>40</v>
      </c>
      <c r="H1313" s="86">
        <v>45970.693587118098</v>
      </c>
      <c r="I1313" s="86">
        <v>45970.799090208297</v>
      </c>
      <c r="J1313" s="87">
        <v>2.53207416666667</v>
      </c>
      <c r="K1313" s="69" t="s">
        <v>274</v>
      </c>
      <c r="P1313" s="71" t="s">
        <v>275</v>
      </c>
      <c r="Q1313" s="88">
        <v>7.9261739287434293E-3</v>
      </c>
      <c r="R1313" s="89" t="s">
        <v>276</v>
      </c>
      <c r="T1313">
        <v>6.7</v>
      </c>
      <c r="U1313" s="76">
        <v>0.2</v>
      </c>
      <c r="V1313">
        <v>10.1</v>
      </c>
      <c r="W1313" s="90">
        <v>0.1</v>
      </c>
      <c r="AG1313" s="91">
        <v>0</v>
      </c>
      <c r="AK1313" s="71">
        <v>0.15</v>
      </c>
      <c r="AL1313" s="88">
        <v>3.3794970039933502E-2</v>
      </c>
      <c r="AM1313" s="89">
        <f t="shared" si="20"/>
        <v>0.22529980026622334</v>
      </c>
    </row>
    <row r="1314" spans="1:39" x14ac:dyDescent="0.25">
      <c r="A1314" t="s">
        <v>44</v>
      </c>
      <c r="B1314" t="s">
        <v>52</v>
      </c>
      <c r="C1314" s="121" t="s">
        <v>174</v>
      </c>
      <c r="D1314" t="s">
        <v>191</v>
      </c>
      <c r="E1314" t="s">
        <v>59</v>
      </c>
      <c r="F1314">
        <v>1</v>
      </c>
      <c r="G1314">
        <v>41</v>
      </c>
      <c r="H1314" s="86">
        <v>45970.799090208297</v>
      </c>
      <c r="I1314" s="86">
        <v>45970.904606099502</v>
      </c>
      <c r="J1314" s="87">
        <v>2.53238138888889</v>
      </c>
      <c r="K1314" s="69" t="s">
        <v>274</v>
      </c>
      <c r="P1314" s="71" t="s">
        <v>275</v>
      </c>
      <c r="Q1314" s="88">
        <v>6.3465044077087602E-3</v>
      </c>
      <c r="R1314" s="89" t="s">
        <v>276</v>
      </c>
      <c r="T1314">
        <v>6.1</v>
      </c>
      <c r="U1314" s="76">
        <v>0.2</v>
      </c>
      <c r="V1314">
        <v>10</v>
      </c>
      <c r="W1314" s="90">
        <v>0.1</v>
      </c>
      <c r="AG1314" s="91">
        <v>0</v>
      </c>
      <c r="AK1314" s="71">
        <v>0.15</v>
      </c>
      <c r="AL1314" s="88">
        <v>3.3794970039933502E-2</v>
      </c>
      <c r="AM1314" s="89">
        <f t="shared" si="20"/>
        <v>0.22529980026622334</v>
      </c>
    </row>
    <row r="1315" spans="1:39" x14ac:dyDescent="0.25">
      <c r="A1315" t="s">
        <v>44</v>
      </c>
      <c r="B1315" t="s">
        <v>52</v>
      </c>
      <c r="C1315" s="121" t="s">
        <v>174</v>
      </c>
      <c r="D1315" t="s">
        <v>191</v>
      </c>
      <c r="E1315" t="s">
        <v>59</v>
      </c>
      <c r="F1315">
        <v>1</v>
      </c>
      <c r="G1315">
        <v>42</v>
      </c>
      <c r="H1315" s="86">
        <v>45970.904606099502</v>
      </c>
      <c r="I1315" s="86">
        <v>45971.010106713002</v>
      </c>
      <c r="J1315" s="87">
        <v>2.53201472222222</v>
      </c>
      <c r="K1315" s="69" t="s">
        <v>274</v>
      </c>
      <c r="P1315" s="71" t="s">
        <v>275</v>
      </c>
      <c r="Q1315" s="88">
        <v>6.3754728678010698E-3</v>
      </c>
      <c r="R1315" s="89" t="s">
        <v>276</v>
      </c>
      <c r="T1315">
        <v>6</v>
      </c>
      <c r="U1315" s="76">
        <v>0.2</v>
      </c>
      <c r="V1315">
        <v>9.9</v>
      </c>
      <c r="W1315" s="90">
        <v>0.1</v>
      </c>
      <c r="AG1315" s="91">
        <v>0</v>
      </c>
      <c r="AK1315" s="71">
        <v>0.15</v>
      </c>
      <c r="AL1315" s="88">
        <v>3.3794970039933502E-2</v>
      </c>
      <c r="AM1315" s="89">
        <f t="shared" si="20"/>
        <v>0.22529980026622334</v>
      </c>
    </row>
    <row r="1316" spans="1:39" x14ac:dyDescent="0.25">
      <c r="A1316" t="s">
        <v>44</v>
      </c>
      <c r="B1316" t="s">
        <v>52</v>
      </c>
      <c r="C1316" s="121" t="s">
        <v>174</v>
      </c>
      <c r="D1316" t="s">
        <v>191</v>
      </c>
      <c r="E1316" t="s">
        <v>59</v>
      </c>
      <c r="F1316">
        <v>1</v>
      </c>
      <c r="G1316">
        <v>43</v>
      </c>
      <c r="H1316" s="86">
        <v>45971.010106713002</v>
      </c>
      <c r="I1316" s="86">
        <v>45971.115603645798</v>
      </c>
      <c r="J1316" s="87">
        <v>2.5319263888888899</v>
      </c>
      <c r="K1316" s="69" t="s">
        <v>274</v>
      </c>
      <c r="P1316" s="71" t="s">
        <v>275</v>
      </c>
      <c r="Q1316" s="88">
        <v>5.9473152411873998E-3</v>
      </c>
      <c r="R1316" s="89" t="s">
        <v>276</v>
      </c>
      <c r="T1316">
        <v>5.7</v>
      </c>
      <c r="U1316" s="76">
        <v>0.2</v>
      </c>
      <c r="V1316">
        <v>9.9</v>
      </c>
      <c r="W1316" s="90">
        <v>0.1</v>
      </c>
      <c r="AG1316" s="91">
        <v>0</v>
      </c>
      <c r="AK1316" s="71">
        <v>0.15</v>
      </c>
      <c r="AL1316" s="88">
        <v>3.3794970039933502E-2</v>
      </c>
      <c r="AM1316" s="89">
        <f t="shared" si="20"/>
        <v>0.22529980026622334</v>
      </c>
    </row>
    <row r="1317" spans="1:39" x14ac:dyDescent="0.25">
      <c r="A1317" t="s">
        <v>44</v>
      </c>
      <c r="B1317" t="s">
        <v>52</v>
      </c>
      <c r="C1317" s="121" t="s">
        <v>174</v>
      </c>
      <c r="D1317" t="s">
        <v>191</v>
      </c>
      <c r="E1317" t="s">
        <v>59</v>
      </c>
      <c r="F1317">
        <v>1</v>
      </c>
      <c r="G1317">
        <v>44</v>
      </c>
      <c r="H1317" s="86">
        <v>45971.115603645798</v>
      </c>
      <c r="I1317" s="86">
        <v>45971.221092256899</v>
      </c>
      <c r="J1317" s="87">
        <v>2.5317266666666698</v>
      </c>
      <c r="K1317" s="69" t="s">
        <v>274</v>
      </c>
      <c r="P1317" s="71" t="s">
        <v>275</v>
      </c>
      <c r="Q1317" s="88">
        <v>7.9835287824955095E-3</v>
      </c>
      <c r="R1317" s="89" t="s">
        <v>276</v>
      </c>
      <c r="T1317">
        <v>6.3</v>
      </c>
      <c r="U1317" s="76">
        <v>0.2</v>
      </c>
      <c r="V1317">
        <v>9.6999999999999993</v>
      </c>
      <c r="W1317" s="90">
        <v>0.1</v>
      </c>
      <c r="AG1317" s="91">
        <v>0</v>
      </c>
      <c r="AK1317" s="71">
        <v>0.15</v>
      </c>
      <c r="AL1317" s="88">
        <v>3.3794970039933502E-2</v>
      </c>
      <c r="AM1317" s="89">
        <f t="shared" si="20"/>
        <v>0.22529980026622334</v>
      </c>
    </row>
    <row r="1318" spans="1:39" x14ac:dyDescent="0.25">
      <c r="A1318" t="s">
        <v>44</v>
      </c>
      <c r="B1318" t="s">
        <v>52</v>
      </c>
      <c r="C1318" s="121" t="s">
        <v>174</v>
      </c>
      <c r="D1318" t="s">
        <v>191</v>
      </c>
      <c r="E1318" t="s">
        <v>59</v>
      </c>
      <c r="F1318">
        <v>1</v>
      </c>
      <c r="G1318">
        <v>45</v>
      </c>
      <c r="H1318" s="86">
        <v>45971.221092256899</v>
      </c>
      <c r="I1318" s="86">
        <v>45971.326600717599</v>
      </c>
      <c r="J1318" s="87">
        <v>2.5322030555555601</v>
      </c>
      <c r="K1318" s="69" t="s">
        <v>274</v>
      </c>
      <c r="P1318" s="71" t="s">
        <v>275</v>
      </c>
      <c r="Q1318" s="88">
        <v>6.2923771704037198E-3</v>
      </c>
      <c r="R1318" s="89" t="s">
        <v>276</v>
      </c>
      <c r="T1318">
        <v>5</v>
      </c>
      <c r="U1318" s="76">
        <v>0.2</v>
      </c>
      <c r="V1318">
        <v>9.6999999999999993</v>
      </c>
      <c r="W1318" s="90">
        <v>0.1</v>
      </c>
      <c r="AG1318" s="91">
        <v>0</v>
      </c>
      <c r="AK1318" s="71">
        <v>0.15</v>
      </c>
      <c r="AL1318" s="88">
        <v>3.3794970039933502E-2</v>
      </c>
      <c r="AM1318" s="89">
        <f t="shared" si="20"/>
        <v>0.22529980026622334</v>
      </c>
    </row>
    <row r="1319" spans="1:39" x14ac:dyDescent="0.25">
      <c r="A1319" t="s">
        <v>44</v>
      </c>
      <c r="B1319" t="s">
        <v>52</v>
      </c>
      <c r="C1319" s="121" t="s">
        <v>174</v>
      </c>
      <c r="D1319" t="s">
        <v>191</v>
      </c>
      <c r="E1319" t="s">
        <v>59</v>
      </c>
      <c r="F1319">
        <v>1</v>
      </c>
      <c r="G1319">
        <v>46</v>
      </c>
      <c r="H1319" s="86">
        <v>45971.326600717599</v>
      </c>
      <c r="I1319" s="86">
        <v>45971.432109861104</v>
      </c>
      <c r="J1319" s="87">
        <v>2.5322194444444399</v>
      </c>
      <c r="K1319" s="69" t="s">
        <v>274</v>
      </c>
      <c r="P1319" s="71" t="s">
        <v>275</v>
      </c>
      <c r="Q1319" s="88">
        <v>6.6980726279175203E-3</v>
      </c>
      <c r="R1319" s="89" t="s">
        <v>276</v>
      </c>
      <c r="T1319">
        <v>5.2</v>
      </c>
      <c r="U1319" s="76">
        <v>0.2</v>
      </c>
      <c r="V1319">
        <v>9.6</v>
      </c>
      <c r="W1319" s="90">
        <v>0.1</v>
      </c>
      <c r="AG1319" s="91">
        <v>0</v>
      </c>
      <c r="AK1319" s="71">
        <v>0.15</v>
      </c>
      <c r="AL1319" s="88">
        <v>3.3794970039933502E-2</v>
      </c>
      <c r="AM1319" s="89">
        <f t="shared" si="20"/>
        <v>0.22529980026622334</v>
      </c>
    </row>
    <row r="1320" spans="1:39" x14ac:dyDescent="0.25">
      <c r="A1320" t="s">
        <v>44</v>
      </c>
      <c r="B1320" t="s">
        <v>52</v>
      </c>
      <c r="C1320" s="121" t="s">
        <v>174</v>
      </c>
      <c r="D1320" t="s">
        <v>191</v>
      </c>
      <c r="E1320" t="s">
        <v>59</v>
      </c>
      <c r="F1320">
        <v>1</v>
      </c>
      <c r="G1320">
        <v>47</v>
      </c>
      <c r="H1320" s="86">
        <v>45971.432109861104</v>
      </c>
      <c r="I1320" s="86">
        <v>45971.537608263898</v>
      </c>
      <c r="J1320" s="87">
        <v>2.5319616666666702</v>
      </c>
      <c r="K1320" s="69" t="s">
        <v>274</v>
      </c>
      <c r="P1320" s="71" t="s">
        <v>275</v>
      </c>
      <c r="Q1320" s="88">
        <v>1.2014774234951999E-2</v>
      </c>
      <c r="R1320" s="89" t="s">
        <v>276</v>
      </c>
      <c r="T1320">
        <v>7.1</v>
      </c>
      <c r="U1320" s="76">
        <v>0.2</v>
      </c>
      <c r="V1320">
        <v>9.5</v>
      </c>
      <c r="W1320" s="90">
        <v>0.1</v>
      </c>
      <c r="AG1320" s="91">
        <v>0</v>
      </c>
      <c r="AK1320" s="71">
        <v>0.15</v>
      </c>
      <c r="AL1320" s="88">
        <v>3.3794970039933502E-2</v>
      </c>
      <c r="AM1320" s="89">
        <f t="shared" si="20"/>
        <v>0.22529980026622334</v>
      </c>
    </row>
    <row r="1321" spans="1:39" x14ac:dyDescent="0.25">
      <c r="A1321" t="s">
        <v>44</v>
      </c>
      <c r="B1321" t="s">
        <v>52</v>
      </c>
      <c r="C1321" s="121" t="s">
        <v>174</v>
      </c>
      <c r="D1321" t="s">
        <v>191</v>
      </c>
      <c r="E1321" t="s">
        <v>59</v>
      </c>
      <c r="F1321">
        <v>1</v>
      </c>
      <c r="G1321">
        <v>48</v>
      </c>
      <c r="H1321" s="86">
        <v>45971.537608263898</v>
      </c>
      <c r="I1321" s="86">
        <v>45971.643111643498</v>
      </c>
      <c r="J1321" s="87">
        <v>2.5320811111111099</v>
      </c>
      <c r="K1321" s="69" t="s">
        <v>274</v>
      </c>
      <c r="P1321" s="71" t="s">
        <v>275</v>
      </c>
      <c r="Q1321" s="88">
        <v>2.65396022073465E-2</v>
      </c>
      <c r="R1321" s="89" t="s">
        <v>276</v>
      </c>
      <c r="T1321">
        <v>9.6999999999999993</v>
      </c>
      <c r="U1321" s="76">
        <v>0.2</v>
      </c>
      <c r="V1321">
        <v>9.6</v>
      </c>
      <c r="W1321" s="90">
        <v>0.1</v>
      </c>
      <c r="AG1321" s="91">
        <v>0</v>
      </c>
      <c r="AK1321" s="71">
        <v>0.15</v>
      </c>
      <c r="AL1321" s="88">
        <v>3.3794970039933502E-2</v>
      </c>
      <c r="AM1321" s="89">
        <f t="shared" si="20"/>
        <v>0.22529980026622334</v>
      </c>
    </row>
    <row r="1322" spans="1:39" x14ac:dyDescent="0.25">
      <c r="A1322" t="s">
        <v>44</v>
      </c>
      <c r="B1322" t="s">
        <v>52</v>
      </c>
      <c r="C1322" s="121" t="s">
        <v>174</v>
      </c>
      <c r="D1322" t="s">
        <v>191</v>
      </c>
      <c r="E1322" t="s">
        <v>59</v>
      </c>
      <c r="F1322">
        <v>1</v>
      </c>
      <c r="G1322">
        <v>49</v>
      </c>
      <c r="H1322" s="86">
        <v>45971.643111643498</v>
      </c>
      <c r="I1322" s="86">
        <v>45971.748629027803</v>
      </c>
      <c r="J1322" s="87">
        <v>2.5324172222222199</v>
      </c>
      <c r="K1322" s="69" t="s">
        <v>274</v>
      </c>
      <c r="P1322" s="71" t="s">
        <v>275</v>
      </c>
      <c r="Q1322" s="88">
        <v>1.4470635408710899E-2</v>
      </c>
      <c r="R1322" s="89" t="s">
        <v>276</v>
      </c>
      <c r="T1322">
        <v>8.6</v>
      </c>
      <c r="U1322" s="76">
        <v>0.2</v>
      </c>
      <c r="V1322">
        <v>9.6999999999999993</v>
      </c>
      <c r="W1322" s="90">
        <v>0.1</v>
      </c>
      <c r="AG1322" s="91">
        <v>0</v>
      </c>
      <c r="AK1322" s="71">
        <v>0.15</v>
      </c>
      <c r="AL1322" s="88">
        <v>3.3794970039933502E-2</v>
      </c>
      <c r="AM1322" s="89">
        <f t="shared" si="20"/>
        <v>0.22529980026622334</v>
      </c>
    </row>
    <row r="1323" spans="1:39" x14ac:dyDescent="0.25">
      <c r="A1323" t="s">
        <v>44</v>
      </c>
      <c r="B1323" t="s">
        <v>52</v>
      </c>
      <c r="C1323" s="121" t="s">
        <v>174</v>
      </c>
      <c r="D1323" t="s">
        <v>191</v>
      </c>
      <c r="E1323" t="s">
        <v>59</v>
      </c>
      <c r="F1323">
        <v>1</v>
      </c>
      <c r="G1323">
        <v>50</v>
      </c>
      <c r="H1323" s="86">
        <v>45971.748629027803</v>
      </c>
      <c r="I1323" s="86">
        <v>45971.854141875003</v>
      </c>
      <c r="J1323" s="87">
        <v>2.5323083333333298</v>
      </c>
      <c r="K1323" s="69" t="s">
        <v>274</v>
      </c>
      <c r="P1323" s="71" t="s">
        <v>275</v>
      </c>
      <c r="Q1323" s="88">
        <v>8.5046516718931299E-3</v>
      </c>
      <c r="R1323" s="89" t="s">
        <v>276</v>
      </c>
      <c r="T1323">
        <v>7.8</v>
      </c>
      <c r="U1323" s="76">
        <v>0.2</v>
      </c>
      <c r="V1323">
        <v>9.8000000000000007</v>
      </c>
      <c r="W1323" s="90">
        <v>0.1</v>
      </c>
      <c r="AG1323" s="91">
        <v>0</v>
      </c>
      <c r="AK1323" s="71">
        <v>0.15</v>
      </c>
      <c r="AL1323" s="88">
        <v>3.3794970039933502E-2</v>
      </c>
      <c r="AM1323" s="89">
        <f t="shared" si="20"/>
        <v>0.22529980026622334</v>
      </c>
    </row>
    <row r="1324" spans="1:39" x14ac:dyDescent="0.25">
      <c r="A1324" t="s">
        <v>44</v>
      </c>
      <c r="B1324" t="s">
        <v>52</v>
      </c>
      <c r="C1324" s="121" t="s">
        <v>174</v>
      </c>
      <c r="D1324" t="s">
        <v>191</v>
      </c>
      <c r="E1324" t="s">
        <v>59</v>
      </c>
      <c r="F1324">
        <v>1</v>
      </c>
      <c r="G1324">
        <v>51</v>
      </c>
      <c r="H1324" s="86">
        <v>45971.854141875003</v>
      </c>
      <c r="I1324" s="86">
        <v>45971.9596624884</v>
      </c>
      <c r="J1324" s="87">
        <v>2.5324947222222201</v>
      </c>
      <c r="K1324" s="69" t="s">
        <v>274</v>
      </c>
      <c r="P1324" s="71" t="s">
        <v>275</v>
      </c>
      <c r="Q1324" s="88">
        <v>9.3861931313703809E-3</v>
      </c>
      <c r="R1324" s="89" t="s">
        <v>276</v>
      </c>
      <c r="T1324">
        <v>7.8</v>
      </c>
      <c r="U1324" s="76">
        <v>0.2</v>
      </c>
      <c r="V1324">
        <v>9.8000000000000007</v>
      </c>
      <c r="W1324" s="90">
        <v>0.1</v>
      </c>
      <c r="AG1324" s="91">
        <v>0</v>
      </c>
      <c r="AK1324" s="71">
        <v>0.15</v>
      </c>
      <c r="AL1324" s="88">
        <v>3.3794970039933502E-2</v>
      </c>
      <c r="AM1324" s="89">
        <f t="shared" si="20"/>
        <v>0.22529980026622334</v>
      </c>
    </row>
    <row r="1325" spans="1:39" x14ac:dyDescent="0.25">
      <c r="A1325" t="s">
        <v>44</v>
      </c>
      <c r="B1325" t="s">
        <v>52</v>
      </c>
      <c r="C1325" s="121" t="s">
        <v>174</v>
      </c>
      <c r="D1325" t="s">
        <v>191</v>
      </c>
      <c r="E1325" t="s">
        <v>59</v>
      </c>
      <c r="F1325">
        <v>1</v>
      </c>
      <c r="G1325">
        <v>52</v>
      </c>
      <c r="H1325" s="86">
        <v>45971.9596624884</v>
      </c>
      <c r="I1325" s="86">
        <v>45972.065184687497</v>
      </c>
      <c r="J1325" s="87">
        <v>2.5325327777777802</v>
      </c>
      <c r="K1325" s="69" t="s">
        <v>274</v>
      </c>
      <c r="P1325" s="71" t="s">
        <v>275</v>
      </c>
      <c r="Q1325" s="88">
        <v>8.8687890561387206E-3</v>
      </c>
      <c r="R1325" s="89" t="s">
        <v>276</v>
      </c>
      <c r="T1325">
        <v>7.1</v>
      </c>
      <c r="U1325" s="76">
        <v>0.2</v>
      </c>
      <c r="V1325">
        <v>9.6999999999999993</v>
      </c>
      <c r="W1325" s="90">
        <v>0.1</v>
      </c>
      <c r="AG1325" s="91">
        <v>0</v>
      </c>
      <c r="AK1325" s="71">
        <v>0.15</v>
      </c>
      <c r="AL1325" s="88">
        <v>3.3794970039933502E-2</v>
      </c>
      <c r="AM1325" s="89">
        <f t="shared" si="20"/>
        <v>0.22529980026622334</v>
      </c>
    </row>
    <row r="1326" spans="1:39" x14ac:dyDescent="0.25">
      <c r="A1326" t="s">
        <v>44</v>
      </c>
      <c r="B1326" t="s">
        <v>52</v>
      </c>
      <c r="C1326" s="121" t="s">
        <v>174</v>
      </c>
      <c r="D1326" t="s">
        <v>191</v>
      </c>
      <c r="E1326" t="s">
        <v>59</v>
      </c>
      <c r="F1326">
        <v>1</v>
      </c>
      <c r="G1326">
        <v>53</v>
      </c>
      <c r="H1326" s="86">
        <v>45972.065184687497</v>
      </c>
      <c r="I1326" s="86">
        <v>45972.170718657399</v>
      </c>
      <c r="J1326" s="87">
        <v>2.5328152777777801</v>
      </c>
      <c r="K1326" s="69" t="s">
        <v>274</v>
      </c>
      <c r="P1326" s="71" t="s">
        <v>275</v>
      </c>
      <c r="Q1326" s="88">
        <v>7.4232569164227498E-3</v>
      </c>
      <c r="R1326" s="89" t="s">
        <v>276</v>
      </c>
      <c r="T1326">
        <v>6.1</v>
      </c>
      <c r="U1326" s="76">
        <v>0.2</v>
      </c>
      <c r="V1326">
        <v>9.6</v>
      </c>
      <c r="W1326" s="90">
        <v>0.1</v>
      </c>
      <c r="AG1326" s="91">
        <v>0</v>
      </c>
      <c r="AK1326" s="71">
        <v>0.15</v>
      </c>
      <c r="AL1326" s="88">
        <v>3.3794970039933502E-2</v>
      </c>
      <c r="AM1326" s="89">
        <f t="shared" si="20"/>
        <v>0.22529980026622334</v>
      </c>
    </row>
    <row r="1327" spans="1:39" x14ac:dyDescent="0.25">
      <c r="A1327" t="s">
        <v>44</v>
      </c>
      <c r="B1327" t="s">
        <v>52</v>
      </c>
      <c r="C1327" s="121" t="s">
        <v>174</v>
      </c>
      <c r="D1327" t="s">
        <v>191</v>
      </c>
      <c r="E1327" t="s">
        <v>59</v>
      </c>
      <c r="F1327">
        <v>1</v>
      </c>
      <c r="G1327">
        <v>54</v>
      </c>
      <c r="H1327" s="86">
        <v>45972.170718657399</v>
      </c>
      <c r="I1327" s="86">
        <v>45972.276239930601</v>
      </c>
      <c r="J1327" s="87">
        <v>2.53251055555556</v>
      </c>
      <c r="K1327" s="69" t="s">
        <v>274</v>
      </c>
      <c r="P1327" s="71" t="s">
        <v>275</v>
      </c>
      <c r="Q1327" s="88">
        <v>5.3034608650885497E-3</v>
      </c>
      <c r="R1327" s="89" t="s">
        <v>276</v>
      </c>
      <c r="T1327">
        <v>5.8</v>
      </c>
      <c r="U1327" s="76">
        <v>0.2</v>
      </c>
      <c r="V1327">
        <v>9.5</v>
      </c>
      <c r="W1327" s="90">
        <v>0.1</v>
      </c>
      <c r="AG1327" s="91">
        <v>0</v>
      </c>
      <c r="AK1327" s="71">
        <v>0.15</v>
      </c>
      <c r="AL1327" s="88">
        <v>3.3794970039933502E-2</v>
      </c>
      <c r="AM1327" s="89">
        <f t="shared" si="20"/>
        <v>0.22529980026622334</v>
      </c>
    </row>
    <row r="1328" spans="1:39" x14ac:dyDescent="0.25">
      <c r="A1328" t="s">
        <v>44</v>
      </c>
      <c r="B1328" t="s">
        <v>52</v>
      </c>
      <c r="C1328" s="121" t="s">
        <v>174</v>
      </c>
      <c r="D1328" t="s">
        <v>191</v>
      </c>
      <c r="E1328" t="s">
        <v>59</v>
      </c>
      <c r="F1328">
        <v>1</v>
      </c>
      <c r="G1328">
        <v>55</v>
      </c>
      <c r="H1328" s="86">
        <v>45972.276239930601</v>
      </c>
      <c r="I1328" s="86">
        <v>45972.381768622698</v>
      </c>
      <c r="J1328" s="87">
        <v>2.53268861111111</v>
      </c>
      <c r="K1328" s="69" t="s">
        <v>274</v>
      </c>
      <c r="P1328" s="71" t="s">
        <v>275</v>
      </c>
      <c r="Q1328" s="88">
        <v>9.05976246240911E-3</v>
      </c>
      <c r="R1328" s="89" t="s">
        <v>276</v>
      </c>
      <c r="T1328">
        <v>6.9</v>
      </c>
      <c r="U1328" s="76">
        <v>0.2</v>
      </c>
      <c r="V1328">
        <v>9.3000000000000007</v>
      </c>
      <c r="W1328" s="90">
        <v>0.1</v>
      </c>
      <c r="AG1328" s="91">
        <v>0</v>
      </c>
      <c r="AK1328" s="71">
        <v>0.15</v>
      </c>
      <c r="AL1328" s="88">
        <v>3.3794970039933502E-2</v>
      </c>
      <c r="AM1328" s="89">
        <f t="shared" si="20"/>
        <v>0.22529980026622334</v>
      </c>
    </row>
    <row r="1329" spans="1:39" x14ac:dyDescent="0.25">
      <c r="A1329" t="s">
        <v>44</v>
      </c>
      <c r="B1329" t="s">
        <v>52</v>
      </c>
      <c r="C1329" s="121" t="s">
        <v>174</v>
      </c>
      <c r="D1329" t="s">
        <v>191</v>
      </c>
      <c r="E1329" t="s">
        <v>59</v>
      </c>
      <c r="F1329">
        <v>1</v>
      </c>
      <c r="G1329">
        <v>56</v>
      </c>
      <c r="H1329" s="86">
        <v>45972.381768622698</v>
      </c>
      <c r="I1329" s="86">
        <v>45972.487288275501</v>
      </c>
      <c r="J1329" s="87">
        <v>2.53247166666667</v>
      </c>
      <c r="K1329" s="69" t="s">
        <v>274</v>
      </c>
      <c r="P1329" s="71" t="s">
        <v>275</v>
      </c>
      <c r="Q1329" s="88">
        <v>1.1163561845012999E-2</v>
      </c>
      <c r="R1329" s="89" t="s">
        <v>276</v>
      </c>
      <c r="T1329">
        <v>7.5</v>
      </c>
      <c r="U1329" s="76">
        <v>0.2</v>
      </c>
      <c r="V1329">
        <v>9.3000000000000007</v>
      </c>
      <c r="W1329" s="90">
        <v>0.1</v>
      </c>
      <c r="AG1329" s="91">
        <v>0</v>
      </c>
      <c r="AK1329" s="71">
        <v>0.15</v>
      </c>
      <c r="AL1329" s="88">
        <v>3.3794970039933502E-2</v>
      </c>
      <c r="AM1329" s="89">
        <f t="shared" si="20"/>
        <v>0.22529980026622334</v>
      </c>
    </row>
    <row r="1330" spans="1:39" x14ac:dyDescent="0.25">
      <c r="A1330" t="s">
        <v>44</v>
      </c>
      <c r="B1330" t="s">
        <v>52</v>
      </c>
      <c r="C1330" s="121" t="s">
        <v>174</v>
      </c>
      <c r="D1330" t="s">
        <v>191</v>
      </c>
      <c r="E1330" t="s">
        <v>59</v>
      </c>
      <c r="F1330">
        <v>1</v>
      </c>
      <c r="G1330">
        <v>57</v>
      </c>
      <c r="H1330" s="86">
        <v>45972.487288275501</v>
      </c>
      <c r="I1330" s="86">
        <v>45972.592819305602</v>
      </c>
      <c r="J1330" s="87">
        <v>2.5327447222222199</v>
      </c>
      <c r="K1330" s="69" t="s">
        <v>274</v>
      </c>
      <c r="P1330" s="71" t="s">
        <v>275</v>
      </c>
      <c r="Q1330" s="88">
        <v>1.10692701829343E-2</v>
      </c>
      <c r="R1330" s="89" t="s">
        <v>276</v>
      </c>
      <c r="T1330">
        <v>8.5</v>
      </c>
      <c r="U1330" s="76">
        <v>0.2</v>
      </c>
      <c r="V1330">
        <v>9.3000000000000007</v>
      </c>
      <c r="W1330" s="90">
        <v>0.1</v>
      </c>
      <c r="AG1330" s="91">
        <v>0</v>
      </c>
      <c r="AK1330" s="71">
        <v>0.15</v>
      </c>
      <c r="AL1330" s="88">
        <v>3.3794970039933502E-2</v>
      </c>
      <c r="AM1330" s="89">
        <f t="shared" si="20"/>
        <v>0.22529980026622334</v>
      </c>
    </row>
    <row r="1331" spans="1:39" x14ac:dyDescent="0.25">
      <c r="A1331" t="s">
        <v>44</v>
      </c>
      <c r="B1331" t="s">
        <v>52</v>
      </c>
      <c r="C1331" s="121" t="s">
        <v>174</v>
      </c>
      <c r="D1331" t="s">
        <v>191</v>
      </c>
      <c r="E1331" t="s">
        <v>59</v>
      </c>
      <c r="F1331">
        <v>1</v>
      </c>
      <c r="G1331">
        <v>58</v>
      </c>
      <c r="H1331" s="86">
        <v>45972.592819305602</v>
      </c>
      <c r="I1331" s="86">
        <v>45972.8038653935</v>
      </c>
      <c r="J1331" s="87">
        <v>5.0651061111111098</v>
      </c>
      <c r="K1331" s="69" t="s">
        <v>274</v>
      </c>
      <c r="P1331" s="71" t="s">
        <v>275</v>
      </c>
      <c r="Q1331" s="88">
        <v>1.53432633146613E-2</v>
      </c>
      <c r="R1331" s="89" t="s">
        <v>276</v>
      </c>
      <c r="T1331">
        <v>9.1999999999999993</v>
      </c>
      <c r="U1331" s="76">
        <v>0.2</v>
      </c>
      <c r="V1331">
        <v>9.4</v>
      </c>
      <c r="W1331" s="90">
        <v>0.1</v>
      </c>
      <c r="AG1331" s="91">
        <v>0</v>
      </c>
      <c r="AK1331" s="71">
        <v>0.15</v>
      </c>
      <c r="AL1331" s="88">
        <v>3.3794970039933502E-2</v>
      </c>
      <c r="AM1331" s="89">
        <f t="shared" si="20"/>
        <v>0.22529980026622334</v>
      </c>
    </row>
    <row r="1332" spans="1:39" x14ac:dyDescent="0.25">
      <c r="A1332" t="s">
        <v>44</v>
      </c>
      <c r="B1332" t="s">
        <v>52</v>
      </c>
      <c r="C1332" s="121" t="s">
        <v>174</v>
      </c>
      <c r="D1332" t="s">
        <v>191</v>
      </c>
      <c r="E1332" t="s">
        <v>59</v>
      </c>
      <c r="F1332">
        <v>1</v>
      </c>
      <c r="G1332">
        <v>59</v>
      </c>
      <c r="H1332" s="86">
        <v>45972.8038653935</v>
      </c>
      <c r="I1332" s="86">
        <v>45972.909386608801</v>
      </c>
      <c r="J1332" s="87">
        <v>2.5325091666666699</v>
      </c>
      <c r="K1332" s="69" t="s">
        <v>274</v>
      </c>
      <c r="P1332" s="71" t="s">
        <v>275</v>
      </c>
      <c r="Q1332" s="88">
        <v>6.5163690153473303E-3</v>
      </c>
      <c r="R1332" s="89" t="s">
        <v>276</v>
      </c>
      <c r="T1332">
        <v>7</v>
      </c>
      <c r="U1332" s="76">
        <v>0.2</v>
      </c>
      <c r="V1332">
        <v>9.5</v>
      </c>
      <c r="W1332" s="90">
        <v>0.1</v>
      </c>
      <c r="AG1332" s="91">
        <v>0</v>
      </c>
      <c r="AK1332" s="71">
        <v>0.15</v>
      </c>
      <c r="AL1332" s="88">
        <v>3.3794970039933502E-2</v>
      </c>
      <c r="AM1332" s="89">
        <f t="shared" si="20"/>
        <v>0.22529980026622334</v>
      </c>
    </row>
    <row r="1333" spans="1:39" x14ac:dyDescent="0.25">
      <c r="A1333" t="s">
        <v>44</v>
      </c>
      <c r="B1333" t="s">
        <v>52</v>
      </c>
      <c r="C1333" s="121" t="s">
        <v>174</v>
      </c>
      <c r="D1333" t="s">
        <v>191</v>
      </c>
      <c r="E1333" t="s">
        <v>59</v>
      </c>
      <c r="F1333">
        <v>1</v>
      </c>
      <c r="G1333">
        <v>60</v>
      </c>
      <c r="H1333" s="86">
        <v>45972.909386608801</v>
      </c>
      <c r="I1333" s="86">
        <v>45973.014915393498</v>
      </c>
      <c r="J1333" s="87">
        <v>2.53269083333333</v>
      </c>
      <c r="K1333" s="69" t="s">
        <v>274</v>
      </c>
      <c r="P1333" s="71" t="s">
        <v>275</v>
      </c>
      <c r="Q1333" s="88">
        <v>5.4742817857144797E-3</v>
      </c>
      <c r="R1333" s="89" t="s">
        <v>276</v>
      </c>
      <c r="T1333">
        <v>7.4</v>
      </c>
      <c r="U1333" s="76">
        <v>0.2</v>
      </c>
      <c r="V1333">
        <v>9.3000000000000007</v>
      </c>
      <c r="W1333" s="90">
        <v>0.1</v>
      </c>
      <c r="AG1333" s="91">
        <v>0</v>
      </c>
      <c r="AK1333" s="71">
        <v>0.15</v>
      </c>
      <c r="AL1333" s="88">
        <v>3.3794970039933502E-2</v>
      </c>
      <c r="AM1333" s="89">
        <f t="shared" si="20"/>
        <v>0.22529980026622334</v>
      </c>
    </row>
    <row r="1334" spans="1:39" x14ac:dyDescent="0.25">
      <c r="A1334" t="s">
        <v>44</v>
      </c>
      <c r="B1334" t="s">
        <v>52</v>
      </c>
      <c r="C1334" s="121" t="s">
        <v>174</v>
      </c>
      <c r="D1334" t="s">
        <v>191</v>
      </c>
      <c r="E1334" t="s">
        <v>59</v>
      </c>
      <c r="F1334">
        <v>1</v>
      </c>
      <c r="G1334">
        <v>61</v>
      </c>
      <c r="H1334" s="86">
        <v>45973.014915393498</v>
      </c>
      <c r="I1334" s="86">
        <v>45973.120429571798</v>
      </c>
      <c r="J1334" s="87">
        <v>2.5323402777777799</v>
      </c>
      <c r="K1334" s="69" t="s">
        <v>274</v>
      </c>
      <c r="P1334" s="71" t="s">
        <v>275</v>
      </c>
      <c r="Q1334" s="88">
        <v>9.9032144628609098E-3</v>
      </c>
      <c r="R1334" s="89" t="s">
        <v>276</v>
      </c>
      <c r="T1334">
        <v>9.3000000000000007</v>
      </c>
      <c r="U1334" s="76">
        <v>0.2</v>
      </c>
      <c r="V1334">
        <v>9.3000000000000007</v>
      </c>
      <c r="W1334" s="90">
        <v>0.1</v>
      </c>
      <c r="AG1334" s="91">
        <v>0</v>
      </c>
      <c r="AK1334" s="71">
        <v>0.15</v>
      </c>
      <c r="AL1334" s="88">
        <v>3.3794970039933502E-2</v>
      </c>
      <c r="AM1334" s="89">
        <f t="shared" si="20"/>
        <v>0.22529980026622334</v>
      </c>
    </row>
    <row r="1335" spans="1:39" x14ac:dyDescent="0.25">
      <c r="A1335" t="s">
        <v>44</v>
      </c>
      <c r="B1335" t="s">
        <v>52</v>
      </c>
      <c r="C1335" s="121" t="s">
        <v>174</v>
      </c>
      <c r="D1335" t="s">
        <v>191</v>
      </c>
      <c r="E1335" t="s">
        <v>59</v>
      </c>
      <c r="F1335">
        <v>1</v>
      </c>
      <c r="G1335">
        <v>62</v>
      </c>
      <c r="H1335" s="86">
        <v>45973.120429571798</v>
      </c>
      <c r="I1335" s="86">
        <v>45973.225972986103</v>
      </c>
      <c r="J1335" s="87">
        <v>2.5330419444444399</v>
      </c>
      <c r="K1335" s="69" t="s">
        <v>274</v>
      </c>
      <c r="P1335" s="71" t="s">
        <v>275</v>
      </c>
      <c r="Q1335" s="88">
        <v>1.5056847336992399E-2</v>
      </c>
      <c r="R1335" s="89" t="s">
        <v>276</v>
      </c>
      <c r="T1335">
        <v>9.1999999999999993</v>
      </c>
      <c r="U1335" s="76">
        <v>0.2</v>
      </c>
      <c r="V1335">
        <v>9.3000000000000007</v>
      </c>
      <c r="W1335" s="90">
        <v>0.1</v>
      </c>
      <c r="AG1335" s="91">
        <v>0</v>
      </c>
      <c r="AK1335" s="71">
        <v>0.15</v>
      </c>
      <c r="AL1335" s="88">
        <v>3.3794970039933502E-2</v>
      </c>
      <c r="AM1335" s="89">
        <f t="shared" si="20"/>
        <v>0.22529980026622334</v>
      </c>
    </row>
    <row r="1336" spans="1:39" x14ac:dyDescent="0.25">
      <c r="A1336" t="s">
        <v>44</v>
      </c>
      <c r="B1336" t="s">
        <v>52</v>
      </c>
      <c r="C1336" s="121" t="s">
        <v>174</v>
      </c>
      <c r="D1336" t="s">
        <v>191</v>
      </c>
      <c r="E1336" t="s">
        <v>59</v>
      </c>
      <c r="F1336">
        <v>1</v>
      </c>
      <c r="G1336">
        <v>63</v>
      </c>
      <c r="H1336" s="86">
        <v>45973.225972986103</v>
      </c>
      <c r="I1336" s="86">
        <v>45973.331496099498</v>
      </c>
      <c r="J1336" s="87">
        <v>2.53255472222222</v>
      </c>
      <c r="K1336" s="69" t="s">
        <v>274</v>
      </c>
      <c r="P1336" s="71" t="s">
        <v>275</v>
      </c>
      <c r="Q1336" s="88">
        <v>1.4531382965458599E-2</v>
      </c>
      <c r="R1336" s="89" t="s">
        <v>276</v>
      </c>
      <c r="T1336">
        <v>9</v>
      </c>
      <c r="U1336" s="76">
        <v>0.2</v>
      </c>
      <c r="V1336">
        <v>9.4</v>
      </c>
      <c r="W1336" s="90">
        <v>0.1</v>
      </c>
      <c r="AG1336" s="91">
        <v>0</v>
      </c>
      <c r="AK1336" s="71">
        <v>0.15</v>
      </c>
      <c r="AL1336" s="88">
        <v>3.3794970039933502E-2</v>
      </c>
      <c r="AM1336" s="89">
        <f t="shared" si="20"/>
        <v>0.22529980026622334</v>
      </c>
    </row>
    <row r="1337" spans="1:39" x14ac:dyDescent="0.25">
      <c r="A1337" t="s">
        <v>44</v>
      </c>
      <c r="B1337" t="s">
        <v>52</v>
      </c>
      <c r="C1337" s="121" t="s">
        <v>174</v>
      </c>
      <c r="D1337" t="s">
        <v>208</v>
      </c>
      <c r="E1337" t="s">
        <v>61</v>
      </c>
      <c r="F1337">
        <v>1</v>
      </c>
      <c r="G1337">
        <v>1</v>
      </c>
      <c r="H1337" s="86">
        <v>45966.589706828701</v>
      </c>
      <c r="I1337" s="86">
        <v>45966.695232476901</v>
      </c>
      <c r="J1337" s="87">
        <v>2.5326155555555601</v>
      </c>
      <c r="K1337" s="69" t="s">
        <v>274</v>
      </c>
      <c r="P1337" s="71" t="s">
        <v>275</v>
      </c>
      <c r="Q1337" s="88">
        <v>2.29016072073953E-3</v>
      </c>
      <c r="R1337" s="89" t="s">
        <v>276</v>
      </c>
      <c r="T1337">
        <v>12.9</v>
      </c>
      <c r="U1337" s="76">
        <v>0.2</v>
      </c>
      <c r="V1337">
        <v>10.9</v>
      </c>
      <c r="W1337" s="90">
        <v>0.1</v>
      </c>
      <c r="AG1337" s="91">
        <v>0</v>
      </c>
      <c r="AK1337" s="71">
        <v>0.15</v>
      </c>
      <c r="AL1337" s="88">
        <v>3.4126236241343699E-2</v>
      </c>
      <c r="AM1337" s="89">
        <f t="shared" si="20"/>
        <v>0.227508241608958</v>
      </c>
    </row>
    <row r="1338" spans="1:39" x14ac:dyDescent="0.25">
      <c r="A1338" t="s">
        <v>44</v>
      </c>
      <c r="B1338" t="s">
        <v>52</v>
      </c>
      <c r="C1338" s="121" t="s">
        <v>174</v>
      </c>
      <c r="D1338" t="s">
        <v>208</v>
      </c>
      <c r="E1338" t="s">
        <v>61</v>
      </c>
      <c r="F1338">
        <v>1</v>
      </c>
      <c r="G1338">
        <v>2</v>
      </c>
      <c r="H1338" s="86">
        <v>45966.695232476901</v>
      </c>
      <c r="I1338" s="86">
        <v>45966.800755972203</v>
      </c>
      <c r="J1338" s="87">
        <v>2.5325638888888902</v>
      </c>
      <c r="K1338" s="69" t="s">
        <v>274</v>
      </c>
      <c r="P1338" s="71" t="s">
        <v>275</v>
      </c>
      <c r="Q1338" s="88">
        <v>1.93207746069642E-2</v>
      </c>
      <c r="R1338" s="89" t="s">
        <v>276</v>
      </c>
      <c r="T1338">
        <v>11.2</v>
      </c>
      <c r="U1338" s="76">
        <v>0.2</v>
      </c>
      <c r="V1338">
        <v>11.1</v>
      </c>
      <c r="W1338" s="90">
        <v>0.1</v>
      </c>
      <c r="AG1338" s="91">
        <v>0</v>
      </c>
      <c r="AK1338" s="71">
        <v>0.15</v>
      </c>
      <c r="AL1338" s="88">
        <v>3.4126236241343699E-2</v>
      </c>
      <c r="AM1338" s="89">
        <f t="shared" si="20"/>
        <v>0.227508241608958</v>
      </c>
    </row>
    <row r="1339" spans="1:39" x14ac:dyDescent="0.25">
      <c r="A1339" t="s">
        <v>44</v>
      </c>
      <c r="B1339" t="s">
        <v>52</v>
      </c>
      <c r="C1339" s="121" t="s">
        <v>174</v>
      </c>
      <c r="D1339" t="s">
        <v>208</v>
      </c>
      <c r="E1339" t="s">
        <v>61</v>
      </c>
      <c r="F1339">
        <v>1</v>
      </c>
      <c r="G1339">
        <v>3</v>
      </c>
      <c r="H1339" s="86">
        <v>45966.800755972203</v>
      </c>
      <c r="I1339" s="86">
        <v>45966.906289166698</v>
      </c>
      <c r="J1339" s="87">
        <v>2.5327966666666701</v>
      </c>
      <c r="K1339" s="69" t="s">
        <v>274</v>
      </c>
      <c r="P1339" s="71" t="s">
        <v>275</v>
      </c>
      <c r="Q1339" s="88">
        <v>2.7583566660888601E-2</v>
      </c>
      <c r="R1339" s="89" t="s">
        <v>276</v>
      </c>
      <c r="T1339">
        <v>10.5</v>
      </c>
      <c r="U1339" s="76">
        <v>0.2</v>
      </c>
      <c r="V1339">
        <v>11.1</v>
      </c>
      <c r="W1339" s="90">
        <v>0.1</v>
      </c>
      <c r="AG1339" s="91">
        <v>0</v>
      </c>
      <c r="AK1339" s="71">
        <v>0.15</v>
      </c>
      <c r="AL1339" s="88">
        <v>3.4126236241343699E-2</v>
      </c>
      <c r="AM1339" s="89">
        <f t="shared" si="20"/>
        <v>0.227508241608958</v>
      </c>
    </row>
    <row r="1340" spans="1:39" x14ac:dyDescent="0.25">
      <c r="A1340" t="s">
        <v>44</v>
      </c>
      <c r="B1340" t="s">
        <v>52</v>
      </c>
      <c r="C1340" s="121" t="s">
        <v>174</v>
      </c>
      <c r="D1340" t="s">
        <v>208</v>
      </c>
      <c r="E1340" t="s">
        <v>61</v>
      </c>
      <c r="F1340">
        <v>1</v>
      </c>
      <c r="G1340">
        <v>4</v>
      </c>
      <c r="H1340" s="86">
        <v>45966.906289166698</v>
      </c>
      <c r="I1340" s="86">
        <v>45967.011810011601</v>
      </c>
      <c r="J1340" s="87">
        <v>2.5325002777777801</v>
      </c>
      <c r="K1340" s="69" t="s">
        <v>274</v>
      </c>
      <c r="P1340" s="71" t="s">
        <v>275</v>
      </c>
      <c r="Q1340" s="88">
        <v>3.8956882989936999E-2</v>
      </c>
      <c r="R1340" s="89" t="s">
        <v>276</v>
      </c>
      <c r="T1340">
        <v>10.7</v>
      </c>
      <c r="U1340" s="76">
        <v>0.2</v>
      </c>
      <c r="V1340">
        <v>11</v>
      </c>
      <c r="W1340" s="90">
        <v>0.1</v>
      </c>
      <c r="AG1340" s="91">
        <v>0</v>
      </c>
      <c r="AK1340" s="71">
        <v>0.15</v>
      </c>
      <c r="AL1340" s="88">
        <v>3.4126236241343699E-2</v>
      </c>
      <c r="AM1340" s="89">
        <f t="shared" si="20"/>
        <v>0.227508241608958</v>
      </c>
    </row>
    <row r="1341" spans="1:39" x14ac:dyDescent="0.25">
      <c r="A1341" t="s">
        <v>44</v>
      </c>
      <c r="B1341" t="s">
        <v>52</v>
      </c>
      <c r="C1341" s="121" t="s">
        <v>174</v>
      </c>
      <c r="D1341" t="s">
        <v>208</v>
      </c>
      <c r="E1341" t="s">
        <v>61</v>
      </c>
      <c r="F1341">
        <v>1</v>
      </c>
      <c r="G1341">
        <v>5</v>
      </c>
      <c r="H1341" s="86">
        <v>45967.011810011601</v>
      </c>
      <c r="I1341" s="86">
        <v>45967.1173434722</v>
      </c>
      <c r="J1341" s="87">
        <v>2.5328030555555601</v>
      </c>
      <c r="K1341" s="69" t="s">
        <v>274</v>
      </c>
      <c r="P1341" s="71" t="s">
        <v>275</v>
      </c>
      <c r="Q1341" s="88">
        <v>3.1811968605360397E-2</v>
      </c>
      <c r="R1341" s="89" t="s">
        <v>276</v>
      </c>
      <c r="T1341">
        <v>10.6</v>
      </c>
      <c r="U1341" s="76">
        <v>0.2</v>
      </c>
      <c r="V1341">
        <v>11</v>
      </c>
      <c r="W1341" s="90">
        <v>0.1</v>
      </c>
      <c r="AG1341" s="91">
        <v>0.1</v>
      </c>
      <c r="AK1341" s="71">
        <v>0.15</v>
      </c>
      <c r="AL1341" s="88">
        <v>3.4126236241343699E-2</v>
      </c>
      <c r="AM1341" s="89">
        <f t="shared" si="20"/>
        <v>0.227508241608958</v>
      </c>
    </row>
    <row r="1342" spans="1:39" x14ac:dyDescent="0.25">
      <c r="A1342" t="s">
        <v>44</v>
      </c>
      <c r="B1342" t="s">
        <v>52</v>
      </c>
      <c r="C1342" s="121" t="s">
        <v>174</v>
      </c>
      <c r="D1342" t="s">
        <v>208</v>
      </c>
      <c r="E1342" t="s">
        <v>61</v>
      </c>
      <c r="F1342">
        <v>1</v>
      </c>
      <c r="G1342">
        <v>6</v>
      </c>
      <c r="H1342" s="86">
        <v>45967.1173434722</v>
      </c>
      <c r="I1342" s="86">
        <v>45967.222864837997</v>
      </c>
      <c r="J1342" s="87">
        <v>2.5325127777777801</v>
      </c>
      <c r="K1342" s="69" t="s">
        <v>274</v>
      </c>
      <c r="P1342" s="71" t="s">
        <v>275</v>
      </c>
      <c r="Q1342" s="88">
        <v>3.7844706971935399E-2</v>
      </c>
      <c r="R1342" s="89" t="s">
        <v>276</v>
      </c>
      <c r="T1342">
        <v>10.6</v>
      </c>
      <c r="U1342" s="76">
        <v>0.2</v>
      </c>
      <c r="V1342">
        <v>10.9</v>
      </c>
      <c r="W1342" s="90">
        <v>0.1</v>
      </c>
      <c r="AG1342" s="91">
        <v>0</v>
      </c>
      <c r="AK1342" s="71">
        <v>0.15</v>
      </c>
      <c r="AL1342" s="88">
        <v>3.4126236241343699E-2</v>
      </c>
      <c r="AM1342" s="89">
        <f t="shared" si="20"/>
        <v>0.227508241608958</v>
      </c>
    </row>
    <row r="1343" spans="1:39" x14ac:dyDescent="0.25">
      <c r="A1343" t="s">
        <v>44</v>
      </c>
      <c r="B1343" t="s">
        <v>52</v>
      </c>
      <c r="C1343" s="121" t="s">
        <v>174</v>
      </c>
      <c r="D1343" t="s">
        <v>208</v>
      </c>
      <c r="E1343" t="s">
        <v>61</v>
      </c>
      <c r="F1343">
        <v>1</v>
      </c>
      <c r="G1343">
        <v>7</v>
      </c>
      <c r="H1343" s="86">
        <v>45967.222864837997</v>
      </c>
      <c r="I1343" s="86">
        <v>45967.328388911999</v>
      </c>
      <c r="J1343" s="87">
        <v>2.5325777777777798</v>
      </c>
      <c r="K1343" s="69" t="s">
        <v>274</v>
      </c>
      <c r="P1343" s="71" t="s">
        <v>275</v>
      </c>
      <c r="Q1343" s="88">
        <v>3.4389539428452701E-2</v>
      </c>
      <c r="R1343" s="89" t="s">
        <v>276</v>
      </c>
      <c r="T1343">
        <v>10.3</v>
      </c>
      <c r="U1343" s="76">
        <v>0.2</v>
      </c>
      <c r="V1343">
        <v>10.9</v>
      </c>
      <c r="W1343" s="90">
        <v>0.1</v>
      </c>
      <c r="AG1343" s="91">
        <v>0</v>
      </c>
      <c r="AK1343" s="71">
        <v>0.15</v>
      </c>
      <c r="AL1343" s="88">
        <v>3.4126236241343699E-2</v>
      </c>
      <c r="AM1343" s="89">
        <f t="shared" si="20"/>
        <v>0.227508241608958</v>
      </c>
    </row>
    <row r="1344" spans="1:39" x14ac:dyDescent="0.25">
      <c r="A1344" t="s">
        <v>44</v>
      </c>
      <c r="B1344" t="s">
        <v>52</v>
      </c>
      <c r="C1344" s="121" t="s">
        <v>174</v>
      </c>
      <c r="D1344" t="s">
        <v>208</v>
      </c>
      <c r="E1344" t="s">
        <v>61</v>
      </c>
      <c r="F1344">
        <v>1</v>
      </c>
      <c r="G1344">
        <v>8</v>
      </c>
      <c r="H1344" s="86">
        <v>45967.328388911999</v>
      </c>
      <c r="I1344" s="86">
        <v>45967.433929201397</v>
      </c>
      <c r="J1344" s="87">
        <v>2.53296694444444</v>
      </c>
      <c r="K1344" s="69" t="s">
        <v>274</v>
      </c>
      <c r="P1344" s="71" t="s">
        <v>275</v>
      </c>
      <c r="Q1344" s="88">
        <v>3.0324375326379601E-2</v>
      </c>
      <c r="R1344" s="89" t="s">
        <v>276</v>
      </c>
      <c r="T1344">
        <v>9.9</v>
      </c>
      <c r="U1344" s="76">
        <v>0.2</v>
      </c>
      <c r="V1344">
        <v>10.9</v>
      </c>
      <c r="W1344" s="90">
        <v>0.1</v>
      </c>
      <c r="AG1344" s="91">
        <v>0</v>
      </c>
      <c r="AK1344" s="71">
        <v>0.15</v>
      </c>
      <c r="AL1344" s="88">
        <v>3.4126236241343699E-2</v>
      </c>
      <c r="AM1344" s="89">
        <f t="shared" si="20"/>
        <v>0.227508241608958</v>
      </c>
    </row>
    <row r="1345" spans="1:39" x14ac:dyDescent="0.25">
      <c r="A1345" t="s">
        <v>44</v>
      </c>
      <c r="B1345" t="s">
        <v>52</v>
      </c>
      <c r="C1345" s="121" t="s">
        <v>174</v>
      </c>
      <c r="D1345" t="s">
        <v>208</v>
      </c>
      <c r="E1345" t="s">
        <v>61</v>
      </c>
      <c r="F1345">
        <v>1</v>
      </c>
      <c r="G1345">
        <v>9</v>
      </c>
      <c r="H1345" s="86">
        <v>45967.433929201397</v>
      </c>
      <c r="I1345" s="86">
        <v>45967.539452048601</v>
      </c>
      <c r="J1345" s="87">
        <v>2.5325483333333301</v>
      </c>
      <c r="K1345" s="69" t="s">
        <v>274</v>
      </c>
      <c r="P1345" s="71" t="s">
        <v>275</v>
      </c>
      <c r="Q1345" s="88">
        <v>8.3637344036346706E-2</v>
      </c>
      <c r="R1345" s="89" t="s">
        <v>276</v>
      </c>
      <c r="T1345">
        <v>13.3</v>
      </c>
      <c r="U1345" s="76">
        <v>0.2</v>
      </c>
      <c r="V1345">
        <v>10.8</v>
      </c>
      <c r="W1345" s="90">
        <v>0.1</v>
      </c>
      <c r="AG1345" s="91">
        <v>0</v>
      </c>
      <c r="AK1345" s="71">
        <v>0.15</v>
      </c>
      <c r="AL1345" s="88">
        <v>3.4126236241343699E-2</v>
      </c>
      <c r="AM1345" s="89">
        <f t="shared" si="20"/>
        <v>0.227508241608958</v>
      </c>
    </row>
    <row r="1346" spans="1:39" x14ac:dyDescent="0.25">
      <c r="A1346" t="s">
        <v>44</v>
      </c>
      <c r="B1346" t="s">
        <v>52</v>
      </c>
      <c r="C1346" s="121" t="s">
        <v>174</v>
      </c>
      <c r="D1346" t="s">
        <v>208</v>
      </c>
      <c r="E1346" t="s">
        <v>61</v>
      </c>
      <c r="F1346">
        <v>1</v>
      </c>
      <c r="G1346">
        <v>10</v>
      </c>
      <c r="H1346" s="86">
        <v>45967.539452048601</v>
      </c>
      <c r="I1346" s="86">
        <v>45967.644969143497</v>
      </c>
      <c r="J1346" s="87">
        <v>2.5324102777777799</v>
      </c>
      <c r="K1346" s="69" t="s">
        <v>274</v>
      </c>
      <c r="P1346" s="71" t="s">
        <v>275</v>
      </c>
      <c r="Q1346" s="88">
        <v>0.10698211619535999</v>
      </c>
      <c r="R1346" s="89" t="s">
        <v>276</v>
      </c>
      <c r="T1346">
        <v>15.9</v>
      </c>
      <c r="U1346" s="76">
        <v>0.2</v>
      </c>
      <c r="V1346">
        <v>11</v>
      </c>
      <c r="W1346" s="90">
        <v>0.1</v>
      </c>
      <c r="AG1346" s="91">
        <v>0</v>
      </c>
      <c r="AK1346" s="71">
        <v>0.15</v>
      </c>
      <c r="AL1346" s="88">
        <v>3.4126236241343699E-2</v>
      </c>
      <c r="AM1346" s="89">
        <f t="shared" si="20"/>
        <v>0.227508241608958</v>
      </c>
    </row>
    <row r="1347" spans="1:39" x14ac:dyDescent="0.25">
      <c r="A1347" t="s">
        <v>44</v>
      </c>
      <c r="B1347" t="s">
        <v>52</v>
      </c>
      <c r="C1347" s="121" t="s">
        <v>174</v>
      </c>
      <c r="D1347" t="s">
        <v>208</v>
      </c>
      <c r="E1347" t="s">
        <v>61</v>
      </c>
      <c r="F1347">
        <v>1</v>
      </c>
      <c r="G1347">
        <v>11</v>
      </c>
      <c r="H1347" s="86">
        <v>45967.644969143497</v>
      </c>
      <c r="I1347" s="86">
        <v>45967.750505636599</v>
      </c>
      <c r="J1347" s="87">
        <v>2.5328758333333301</v>
      </c>
      <c r="K1347" s="69" t="s">
        <v>274</v>
      </c>
      <c r="P1347" s="71" t="s">
        <v>275</v>
      </c>
      <c r="Q1347" s="88">
        <v>5.41549981566938E-2</v>
      </c>
      <c r="R1347" s="89" t="s">
        <v>276</v>
      </c>
      <c r="T1347">
        <v>12.7</v>
      </c>
      <c r="U1347" s="76">
        <v>0.2</v>
      </c>
      <c r="V1347">
        <v>11.2</v>
      </c>
      <c r="W1347" s="90">
        <v>0.1</v>
      </c>
      <c r="AG1347" s="91">
        <v>0</v>
      </c>
      <c r="AK1347" s="71">
        <v>0.15</v>
      </c>
      <c r="AL1347" s="88">
        <v>3.4126236241343699E-2</v>
      </c>
      <c r="AM1347" s="89">
        <f t="shared" si="20"/>
        <v>0.227508241608958</v>
      </c>
    </row>
    <row r="1348" spans="1:39" x14ac:dyDescent="0.25">
      <c r="A1348" t="s">
        <v>44</v>
      </c>
      <c r="B1348" t="s">
        <v>52</v>
      </c>
      <c r="C1348" s="121" t="s">
        <v>174</v>
      </c>
      <c r="D1348" t="s">
        <v>208</v>
      </c>
      <c r="E1348" t="s">
        <v>61</v>
      </c>
      <c r="F1348">
        <v>1</v>
      </c>
      <c r="G1348">
        <v>12</v>
      </c>
      <c r="H1348" s="86">
        <v>45967.750505636599</v>
      </c>
      <c r="I1348" s="86">
        <v>45967.856011469899</v>
      </c>
      <c r="J1348" s="87">
        <v>2.5321400000000001</v>
      </c>
      <c r="K1348" s="69" t="s">
        <v>274</v>
      </c>
      <c r="P1348" s="71" t="s">
        <v>275</v>
      </c>
      <c r="Q1348" s="88">
        <v>1.8187938840491299E-2</v>
      </c>
      <c r="R1348" s="89" t="s">
        <v>276</v>
      </c>
      <c r="T1348">
        <v>7.9</v>
      </c>
      <c r="U1348" s="76">
        <v>0.2</v>
      </c>
      <c r="V1348">
        <v>11.2</v>
      </c>
      <c r="W1348" s="90">
        <v>0.1</v>
      </c>
      <c r="AG1348" s="91">
        <v>0</v>
      </c>
      <c r="AK1348" s="71">
        <v>0.15</v>
      </c>
      <c r="AL1348" s="88">
        <v>3.4126236241343699E-2</v>
      </c>
      <c r="AM1348" s="89">
        <f t="shared" si="20"/>
        <v>0.227508241608958</v>
      </c>
    </row>
    <row r="1349" spans="1:39" x14ac:dyDescent="0.25">
      <c r="A1349" t="s">
        <v>44</v>
      </c>
      <c r="B1349" t="s">
        <v>52</v>
      </c>
      <c r="C1349" s="121" t="s">
        <v>174</v>
      </c>
      <c r="D1349" t="s">
        <v>208</v>
      </c>
      <c r="E1349" t="s">
        <v>61</v>
      </c>
      <c r="F1349">
        <v>1</v>
      </c>
      <c r="G1349">
        <v>13</v>
      </c>
      <c r="H1349" s="86">
        <v>45967.856011469899</v>
      </c>
      <c r="I1349" s="86">
        <v>45967.961541782402</v>
      </c>
      <c r="J1349" s="87">
        <v>2.5327275</v>
      </c>
      <c r="K1349" s="69" t="s">
        <v>274</v>
      </c>
      <c r="P1349" s="71" t="s">
        <v>275</v>
      </c>
      <c r="Q1349" s="88">
        <v>1.37425273110191E-2</v>
      </c>
      <c r="R1349" s="89" t="s">
        <v>276</v>
      </c>
      <c r="T1349">
        <v>6.8</v>
      </c>
      <c r="U1349" s="76">
        <v>0.2</v>
      </c>
      <c r="V1349">
        <v>10.9</v>
      </c>
      <c r="W1349" s="90">
        <v>0.1</v>
      </c>
      <c r="AG1349" s="91">
        <v>0</v>
      </c>
      <c r="AK1349" s="71">
        <v>0.15</v>
      </c>
      <c r="AL1349" s="88">
        <v>3.4126236241343699E-2</v>
      </c>
      <c r="AM1349" s="89">
        <f t="shared" ref="AM1349:AM1412" si="21">AL1349/AK1349</f>
        <v>0.227508241608958</v>
      </c>
    </row>
    <row r="1350" spans="1:39" x14ac:dyDescent="0.25">
      <c r="A1350" t="s">
        <v>44</v>
      </c>
      <c r="B1350" t="s">
        <v>52</v>
      </c>
      <c r="C1350" s="121" t="s">
        <v>174</v>
      </c>
      <c r="D1350" t="s">
        <v>208</v>
      </c>
      <c r="E1350" t="s">
        <v>61</v>
      </c>
      <c r="F1350">
        <v>1</v>
      </c>
      <c r="G1350">
        <v>14</v>
      </c>
      <c r="H1350" s="86">
        <v>45967.961541782402</v>
      </c>
      <c r="I1350" s="86">
        <v>45968.067066701398</v>
      </c>
      <c r="J1350" s="87">
        <v>2.5325980555555598</v>
      </c>
      <c r="K1350" s="69" t="s">
        <v>274</v>
      </c>
      <c r="P1350" s="71" t="s">
        <v>275</v>
      </c>
      <c r="Q1350" s="88">
        <v>1.6392281155459501E-2</v>
      </c>
      <c r="R1350" s="89" t="s">
        <v>276</v>
      </c>
      <c r="T1350">
        <v>7.1</v>
      </c>
      <c r="U1350" s="76">
        <v>0.2</v>
      </c>
      <c r="V1350">
        <v>10.7</v>
      </c>
      <c r="W1350" s="90">
        <v>0.1</v>
      </c>
      <c r="AG1350" s="91">
        <v>0</v>
      </c>
      <c r="AK1350" s="71">
        <v>0.15</v>
      </c>
      <c r="AL1350" s="88">
        <v>3.4126236241343699E-2</v>
      </c>
      <c r="AM1350" s="89">
        <f t="shared" si="21"/>
        <v>0.227508241608958</v>
      </c>
    </row>
    <row r="1351" spans="1:39" x14ac:dyDescent="0.25">
      <c r="A1351" t="s">
        <v>44</v>
      </c>
      <c r="B1351" t="s">
        <v>52</v>
      </c>
      <c r="C1351" s="121" t="s">
        <v>174</v>
      </c>
      <c r="D1351" t="s">
        <v>208</v>
      </c>
      <c r="E1351" t="s">
        <v>61</v>
      </c>
      <c r="F1351">
        <v>1</v>
      </c>
      <c r="G1351">
        <v>15</v>
      </c>
      <c r="H1351" s="86">
        <v>45968.067066701398</v>
      </c>
      <c r="I1351" s="86">
        <v>45968.172587291701</v>
      </c>
      <c r="J1351" s="87">
        <v>2.53249416666667</v>
      </c>
      <c r="K1351" s="69" t="s">
        <v>274</v>
      </c>
      <c r="P1351" s="71" t="s">
        <v>275</v>
      </c>
      <c r="Q1351" s="88">
        <v>1.28330147517337E-2</v>
      </c>
      <c r="R1351" s="89" t="s">
        <v>276</v>
      </c>
      <c r="T1351">
        <v>4.8</v>
      </c>
      <c r="U1351" s="76">
        <v>0.2</v>
      </c>
      <c r="V1351">
        <v>10.5</v>
      </c>
      <c r="W1351" s="90">
        <v>0.1</v>
      </c>
      <c r="AG1351" s="91">
        <v>0</v>
      </c>
      <c r="AK1351" s="71">
        <v>0.15</v>
      </c>
      <c r="AL1351" s="88">
        <v>3.4126236241343699E-2</v>
      </c>
      <c r="AM1351" s="89">
        <f t="shared" si="21"/>
        <v>0.227508241608958</v>
      </c>
    </row>
    <row r="1352" spans="1:39" x14ac:dyDescent="0.25">
      <c r="A1352" t="s">
        <v>44</v>
      </c>
      <c r="B1352" t="s">
        <v>52</v>
      </c>
      <c r="C1352" s="121" t="s">
        <v>174</v>
      </c>
      <c r="D1352" t="s">
        <v>208</v>
      </c>
      <c r="E1352" t="s">
        <v>61</v>
      </c>
      <c r="F1352">
        <v>1</v>
      </c>
      <c r="G1352">
        <v>16</v>
      </c>
      <c r="H1352" s="86">
        <v>45968.172587291701</v>
      </c>
      <c r="I1352" s="86">
        <v>45968.278122974501</v>
      </c>
      <c r="J1352" s="87">
        <v>2.5328563888888902</v>
      </c>
      <c r="K1352" s="69" t="s">
        <v>274</v>
      </c>
      <c r="P1352" s="71" t="s">
        <v>275</v>
      </c>
      <c r="Q1352" s="88">
        <v>4.2033184690777204E-3</v>
      </c>
      <c r="R1352" s="89" t="s">
        <v>276</v>
      </c>
      <c r="T1352">
        <v>4</v>
      </c>
      <c r="U1352" s="76">
        <v>0.2</v>
      </c>
      <c r="V1352">
        <v>10.199999999999999</v>
      </c>
      <c r="W1352" s="90">
        <v>0.1</v>
      </c>
      <c r="AG1352" s="91">
        <v>0</v>
      </c>
      <c r="AK1352" s="71">
        <v>0.15</v>
      </c>
      <c r="AL1352" s="88">
        <v>3.4126236241343699E-2</v>
      </c>
      <c r="AM1352" s="89">
        <f t="shared" si="21"/>
        <v>0.227508241608958</v>
      </c>
    </row>
    <row r="1353" spans="1:39" x14ac:dyDescent="0.25">
      <c r="A1353" t="s">
        <v>44</v>
      </c>
      <c r="B1353" t="s">
        <v>52</v>
      </c>
      <c r="C1353" s="121" t="s">
        <v>174</v>
      </c>
      <c r="D1353" t="s">
        <v>208</v>
      </c>
      <c r="E1353" t="s">
        <v>61</v>
      </c>
      <c r="F1353">
        <v>1</v>
      </c>
      <c r="G1353">
        <v>17</v>
      </c>
      <c r="H1353" s="86">
        <v>45968.278122974501</v>
      </c>
      <c r="I1353" s="86">
        <v>45968.3836410648</v>
      </c>
      <c r="J1353" s="87">
        <v>2.5324341666666701</v>
      </c>
      <c r="K1353" s="69" t="s">
        <v>274</v>
      </c>
      <c r="P1353" s="71" t="s">
        <v>275</v>
      </c>
      <c r="Q1353" s="88">
        <v>6.7203676310790298E-3</v>
      </c>
      <c r="R1353" s="89" t="s">
        <v>276</v>
      </c>
      <c r="T1353">
        <v>6.3</v>
      </c>
      <c r="U1353" s="76">
        <v>0.2</v>
      </c>
      <c r="V1353">
        <v>9.9</v>
      </c>
      <c r="W1353" s="90">
        <v>0.1</v>
      </c>
      <c r="AG1353" s="91">
        <v>0</v>
      </c>
      <c r="AK1353" s="71">
        <v>0.15</v>
      </c>
      <c r="AL1353" s="88">
        <v>3.4126236241343699E-2</v>
      </c>
      <c r="AM1353" s="89">
        <f t="shared" si="21"/>
        <v>0.227508241608958</v>
      </c>
    </row>
    <row r="1354" spans="1:39" x14ac:dyDescent="0.25">
      <c r="A1354" t="s">
        <v>44</v>
      </c>
      <c r="B1354" t="s">
        <v>52</v>
      </c>
      <c r="C1354" s="121" t="s">
        <v>174</v>
      </c>
      <c r="D1354" t="s">
        <v>208</v>
      </c>
      <c r="E1354" t="s">
        <v>61</v>
      </c>
      <c r="F1354">
        <v>1</v>
      </c>
      <c r="G1354">
        <v>18</v>
      </c>
      <c r="H1354" s="86">
        <v>45968.3836410648</v>
      </c>
      <c r="I1354" s="86">
        <v>45968.489165624997</v>
      </c>
      <c r="J1354" s="87">
        <v>2.5325894444444499</v>
      </c>
      <c r="K1354" s="69" t="s">
        <v>274</v>
      </c>
      <c r="P1354" s="71" t="s">
        <v>275</v>
      </c>
      <c r="Q1354" s="88">
        <v>1.09022299103509E-2</v>
      </c>
      <c r="R1354" s="89" t="s">
        <v>276</v>
      </c>
      <c r="T1354">
        <v>7.7</v>
      </c>
      <c r="U1354" s="76">
        <v>0.2</v>
      </c>
      <c r="V1354">
        <v>9.8000000000000007</v>
      </c>
      <c r="W1354" s="90">
        <v>0.1</v>
      </c>
      <c r="AG1354" s="91">
        <v>0</v>
      </c>
      <c r="AK1354" s="71">
        <v>0.15</v>
      </c>
      <c r="AL1354" s="88">
        <v>3.4126236241343699E-2</v>
      </c>
      <c r="AM1354" s="89">
        <f t="shared" si="21"/>
        <v>0.227508241608958</v>
      </c>
    </row>
    <row r="1355" spans="1:39" x14ac:dyDescent="0.25">
      <c r="A1355" t="s">
        <v>44</v>
      </c>
      <c r="B1355" t="s">
        <v>52</v>
      </c>
      <c r="C1355" s="121" t="s">
        <v>174</v>
      </c>
      <c r="D1355" t="s">
        <v>208</v>
      </c>
      <c r="E1355" t="s">
        <v>61</v>
      </c>
      <c r="F1355">
        <v>1</v>
      </c>
      <c r="G1355">
        <v>19</v>
      </c>
      <c r="H1355" s="86">
        <v>45968.489165624997</v>
      </c>
      <c r="I1355" s="86">
        <v>45968.594671053201</v>
      </c>
      <c r="J1355" s="87">
        <v>2.5321302777777799</v>
      </c>
      <c r="K1355" s="69" t="s">
        <v>274</v>
      </c>
      <c r="P1355" s="71" t="s">
        <v>275</v>
      </c>
      <c r="Q1355" s="88">
        <v>4.3125832790150302E-2</v>
      </c>
      <c r="R1355" s="89" t="s">
        <v>276</v>
      </c>
      <c r="T1355">
        <v>9.4</v>
      </c>
      <c r="U1355" s="76">
        <v>0.2</v>
      </c>
      <c r="V1355">
        <v>9.9</v>
      </c>
      <c r="W1355" s="90">
        <v>0.1</v>
      </c>
      <c r="AG1355" s="91">
        <v>0</v>
      </c>
      <c r="AK1355" s="71">
        <v>0.15</v>
      </c>
      <c r="AL1355" s="88">
        <v>3.4126236241343699E-2</v>
      </c>
      <c r="AM1355" s="89">
        <f t="shared" si="21"/>
        <v>0.227508241608958</v>
      </c>
    </row>
    <row r="1356" spans="1:39" x14ac:dyDescent="0.25">
      <c r="A1356" t="s">
        <v>44</v>
      </c>
      <c r="B1356" t="s">
        <v>52</v>
      </c>
      <c r="C1356" s="121" t="s">
        <v>174</v>
      </c>
      <c r="D1356" t="s">
        <v>208</v>
      </c>
      <c r="E1356" t="s">
        <v>61</v>
      </c>
      <c r="F1356">
        <v>1</v>
      </c>
      <c r="G1356">
        <v>20</v>
      </c>
      <c r="H1356" s="86">
        <v>45968.594671053201</v>
      </c>
      <c r="I1356" s="86">
        <v>45968.7001740509</v>
      </c>
      <c r="J1356" s="87">
        <v>2.5320719444444499</v>
      </c>
      <c r="K1356" s="69" t="s">
        <v>274</v>
      </c>
      <c r="P1356" s="71" t="s">
        <v>275</v>
      </c>
      <c r="Q1356" s="88">
        <v>2.8721310463406601E-2</v>
      </c>
      <c r="R1356" s="89" t="s">
        <v>276</v>
      </c>
      <c r="T1356">
        <v>8.6999999999999993</v>
      </c>
      <c r="U1356" s="76">
        <v>0.2</v>
      </c>
      <c r="V1356">
        <v>10</v>
      </c>
      <c r="W1356" s="90">
        <v>0.1</v>
      </c>
      <c r="AG1356" s="91">
        <v>0</v>
      </c>
      <c r="AK1356" s="71">
        <v>0.15</v>
      </c>
      <c r="AL1356" s="88">
        <v>3.4126236241343699E-2</v>
      </c>
      <c r="AM1356" s="89">
        <f t="shared" si="21"/>
        <v>0.227508241608958</v>
      </c>
    </row>
    <row r="1357" spans="1:39" x14ac:dyDescent="0.25">
      <c r="A1357" t="s">
        <v>44</v>
      </c>
      <c r="B1357" t="s">
        <v>52</v>
      </c>
      <c r="C1357" s="121" t="s">
        <v>174</v>
      </c>
      <c r="D1357" t="s">
        <v>208</v>
      </c>
      <c r="E1357" t="s">
        <v>61</v>
      </c>
      <c r="F1357">
        <v>1</v>
      </c>
      <c r="G1357">
        <v>21</v>
      </c>
      <c r="H1357" s="86">
        <v>45968.7001740509</v>
      </c>
      <c r="I1357" s="86">
        <v>45968.805664907399</v>
      </c>
      <c r="J1357" s="87">
        <v>2.5317805555555601</v>
      </c>
      <c r="K1357" s="69" t="s">
        <v>274</v>
      </c>
      <c r="P1357" s="71" t="s">
        <v>275</v>
      </c>
      <c r="Q1357" s="88">
        <v>2.1542236979326699E-2</v>
      </c>
      <c r="R1357" s="89" t="s">
        <v>276</v>
      </c>
      <c r="T1357">
        <v>7.9</v>
      </c>
      <c r="U1357" s="76">
        <v>0.2</v>
      </c>
      <c r="V1357">
        <v>10.199999999999999</v>
      </c>
      <c r="W1357" s="90">
        <v>0.1</v>
      </c>
      <c r="AG1357" s="91">
        <v>0</v>
      </c>
      <c r="AK1357" s="71">
        <v>0.15</v>
      </c>
      <c r="AL1357" s="88">
        <v>3.4126236241343699E-2</v>
      </c>
      <c r="AM1357" s="89">
        <f t="shared" si="21"/>
        <v>0.227508241608958</v>
      </c>
    </row>
    <row r="1358" spans="1:39" x14ac:dyDescent="0.25">
      <c r="A1358" t="s">
        <v>44</v>
      </c>
      <c r="B1358" t="s">
        <v>52</v>
      </c>
      <c r="C1358" s="121" t="s">
        <v>174</v>
      </c>
      <c r="D1358" t="s">
        <v>208</v>
      </c>
      <c r="E1358" t="s">
        <v>61</v>
      </c>
      <c r="F1358">
        <v>1</v>
      </c>
      <c r="G1358">
        <v>22</v>
      </c>
      <c r="H1358" s="86">
        <v>45968.805664907399</v>
      </c>
      <c r="I1358" s="86">
        <v>45968.911172963002</v>
      </c>
      <c r="J1358" s="87">
        <v>2.5321933333333302</v>
      </c>
      <c r="K1358" s="69" t="s">
        <v>274</v>
      </c>
      <c r="P1358" s="71" t="s">
        <v>275</v>
      </c>
      <c r="Q1358" s="88">
        <v>1.4561304626000001E-2</v>
      </c>
      <c r="R1358" s="89" t="s">
        <v>276</v>
      </c>
      <c r="T1358">
        <v>7.9</v>
      </c>
      <c r="U1358" s="76">
        <v>0.2</v>
      </c>
      <c r="V1358">
        <v>10.199999999999999</v>
      </c>
      <c r="W1358" s="90">
        <v>0.1</v>
      </c>
      <c r="AG1358" s="91">
        <v>0</v>
      </c>
      <c r="AK1358" s="71">
        <v>0.15</v>
      </c>
      <c r="AL1358" s="88">
        <v>3.4126236241343699E-2</v>
      </c>
      <c r="AM1358" s="89">
        <f t="shared" si="21"/>
        <v>0.227508241608958</v>
      </c>
    </row>
    <row r="1359" spans="1:39" x14ac:dyDescent="0.25">
      <c r="A1359" t="s">
        <v>44</v>
      </c>
      <c r="B1359" t="s">
        <v>52</v>
      </c>
      <c r="C1359" s="121" t="s">
        <v>174</v>
      </c>
      <c r="D1359" t="s">
        <v>208</v>
      </c>
      <c r="E1359" t="s">
        <v>61</v>
      </c>
      <c r="F1359">
        <v>1</v>
      </c>
      <c r="G1359">
        <v>23</v>
      </c>
      <c r="H1359" s="86">
        <v>45968.911172963002</v>
      </c>
      <c r="I1359" s="86">
        <v>45969.016664907402</v>
      </c>
      <c r="J1359" s="87">
        <v>2.5318066666666699</v>
      </c>
      <c r="K1359" s="69" t="s">
        <v>274</v>
      </c>
      <c r="P1359" s="71" t="s">
        <v>275</v>
      </c>
      <c r="Q1359" s="88">
        <v>1.20632085906511E-2</v>
      </c>
      <c r="R1359" s="89" t="s">
        <v>276</v>
      </c>
      <c r="T1359">
        <v>7.9</v>
      </c>
      <c r="U1359" s="76">
        <v>0.2</v>
      </c>
      <c r="V1359">
        <v>10.199999999999999</v>
      </c>
      <c r="W1359" s="90">
        <v>0.1</v>
      </c>
      <c r="AG1359" s="91">
        <v>0</v>
      </c>
      <c r="AK1359" s="71">
        <v>0.15</v>
      </c>
      <c r="AL1359" s="88">
        <v>3.4126236241343699E-2</v>
      </c>
      <c r="AM1359" s="89">
        <f t="shared" si="21"/>
        <v>0.227508241608958</v>
      </c>
    </row>
    <row r="1360" spans="1:39" x14ac:dyDescent="0.25">
      <c r="A1360" t="s">
        <v>44</v>
      </c>
      <c r="B1360" t="s">
        <v>52</v>
      </c>
      <c r="C1360" s="121" t="s">
        <v>174</v>
      </c>
      <c r="D1360" t="s">
        <v>208</v>
      </c>
      <c r="E1360" t="s">
        <v>61</v>
      </c>
      <c r="F1360">
        <v>1</v>
      </c>
      <c r="G1360">
        <v>24</v>
      </c>
      <c r="H1360" s="86">
        <v>45969.016664907402</v>
      </c>
      <c r="I1360" s="86">
        <v>45969.122173113399</v>
      </c>
      <c r="J1360" s="87">
        <v>2.5321969444444399</v>
      </c>
      <c r="K1360" s="69" t="s">
        <v>274</v>
      </c>
      <c r="P1360" s="71" t="s">
        <v>275</v>
      </c>
      <c r="Q1360" s="88">
        <v>1.45702209062962E-2</v>
      </c>
      <c r="R1360" s="89" t="s">
        <v>276</v>
      </c>
      <c r="T1360">
        <v>8.1</v>
      </c>
      <c r="U1360" s="76">
        <v>0.2</v>
      </c>
      <c r="V1360">
        <v>10.1</v>
      </c>
      <c r="W1360" s="90">
        <v>0.1</v>
      </c>
      <c r="AG1360" s="91">
        <v>0</v>
      </c>
      <c r="AK1360" s="71">
        <v>0.15</v>
      </c>
      <c r="AL1360" s="88">
        <v>3.4126236241343699E-2</v>
      </c>
      <c r="AM1360" s="89">
        <f t="shared" si="21"/>
        <v>0.227508241608958</v>
      </c>
    </row>
    <row r="1361" spans="1:39" x14ac:dyDescent="0.25">
      <c r="A1361" t="s">
        <v>44</v>
      </c>
      <c r="B1361" t="s">
        <v>52</v>
      </c>
      <c r="C1361" s="121" t="s">
        <v>174</v>
      </c>
      <c r="D1361" t="s">
        <v>208</v>
      </c>
      <c r="E1361" t="s">
        <v>61</v>
      </c>
      <c r="F1361">
        <v>1</v>
      </c>
      <c r="G1361">
        <v>25</v>
      </c>
      <c r="H1361" s="86">
        <v>45969.122173113399</v>
      </c>
      <c r="I1361" s="86">
        <v>45969.227664120401</v>
      </c>
      <c r="J1361" s="87">
        <v>2.5317841666666698</v>
      </c>
      <c r="K1361" s="69" t="s">
        <v>274</v>
      </c>
      <c r="P1361" s="71" t="s">
        <v>275</v>
      </c>
      <c r="Q1361" s="88">
        <v>1.48073365780136E-2</v>
      </c>
      <c r="R1361" s="89" t="s">
        <v>276</v>
      </c>
      <c r="T1361">
        <v>8.1999999999999993</v>
      </c>
      <c r="U1361" s="76">
        <v>0.2</v>
      </c>
      <c r="V1361">
        <v>10.1</v>
      </c>
      <c r="W1361" s="90">
        <v>0.1</v>
      </c>
      <c r="AG1361" s="91">
        <v>0</v>
      </c>
      <c r="AK1361" s="71">
        <v>0.15</v>
      </c>
      <c r="AL1361" s="88">
        <v>3.4126236241343699E-2</v>
      </c>
      <c r="AM1361" s="89">
        <f t="shared" si="21"/>
        <v>0.227508241608958</v>
      </c>
    </row>
    <row r="1362" spans="1:39" x14ac:dyDescent="0.25">
      <c r="A1362" t="s">
        <v>44</v>
      </c>
      <c r="B1362" t="s">
        <v>52</v>
      </c>
      <c r="C1362" s="121" t="s">
        <v>174</v>
      </c>
      <c r="D1362" t="s">
        <v>208</v>
      </c>
      <c r="E1362" t="s">
        <v>61</v>
      </c>
      <c r="F1362">
        <v>1</v>
      </c>
      <c r="G1362">
        <v>26</v>
      </c>
      <c r="H1362" s="86">
        <v>45969.227664120401</v>
      </c>
      <c r="I1362" s="86">
        <v>45969.333158043999</v>
      </c>
      <c r="J1362" s="87">
        <v>2.5318541666666698</v>
      </c>
      <c r="K1362" s="69" t="s">
        <v>274</v>
      </c>
      <c r="P1362" s="71" t="s">
        <v>275</v>
      </c>
      <c r="Q1362" s="88">
        <v>1.28590839752971E-2</v>
      </c>
      <c r="R1362" s="89" t="s">
        <v>276</v>
      </c>
      <c r="T1362">
        <v>8.1</v>
      </c>
      <c r="U1362" s="76">
        <v>0.2</v>
      </c>
      <c r="V1362">
        <v>10.1</v>
      </c>
      <c r="W1362" s="90">
        <v>0.1</v>
      </c>
      <c r="AG1362" s="91">
        <v>0</v>
      </c>
      <c r="AK1362" s="71">
        <v>0.15</v>
      </c>
      <c r="AL1362" s="88">
        <v>3.4126236241343699E-2</v>
      </c>
      <c r="AM1362" s="89">
        <f t="shared" si="21"/>
        <v>0.227508241608958</v>
      </c>
    </row>
    <row r="1363" spans="1:39" x14ac:dyDescent="0.25">
      <c r="A1363" t="s">
        <v>44</v>
      </c>
      <c r="B1363" t="s">
        <v>52</v>
      </c>
      <c r="C1363" s="121" t="s">
        <v>174</v>
      </c>
      <c r="D1363" t="s">
        <v>208</v>
      </c>
      <c r="E1363" t="s">
        <v>61</v>
      </c>
      <c r="F1363">
        <v>1</v>
      </c>
      <c r="G1363">
        <v>27</v>
      </c>
      <c r="H1363" s="86">
        <v>45969.333158043999</v>
      </c>
      <c r="I1363" s="86">
        <v>45969.438664097201</v>
      </c>
      <c r="J1363" s="87">
        <v>2.5321452777777802</v>
      </c>
      <c r="K1363" s="69" t="s">
        <v>274</v>
      </c>
      <c r="P1363" s="71" t="s">
        <v>275</v>
      </c>
      <c r="Q1363" s="88">
        <v>1.26107130182574E-2</v>
      </c>
      <c r="R1363" s="89" t="s">
        <v>276</v>
      </c>
      <c r="T1363">
        <v>8.1</v>
      </c>
      <c r="U1363" s="76">
        <v>0.2</v>
      </c>
      <c r="V1363">
        <v>10.1</v>
      </c>
      <c r="W1363" s="90">
        <v>0.1</v>
      </c>
      <c r="AG1363" s="91">
        <v>0</v>
      </c>
      <c r="AK1363" s="71">
        <v>0.15</v>
      </c>
      <c r="AL1363" s="88">
        <v>3.4126236241343699E-2</v>
      </c>
      <c r="AM1363" s="89">
        <f t="shared" si="21"/>
        <v>0.227508241608958</v>
      </c>
    </row>
    <row r="1364" spans="1:39" x14ac:dyDescent="0.25">
      <c r="A1364" t="s">
        <v>44</v>
      </c>
      <c r="B1364" t="s">
        <v>52</v>
      </c>
      <c r="C1364" s="121" t="s">
        <v>174</v>
      </c>
      <c r="D1364" t="s">
        <v>208</v>
      </c>
      <c r="E1364" t="s">
        <v>61</v>
      </c>
      <c r="F1364">
        <v>1</v>
      </c>
      <c r="G1364">
        <v>28</v>
      </c>
      <c r="H1364" s="86">
        <v>45969.438664097201</v>
      </c>
      <c r="I1364" s="86">
        <v>45969.544174085699</v>
      </c>
      <c r="J1364" s="87">
        <v>2.5322397222222199</v>
      </c>
      <c r="K1364" s="69" t="s">
        <v>274</v>
      </c>
      <c r="P1364" s="71" t="s">
        <v>275</v>
      </c>
      <c r="Q1364" s="88">
        <v>1.6991511386234202E-2</v>
      </c>
      <c r="R1364" s="89" t="s">
        <v>276</v>
      </c>
      <c r="T1364">
        <v>8.5</v>
      </c>
      <c r="U1364" s="76">
        <v>0.2</v>
      </c>
      <c r="V1364">
        <v>10.1</v>
      </c>
      <c r="W1364" s="90">
        <v>0.1</v>
      </c>
      <c r="AG1364" s="91">
        <v>0</v>
      </c>
      <c r="AK1364" s="71">
        <v>0.15</v>
      </c>
      <c r="AL1364" s="88">
        <v>3.4126236241343699E-2</v>
      </c>
      <c r="AM1364" s="89">
        <f t="shared" si="21"/>
        <v>0.227508241608958</v>
      </c>
    </row>
    <row r="1365" spans="1:39" x14ac:dyDescent="0.25">
      <c r="A1365" t="s">
        <v>44</v>
      </c>
      <c r="B1365" t="s">
        <v>52</v>
      </c>
      <c r="C1365" s="121" t="s">
        <v>174</v>
      </c>
      <c r="D1365" t="s">
        <v>208</v>
      </c>
      <c r="E1365" t="s">
        <v>61</v>
      </c>
      <c r="F1365">
        <v>1</v>
      </c>
      <c r="G1365">
        <v>29</v>
      </c>
      <c r="H1365" s="86">
        <v>45969.544174085699</v>
      </c>
      <c r="I1365" s="86">
        <v>45969.6496818171</v>
      </c>
      <c r="J1365" s="87">
        <v>2.5321855555555599</v>
      </c>
      <c r="K1365" s="69" t="s">
        <v>274</v>
      </c>
      <c r="P1365" s="71" t="s">
        <v>275</v>
      </c>
      <c r="Q1365" s="88">
        <v>1.65361694212274E-2</v>
      </c>
      <c r="R1365" s="89" t="s">
        <v>276</v>
      </c>
      <c r="T1365">
        <v>8.6999999999999993</v>
      </c>
      <c r="U1365" s="76">
        <v>0.2</v>
      </c>
      <c r="V1365">
        <v>10.199999999999999</v>
      </c>
      <c r="W1365" s="90">
        <v>0.1</v>
      </c>
      <c r="AG1365" s="91">
        <v>0</v>
      </c>
      <c r="AK1365" s="71">
        <v>0.15</v>
      </c>
      <c r="AL1365" s="88">
        <v>3.4126236241343699E-2</v>
      </c>
      <c r="AM1365" s="89">
        <f t="shared" si="21"/>
        <v>0.227508241608958</v>
      </c>
    </row>
    <row r="1366" spans="1:39" x14ac:dyDescent="0.25">
      <c r="A1366" t="s">
        <v>44</v>
      </c>
      <c r="B1366" t="s">
        <v>52</v>
      </c>
      <c r="C1366" s="121" t="s">
        <v>174</v>
      </c>
      <c r="D1366" t="s">
        <v>208</v>
      </c>
      <c r="E1366" t="s">
        <v>61</v>
      </c>
      <c r="F1366">
        <v>1</v>
      </c>
      <c r="G1366">
        <v>30</v>
      </c>
      <c r="H1366" s="86">
        <v>45969.6496818171</v>
      </c>
      <c r="I1366" s="86">
        <v>45969.755187696799</v>
      </c>
      <c r="J1366" s="87">
        <v>2.5321411111111098</v>
      </c>
      <c r="K1366" s="69" t="s">
        <v>274</v>
      </c>
      <c r="P1366" s="71" t="s">
        <v>275</v>
      </c>
      <c r="Q1366" s="88">
        <v>1.37560423020148E-2</v>
      </c>
      <c r="R1366" s="89" t="s">
        <v>276</v>
      </c>
      <c r="T1366">
        <v>8.1999999999999993</v>
      </c>
      <c r="U1366" s="76">
        <v>0.2</v>
      </c>
      <c r="V1366">
        <v>10.199999999999999</v>
      </c>
      <c r="W1366" s="90">
        <v>0.1</v>
      </c>
      <c r="AG1366" s="91">
        <v>0</v>
      </c>
      <c r="AK1366" s="71">
        <v>0.15</v>
      </c>
      <c r="AL1366" s="88">
        <v>3.4126236241343699E-2</v>
      </c>
      <c r="AM1366" s="89">
        <f t="shared" si="21"/>
        <v>0.227508241608958</v>
      </c>
    </row>
    <row r="1367" spans="1:39" x14ac:dyDescent="0.25">
      <c r="A1367" t="s">
        <v>44</v>
      </c>
      <c r="B1367" t="s">
        <v>52</v>
      </c>
      <c r="C1367" s="121" t="s">
        <v>174</v>
      </c>
      <c r="D1367" t="s">
        <v>208</v>
      </c>
      <c r="E1367" t="s">
        <v>61</v>
      </c>
      <c r="F1367">
        <v>1</v>
      </c>
      <c r="G1367">
        <v>31</v>
      </c>
      <c r="H1367" s="86">
        <v>45969.755187696799</v>
      </c>
      <c r="I1367" s="86">
        <v>45969.860676238401</v>
      </c>
      <c r="J1367" s="87">
        <v>2.5317249999999998</v>
      </c>
      <c r="K1367" s="69" t="s">
        <v>274</v>
      </c>
      <c r="P1367" s="71" t="s">
        <v>275</v>
      </c>
      <c r="Q1367" s="88">
        <v>1.1245464103449201E-2</v>
      </c>
      <c r="R1367" s="89" t="s">
        <v>276</v>
      </c>
      <c r="T1367">
        <v>8</v>
      </c>
      <c r="U1367" s="76">
        <v>0.2</v>
      </c>
      <c r="V1367">
        <v>10.199999999999999</v>
      </c>
      <c r="W1367" s="90">
        <v>0.1</v>
      </c>
      <c r="AG1367" s="91">
        <v>0</v>
      </c>
      <c r="AK1367" s="71">
        <v>0.15</v>
      </c>
      <c r="AL1367" s="88">
        <v>3.4126236241343699E-2</v>
      </c>
      <c r="AM1367" s="89">
        <f t="shared" si="21"/>
        <v>0.227508241608958</v>
      </c>
    </row>
    <row r="1368" spans="1:39" x14ac:dyDescent="0.25">
      <c r="A1368" t="s">
        <v>44</v>
      </c>
      <c r="B1368" t="s">
        <v>52</v>
      </c>
      <c r="C1368" s="121" t="s">
        <v>174</v>
      </c>
      <c r="D1368" t="s">
        <v>208</v>
      </c>
      <c r="E1368" t="s">
        <v>61</v>
      </c>
      <c r="F1368">
        <v>1</v>
      </c>
      <c r="G1368">
        <v>32</v>
      </c>
      <c r="H1368" s="86">
        <v>45969.860676238401</v>
      </c>
      <c r="I1368" s="86">
        <v>45970.071683680602</v>
      </c>
      <c r="J1368" s="87">
        <v>5.0641786111111102</v>
      </c>
      <c r="K1368" s="69" t="s">
        <v>274</v>
      </c>
      <c r="P1368" s="71" t="s">
        <v>275</v>
      </c>
      <c r="Q1368" s="88">
        <v>1.3573639526599599E-2</v>
      </c>
      <c r="R1368" s="89" t="s">
        <v>276</v>
      </c>
      <c r="T1368">
        <v>7.8</v>
      </c>
      <c r="U1368" s="76">
        <v>0.2</v>
      </c>
      <c r="V1368">
        <v>10.199999999999999</v>
      </c>
      <c r="W1368" s="90">
        <v>0.1</v>
      </c>
      <c r="AG1368" s="91">
        <v>0</v>
      </c>
      <c r="AK1368" s="71">
        <v>0.15</v>
      </c>
      <c r="AL1368" s="88">
        <v>3.4126236241343699E-2</v>
      </c>
      <c r="AM1368" s="89">
        <f t="shared" si="21"/>
        <v>0.227508241608958</v>
      </c>
    </row>
    <row r="1369" spans="1:39" x14ac:dyDescent="0.25">
      <c r="A1369" t="s">
        <v>44</v>
      </c>
      <c r="B1369" t="s">
        <v>52</v>
      </c>
      <c r="C1369" s="121" t="s">
        <v>174</v>
      </c>
      <c r="D1369" t="s">
        <v>208</v>
      </c>
      <c r="E1369" t="s">
        <v>61</v>
      </c>
      <c r="F1369">
        <v>1</v>
      </c>
      <c r="G1369">
        <v>33</v>
      </c>
      <c r="H1369" s="86">
        <v>45970.071683680602</v>
      </c>
      <c r="I1369" s="86">
        <v>45970.2826820255</v>
      </c>
      <c r="J1369" s="87">
        <v>5.0639602777777801</v>
      </c>
      <c r="K1369" s="69" t="s">
        <v>274</v>
      </c>
      <c r="P1369" s="71" t="s">
        <v>275</v>
      </c>
      <c r="Q1369" s="88">
        <v>1.13629259114238E-2</v>
      </c>
      <c r="R1369" s="89" t="s">
        <v>276</v>
      </c>
      <c r="T1369">
        <v>7.2</v>
      </c>
      <c r="U1369" s="76">
        <v>0.2</v>
      </c>
      <c r="V1369">
        <v>10.1</v>
      </c>
      <c r="W1369" s="90">
        <v>0.1</v>
      </c>
      <c r="AG1369" s="91">
        <v>0.1</v>
      </c>
      <c r="AK1369" s="71">
        <v>0.15</v>
      </c>
      <c r="AL1369" s="88">
        <v>3.4126236241343699E-2</v>
      </c>
      <c r="AM1369" s="89">
        <f t="shared" si="21"/>
        <v>0.227508241608958</v>
      </c>
    </row>
    <row r="1370" spans="1:39" x14ac:dyDescent="0.25">
      <c r="A1370" t="s">
        <v>44</v>
      </c>
      <c r="B1370" t="s">
        <v>52</v>
      </c>
      <c r="C1370" s="121" t="s">
        <v>174</v>
      </c>
      <c r="D1370" t="s">
        <v>208</v>
      </c>
      <c r="E1370" t="s">
        <v>61</v>
      </c>
      <c r="F1370">
        <v>1</v>
      </c>
      <c r="G1370">
        <v>34</v>
      </c>
      <c r="H1370" s="86">
        <v>45970.2826820255</v>
      </c>
      <c r="I1370" s="86">
        <v>45970.388186099502</v>
      </c>
      <c r="J1370" s="87">
        <v>2.5320977777777798</v>
      </c>
      <c r="K1370" s="69" t="s">
        <v>274</v>
      </c>
      <c r="P1370" s="71" t="s">
        <v>275</v>
      </c>
      <c r="Q1370" s="88">
        <v>1.18805163290721E-2</v>
      </c>
      <c r="R1370" s="89" t="s">
        <v>276</v>
      </c>
      <c r="T1370">
        <v>6.8</v>
      </c>
      <c r="U1370" s="76">
        <v>0.2</v>
      </c>
      <c r="V1370">
        <v>10</v>
      </c>
      <c r="W1370" s="90">
        <v>0.1</v>
      </c>
      <c r="AG1370" s="91">
        <v>0</v>
      </c>
      <c r="AK1370" s="71">
        <v>0.15</v>
      </c>
      <c r="AL1370" s="88">
        <v>3.4126236241343699E-2</v>
      </c>
      <c r="AM1370" s="89">
        <f t="shared" si="21"/>
        <v>0.227508241608958</v>
      </c>
    </row>
    <row r="1371" spans="1:39" x14ac:dyDescent="0.25">
      <c r="A1371" t="s">
        <v>44</v>
      </c>
      <c r="B1371" t="s">
        <v>52</v>
      </c>
      <c r="C1371" s="121" t="s">
        <v>174</v>
      </c>
      <c r="D1371" t="s">
        <v>208</v>
      </c>
      <c r="E1371" t="s">
        <v>61</v>
      </c>
      <c r="F1371">
        <v>1</v>
      </c>
      <c r="G1371">
        <v>35</v>
      </c>
      <c r="H1371" s="86">
        <v>45970.388186099502</v>
      </c>
      <c r="I1371" s="86">
        <v>45970.493687627299</v>
      </c>
      <c r="J1371" s="87">
        <v>2.53203666666667</v>
      </c>
      <c r="K1371" s="69" t="s">
        <v>274</v>
      </c>
      <c r="P1371" s="71" t="s">
        <v>275</v>
      </c>
      <c r="Q1371" s="88">
        <v>1.41087214625815E-2</v>
      </c>
      <c r="R1371" s="89" t="s">
        <v>276</v>
      </c>
      <c r="T1371">
        <v>7</v>
      </c>
      <c r="U1371" s="76">
        <v>0.2</v>
      </c>
      <c r="V1371">
        <v>10</v>
      </c>
      <c r="W1371" s="90">
        <v>0.1</v>
      </c>
      <c r="AG1371" s="91">
        <v>0</v>
      </c>
      <c r="AK1371" s="71">
        <v>0.15</v>
      </c>
      <c r="AL1371" s="88">
        <v>3.4126236241343699E-2</v>
      </c>
      <c r="AM1371" s="89">
        <f t="shared" si="21"/>
        <v>0.227508241608958</v>
      </c>
    </row>
    <row r="1372" spans="1:39" x14ac:dyDescent="0.25">
      <c r="A1372" t="s">
        <v>44</v>
      </c>
      <c r="B1372" t="s">
        <v>52</v>
      </c>
      <c r="C1372" s="121" t="s">
        <v>174</v>
      </c>
      <c r="D1372" t="s">
        <v>208</v>
      </c>
      <c r="E1372" t="s">
        <v>61</v>
      </c>
      <c r="F1372">
        <v>1</v>
      </c>
      <c r="G1372">
        <v>36</v>
      </c>
      <c r="H1372" s="86">
        <v>45970.493687627299</v>
      </c>
      <c r="I1372" s="86">
        <v>45970.599195289396</v>
      </c>
      <c r="J1372" s="87">
        <v>2.5321838888888899</v>
      </c>
      <c r="K1372" s="69" t="s">
        <v>274</v>
      </c>
      <c r="P1372" s="71" t="s">
        <v>275</v>
      </c>
      <c r="Q1372" s="88">
        <v>2.39545526311296E-2</v>
      </c>
      <c r="R1372" s="89" t="s">
        <v>276</v>
      </c>
      <c r="T1372">
        <v>7.7</v>
      </c>
      <c r="U1372" s="76">
        <v>0.2</v>
      </c>
      <c r="V1372">
        <v>10</v>
      </c>
      <c r="W1372" s="90">
        <v>0.1</v>
      </c>
      <c r="AG1372" s="91">
        <v>0</v>
      </c>
      <c r="AK1372" s="71">
        <v>0.15</v>
      </c>
      <c r="AL1372" s="88">
        <v>3.4126236241343699E-2</v>
      </c>
      <c r="AM1372" s="89">
        <f t="shared" si="21"/>
        <v>0.227508241608958</v>
      </c>
    </row>
    <row r="1373" spans="1:39" x14ac:dyDescent="0.25">
      <c r="A1373" t="s">
        <v>44</v>
      </c>
      <c r="B1373" t="s">
        <v>52</v>
      </c>
      <c r="C1373" s="121" t="s">
        <v>174</v>
      </c>
      <c r="D1373" t="s">
        <v>208</v>
      </c>
      <c r="E1373" t="s">
        <v>61</v>
      </c>
      <c r="F1373">
        <v>1</v>
      </c>
      <c r="G1373">
        <v>37</v>
      </c>
      <c r="H1373" s="86">
        <v>45970.599195289396</v>
      </c>
      <c r="I1373" s="86">
        <v>45970.704687650497</v>
      </c>
      <c r="J1373" s="87">
        <v>2.5318166666666699</v>
      </c>
      <c r="K1373" s="69" t="s">
        <v>274</v>
      </c>
      <c r="P1373" s="71" t="s">
        <v>275</v>
      </c>
      <c r="Q1373" s="88">
        <v>1.74416510659108E-2</v>
      </c>
      <c r="R1373" s="89" t="s">
        <v>276</v>
      </c>
      <c r="T1373">
        <v>7.3</v>
      </c>
      <c r="U1373" s="76">
        <v>0.2</v>
      </c>
      <c r="V1373">
        <v>10</v>
      </c>
      <c r="W1373" s="90">
        <v>0.1</v>
      </c>
      <c r="AG1373" s="91">
        <v>0</v>
      </c>
      <c r="AK1373" s="71">
        <v>0.15</v>
      </c>
      <c r="AL1373" s="88">
        <v>3.4126236241343699E-2</v>
      </c>
      <c r="AM1373" s="89">
        <f t="shared" si="21"/>
        <v>0.227508241608958</v>
      </c>
    </row>
    <row r="1374" spans="1:39" x14ac:dyDescent="0.25">
      <c r="A1374" t="s">
        <v>44</v>
      </c>
      <c r="B1374" t="s">
        <v>52</v>
      </c>
      <c r="C1374" s="121" t="s">
        <v>174</v>
      </c>
      <c r="D1374" t="s">
        <v>208</v>
      </c>
      <c r="E1374" t="s">
        <v>61</v>
      </c>
      <c r="F1374">
        <v>1</v>
      </c>
      <c r="G1374">
        <v>38</v>
      </c>
      <c r="H1374" s="86">
        <v>45970.704687650497</v>
      </c>
      <c r="I1374" s="86">
        <v>45970.810187083298</v>
      </c>
      <c r="J1374" s="87">
        <v>2.5319863888888898</v>
      </c>
      <c r="K1374" s="69" t="s">
        <v>274</v>
      </c>
      <c r="P1374" s="71" t="s">
        <v>275</v>
      </c>
      <c r="Q1374" s="88">
        <v>1.00225487061683E-2</v>
      </c>
      <c r="R1374" s="89" t="s">
        <v>276</v>
      </c>
      <c r="T1374">
        <v>6.7</v>
      </c>
      <c r="U1374" s="76">
        <v>0.2</v>
      </c>
      <c r="V1374">
        <v>10.1</v>
      </c>
      <c r="W1374" s="90">
        <v>0.1</v>
      </c>
      <c r="AG1374" s="91">
        <v>0</v>
      </c>
      <c r="AK1374" s="71">
        <v>0.15</v>
      </c>
      <c r="AL1374" s="88">
        <v>3.4126236241343699E-2</v>
      </c>
      <c r="AM1374" s="89">
        <f t="shared" si="21"/>
        <v>0.227508241608958</v>
      </c>
    </row>
    <row r="1375" spans="1:39" x14ac:dyDescent="0.25">
      <c r="A1375" t="s">
        <v>44</v>
      </c>
      <c r="B1375" t="s">
        <v>52</v>
      </c>
      <c r="C1375" s="121" t="s">
        <v>174</v>
      </c>
      <c r="D1375" t="s">
        <v>208</v>
      </c>
      <c r="E1375" t="s">
        <v>61</v>
      </c>
      <c r="F1375">
        <v>1</v>
      </c>
      <c r="G1375">
        <v>39</v>
      </c>
      <c r="H1375" s="86">
        <v>45970.810187083298</v>
      </c>
      <c r="I1375" s="86">
        <v>45970.915700532401</v>
      </c>
      <c r="J1375" s="87">
        <v>2.5323227777777801</v>
      </c>
      <c r="K1375" s="69" t="s">
        <v>274</v>
      </c>
      <c r="P1375" s="71" t="s">
        <v>275</v>
      </c>
      <c r="Q1375" s="88">
        <v>8.5194401883315306E-3</v>
      </c>
      <c r="R1375" s="89" t="s">
        <v>276</v>
      </c>
      <c r="T1375">
        <v>6.1</v>
      </c>
      <c r="U1375" s="76">
        <v>0.2</v>
      </c>
      <c r="V1375">
        <v>10</v>
      </c>
      <c r="W1375" s="90">
        <v>0.1</v>
      </c>
      <c r="AG1375" s="91">
        <v>0</v>
      </c>
      <c r="AK1375" s="71">
        <v>0.15</v>
      </c>
      <c r="AL1375" s="88">
        <v>3.4126236241343699E-2</v>
      </c>
      <c r="AM1375" s="89">
        <f t="shared" si="21"/>
        <v>0.227508241608958</v>
      </c>
    </row>
    <row r="1376" spans="1:39" x14ac:dyDescent="0.25">
      <c r="A1376" t="s">
        <v>44</v>
      </c>
      <c r="B1376" t="s">
        <v>52</v>
      </c>
      <c r="C1376" s="121" t="s">
        <v>174</v>
      </c>
      <c r="D1376" t="s">
        <v>208</v>
      </c>
      <c r="E1376" t="s">
        <v>61</v>
      </c>
      <c r="F1376">
        <v>1</v>
      </c>
      <c r="G1376">
        <v>40</v>
      </c>
      <c r="H1376" s="86">
        <v>45970.915700532401</v>
      </c>
      <c r="I1376" s="86">
        <v>45971.021199247698</v>
      </c>
      <c r="J1376" s="87">
        <v>2.5319691666666699</v>
      </c>
      <c r="K1376" s="69" t="s">
        <v>274</v>
      </c>
      <c r="P1376" s="71" t="s">
        <v>275</v>
      </c>
      <c r="Q1376" s="88">
        <v>1.0075660237308701E-2</v>
      </c>
      <c r="R1376" s="89" t="s">
        <v>276</v>
      </c>
      <c r="T1376">
        <v>6</v>
      </c>
      <c r="U1376" s="76">
        <v>0.2</v>
      </c>
      <c r="V1376">
        <v>9.9</v>
      </c>
      <c r="W1376" s="90">
        <v>0.1</v>
      </c>
      <c r="AG1376" s="91">
        <v>0</v>
      </c>
      <c r="AK1376" s="71">
        <v>0.15</v>
      </c>
      <c r="AL1376" s="88">
        <v>3.4126236241343699E-2</v>
      </c>
      <c r="AM1376" s="89">
        <f t="shared" si="21"/>
        <v>0.227508241608958</v>
      </c>
    </row>
    <row r="1377" spans="1:39" x14ac:dyDescent="0.25">
      <c r="A1377" t="s">
        <v>44</v>
      </c>
      <c r="B1377" t="s">
        <v>52</v>
      </c>
      <c r="C1377" s="121" t="s">
        <v>174</v>
      </c>
      <c r="D1377" t="s">
        <v>208</v>
      </c>
      <c r="E1377" t="s">
        <v>61</v>
      </c>
      <c r="F1377">
        <v>1</v>
      </c>
      <c r="G1377">
        <v>41</v>
      </c>
      <c r="H1377" s="86">
        <v>45971.021199247698</v>
      </c>
      <c r="I1377" s="86">
        <v>45971.126697419</v>
      </c>
      <c r="J1377" s="87">
        <v>2.5319561111111102</v>
      </c>
      <c r="K1377" s="69" t="s">
        <v>274</v>
      </c>
      <c r="P1377" s="71" t="s">
        <v>275</v>
      </c>
      <c r="Q1377" s="88">
        <v>9.1449496750028204E-3</v>
      </c>
      <c r="R1377" s="89" t="s">
        <v>276</v>
      </c>
      <c r="T1377">
        <v>6.1</v>
      </c>
      <c r="U1377" s="76">
        <v>0.2</v>
      </c>
      <c r="V1377">
        <v>9.8000000000000007</v>
      </c>
      <c r="W1377" s="90">
        <v>0.1</v>
      </c>
      <c r="AG1377" s="91">
        <v>0</v>
      </c>
      <c r="AK1377" s="71">
        <v>0.15</v>
      </c>
      <c r="AL1377" s="88">
        <v>3.4126236241343699E-2</v>
      </c>
      <c r="AM1377" s="89">
        <f t="shared" si="21"/>
        <v>0.227508241608958</v>
      </c>
    </row>
    <row r="1378" spans="1:39" x14ac:dyDescent="0.25">
      <c r="A1378" t="s">
        <v>44</v>
      </c>
      <c r="B1378" t="s">
        <v>52</v>
      </c>
      <c r="C1378" s="121" t="s">
        <v>174</v>
      </c>
      <c r="D1378" t="s">
        <v>208</v>
      </c>
      <c r="E1378" t="s">
        <v>61</v>
      </c>
      <c r="F1378">
        <v>1</v>
      </c>
      <c r="G1378">
        <v>42</v>
      </c>
      <c r="H1378" s="86">
        <v>45971.126697419</v>
      </c>
      <c r="I1378" s="86">
        <v>45971.232204363398</v>
      </c>
      <c r="J1378" s="87">
        <v>2.53216666666667</v>
      </c>
      <c r="K1378" s="69" t="s">
        <v>274</v>
      </c>
      <c r="P1378" s="71" t="s">
        <v>275</v>
      </c>
      <c r="Q1378" s="88">
        <v>1.23110345485474E-2</v>
      </c>
      <c r="R1378" s="89" t="s">
        <v>276</v>
      </c>
      <c r="T1378">
        <v>6.3</v>
      </c>
      <c r="U1378" s="76">
        <v>0.2</v>
      </c>
      <c r="V1378">
        <v>9.6999999999999993</v>
      </c>
      <c r="W1378" s="90">
        <v>0.1</v>
      </c>
      <c r="AG1378" s="91">
        <v>0</v>
      </c>
      <c r="AK1378" s="71">
        <v>0.15</v>
      </c>
      <c r="AL1378" s="88">
        <v>3.4126236241343699E-2</v>
      </c>
      <c r="AM1378" s="89">
        <f t="shared" si="21"/>
        <v>0.227508241608958</v>
      </c>
    </row>
    <row r="1379" spans="1:39" x14ac:dyDescent="0.25">
      <c r="A1379" t="s">
        <v>44</v>
      </c>
      <c r="B1379" t="s">
        <v>52</v>
      </c>
      <c r="C1379" s="121" t="s">
        <v>174</v>
      </c>
      <c r="D1379" t="s">
        <v>208</v>
      </c>
      <c r="E1379" t="s">
        <v>61</v>
      </c>
      <c r="F1379">
        <v>1</v>
      </c>
      <c r="G1379">
        <v>43</v>
      </c>
      <c r="H1379" s="86">
        <v>45971.232204363398</v>
      </c>
      <c r="I1379" s="86">
        <v>45971.337707754603</v>
      </c>
      <c r="J1379" s="87">
        <v>2.5320813888888898</v>
      </c>
      <c r="K1379" s="69" t="s">
        <v>274</v>
      </c>
      <c r="P1379" s="71" t="s">
        <v>275</v>
      </c>
      <c r="Q1379" s="88">
        <v>9.2022138146903194E-3</v>
      </c>
      <c r="R1379" s="89" t="s">
        <v>276</v>
      </c>
      <c r="T1379">
        <v>5.5</v>
      </c>
      <c r="U1379" s="76">
        <v>0.2</v>
      </c>
      <c r="V1379">
        <v>9.6</v>
      </c>
      <c r="W1379" s="90">
        <v>0.1</v>
      </c>
      <c r="AG1379" s="91">
        <v>0</v>
      </c>
      <c r="AK1379" s="71">
        <v>0.15</v>
      </c>
      <c r="AL1379" s="88">
        <v>3.4126236241343699E-2</v>
      </c>
      <c r="AM1379" s="89">
        <f t="shared" si="21"/>
        <v>0.227508241608958</v>
      </c>
    </row>
    <row r="1380" spans="1:39" x14ac:dyDescent="0.25">
      <c r="A1380" t="s">
        <v>44</v>
      </c>
      <c r="B1380" t="s">
        <v>52</v>
      </c>
      <c r="C1380" s="121" t="s">
        <v>174</v>
      </c>
      <c r="D1380" t="s">
        <v>208</v>
      </c>
      <c r="E1380" t="s">
        <v>61</v>
      </c>
      <c r="F1380">
        <v>1</v>
      </c>
      <c r="G1380">
        <v>44</v>
      </c>
      <c r="H1380" s="86">
        <v>45971.337707754603</v>
      </c>
      <c r="I1380" s="86">
        <v>45971.443207962999</v>
      </c>
      <c r="J1380" s="87">
        <v>2.5320049999999998</v>
      </c>
      <c r="K1380" s="69" t="s">
        <v>274</v>
      </c>
      <c r="P1380" s="71" t="s">
        <v>275</v>
      </c>
      <c r="Q1380" s="88">
        <v>1.14515048116989E-2</v>
      </c>
      <c r="R1380" s="89" t="s">
        <v>276</v>
      </c>
      <c r="T1380">
        <v>5.2</v>
      </c>
      <c r="U1380" s="76">
        <v>0.2</v>
      </c>
      <c r="V1380">
        <v>9.6</v>
      </c>
      <c r="W1380" s="90">
        <v>0.1</v>
      </c>
      <c r="AG1380" s="91">
        <v>0</v>
      </c>
      <c r="AK1380" s="71">
        <v>0.15</v>
      </c>
      <c r="AL1380" s="88">
        <v>3.4126236241343699E-2</v>
      </c>
      <c r="AM1380" s="89">
        <f t="shared" si="21"/>
        <v>0.227508241608958</v>
      </c>
    </row>
    <row r="1381" spans="1:39" x14ac:dyDescent="0.25">
      <c r="A1381" t="s">
        <v>44</v>
      </c>
      <c r="B1381" t="s">
        <v>52</v>
      </c>
      <c r="C1381" s="121" t="s">
        <v>174</v>
      </c>
      <c r="D1381" t="s">
        <v>208</v>
      </c>
      <c r="E1381" t="s">
        <v>61</v>
      </c>
      <c r="F1381">
        <v>1</v>
      </c>
      <c r="G1381">
        <v>45</v>
      </c>
      <c r="H1381" s="86">
        <v>45971.443207962999</v>
      </c>
      <c r="I1381" s="86">
        <v>45971.548712719901</v>
      </c>
      <c r="J1381" s="87">
        <v>2.5321141666666702</v>
      </c>
      <c r="K1381" s="69" t="s">
        <v>274</v>
      </c>
      <c r="P1381" s="71" t="s">
        <v>275</v>
      </c>
      <c r="Q1381" s="88">
        <v>2.2110659066587799E-2</v>
      </c>
      <c r="R1381" s="89" t="s">
        <v>276</v>
      </c>
      <c r="T1381">
        <v>8.1</v>
      </c>
      <c r="U1381" s="76">
        <v>0.2</v>
      </c>
      <c r="V1381">
        <v>9.5</v>
      </c>
      <c r="W1381" s="90">
        <v>0.1</v>
      </c>
      <c r="AG1381" s="91">
        <v>0</v>
      </c>
      <c r="AK1381" s="71">
        <v>0.15</v>
      </c>
      <c r="AL1381" s="88">
        <v>3.4126236241343699E-2</v>
      </c>
      <c r="AM1381" s="89">
        <f t="shared" si="21"/>
        <v>0.227508241608958</v>
      </c>
    </row>
    <row r="1382" spans="1:39" x14ac:dyDescent="0.25">
      <c r="A1382" t="s">
        <v>44</v>
      </c>
      <c r="B1382" t="s">
        <v>52</v>
      </c>
      <c r="C1382" s="121" t="s">
        <v>174</v>
      </c>
      <c r="D1382" t="s">
        <v>208</v>
      </c>
      <c r="E1382" t="s">
        <v>61</v>
      </c>
      <c r="F1382">
        <v>1</v>
      </c>
      <c r="G1382">
        <v>46</v>
      </c>
      <c r="H1382" s="86">
        <v>45971.548712719901</v>
      </c>
      <c r="I1382" s="86">
        <v>45971.654211087996</v>
      </c>
      <c r="J1382" s="87">
        <v>2.5319608333333301</v>
      </c>
      <c r="K1382" s="69" t="s">
        <v>274</v>
      </c>
      <c r="P1382" s="71" t="s">
        <v>275</v>
      </c>
      <c r="Q1382" s="88">
        <v>3.3997420397408697E-2</v>
      </c>
      <c r="R1382" s="89" t="s">
        <v>276</v>
      </c>
      <c r="T1382">
        <v>9.6999999999999993</v>
      </c>
      <c r="U1382" s="76">
        <v>0.2</v>
      </c>
      <c r="V1382">
        <v>9.6</v>
      </c>
      <c r="W1382" s="90">
        <v>0.1</v>
      </c>
      <c r="AG1382" s="91">
        <v>0</v>
      </c>
      <c r="AK1382" s="71">
        <v>0.15</v>
      </c>
      <c r="AL1382" s="88">
        <v>3.4126236241343699E-2</v>
      </c>
      <c r="AM1382" s="89">
        <f t="shared" si="21"/>
        <v>0.227508241608958</v>
      </c>
    </row>
    <row r="1383" spans="1:39" x14ac:dyDescent="0.25">
      <c r="A1383" t="s">
        <v>44</v>
      </c>
      <c r="B1383" t="s">
        <v>52</v>
      </c>
      <c r="C1383" s="121" t="s">
        <v>174</v>
      </c>
      <c r="D1383" t="s">
        <v>208</v>
      </c>
      <c r="E1383" t="s">
        <v>61</v>
      </c>
      <c r="F1383">
        <v>1</v>
      </c>
      <c r="G1383">
        <v>47</v>
      </c>
      <c r="H1383" s="86">
        <v>45971.654211087996</v>
      </c>
      <c r="I1383" s="86">
        <v>45971.759729224497</v>
      </c>
      <c r="J1383" s="87">
        <v>2.5324352777777799</v>
      </c>
      <c r="K1383" s="69" t="s">
        <v>274</v>
      </c>
      <c r="P1383" s="71" t="s">
        <v>275</v>
      </c>
      <c r="Q1383" s="88">
        <v>1.8949101172948499E-2</v>
      </c>
      <c r="R1383" s="89" t="s">
        <v>276</v>
      </c>
      <c r="T1383">
        <v>8</v>
      </c>
      <c r="U1383" s="76">
        <v>0.2</v>
      </c>
      <c r="V1383">
        <v>9.8000000000000007</v>
      </c>
      <c r="W1383" s="90">
        <v>0.1</v>
      </c>
      <c r="AG1383" s="91">
        <v>0</v>
      </c>
      <c r="AK1383" s="71">
        <v>0.15</v>
      </c>
      <c r="AL1383" s="88">
        <v>3.4126236241343699E-2</v>
      </c>
      <c r="AM1383" s="89">
        <f t="shared" si="21"/>
        <v>0.227508241608958</v>
      </c>
    </row>
    <row r="1384" spans="1:39" x14ac:dyDescent="0.25">
      <c r="A1384" t="s">
        <v>44</v>
      </c>
      <c r="B1384" t="s">
        <v>52</v>
      </c>
      <c r="C1384" s="121" t="s">
        <v>174</v>
      </c>
      <c r="D1384" t="s">
        <v>208</v>
      </c>
      <c r="E1384" t="s">
        <v>61</v>
      </c>
      <c r="F1384">
        <v>1</v>
      </c>
      <c r="G1384">
        <v>48</v>
      </c>
      <c r="H1384" s="86">
        <v>45971.759729224497</v>
      </c>
      <c r="I1384" s="86">
        <v>45971.865255312499</v>
      </c>
      <c r="J1384" s="87">
        <v>2.5326261111111101</v>
      </c>
      <c r="K1384" s="69" t="s">
        <v>274</v>
      </c>
      <c r="P1384" s="71" t="s">
        <v>275</v>
      </c>
      <c r="Q1384" s="88">
        <v>1.29660330450217E-2</v>
      </c>
      <c r="R1384" s="89" t="s">
        <v>276</v>
      </c>
      <c r="T1384">
        <v>7.8</v>
      </c>
      <c r="U1384" s="76">
        <v>0.2</v>
      </c>
      <c r="V1384">
        <v>9.8000000000000007</v>
      </c>
      <c r="W1384" s="90">
        <v>0.1</v>
      </c>
      <c r="AG1384" s="91">
        <v>0</v>
      </c>
      <c r="AK1384" s="71">
        <v>0.15</v>
      </c>
      <c r="AL1384" s="88">
        <v>3.4126236241343699E-2</v>
      </c>
      <c r="AM1384" s="89">
        <f t="shared" si="21"/>
        <v>0.227508241608958</v>
      </c>
    </row>
    <row r="1385" spans="1:39" x14ac:dyDescent="0.25">
      <c r="A1385" t="s">
        <v>44</v>
      </c>
      <c r="B1385" t="s">
        <v>52</v>
      </c>
      <c r="C1385" s="121" t="s">
        <v>174</v>
      </c>
      <c r="D1385" t="s">
        <v>208</v>
      </c>
      <c r="E1385" t="s">
        <v>61</v>
      </c>
      <c r="F1385">
        <v>1</v>
      </c>
      <c r="G1385">
        <v>49</v>
      </c>
      <c r="H1385" s="86">
        <v>45971.865255312499</v>
      </c>
      <c r="I1385" s="86">
        <v>45971.970774351903</v>
      </c>
      <c r="J1385" s="87">
        <v>2.5324569444444398</v>
      </c>
      <c r="K1385" s="69" t="s">
        <v>274</v>
      </c>
      <c r="P1385" s="71" t="s">
        <v>275</v>
      </c>
      <c r="Q1385" s="88">
        <v>1.3185560390474201E-2</v>
      </c>
      <c r="R1385" s="89" t="s">
        <v>276</v>
      </c>
      <c r="T1385">
        <v>7.9</v>
      </c>
      <c r="U1385" s="76">
        <v>0.2</v>
      </c>
      <c r="V1385">
        <v>9.8000000000000007</v>
      </c>
      <c r="W1385" s="90">
        <v>0.1</v>
      </c>
      <c r="AG1385" s="91">
        <v>0</v>
      </c>
      <c r="AK1385" s="71">
        <v>0.15</v>
      </c>
      <c r="AL1385" s="88">
        <v>3.4126236241343699E-2</v>
      </c>
      <c r="AM1385" s="89">
        <f t="shared" si="21"/>
        <v>0.227508241608958</v>
      </c>
    </row>
    <row r="1386" spans="1:39" x14ac:dyDescent="0.25">
      <c r="A1386" t="s">
        <v>44</v>
      </c>
      <c r="B1386" t="s">
        <v>52</v>
      </c>
      <c r="C1386" s="121" t="s">
        <v>174</v>
      </c>
      <c r="D1386" t="s">
        <v>208</v>
      </c>
      <c r="E1386" t="s">
        <v>61</v>
      </c>
      <c r="F1386">
        <v>1</v>
      </c>
      <c r="G1386">
        <v>50</v>
      </c>
      <c r="H1386" s="86">
        <v>45971.970774351903</v>
      </c>
      <c r="I1386" s="86">
        <v>45972.076295983803</v>
      </c>
      <c r="J1386" s="87">
        <v>2.53251916666667</v>
      </c>
      <c r="K1386" s="69" t="s">
        <v>274</v>
      </c>
      <c r="P1386" s="71" t="s">
        <v>275</v>
      </c>
      <c r="Q1386" s="88">
        <v>1.38828513836095E-2</v>
      </c>
      <c r="R1386" s="89" t="s">
        <v>276</v>
      </c>
      <c r="T1386">
        <v>7.1</v>
      </c>
      <c r="U1386" s="76">
        <v>0.2</v>
      </c>
      <c r="V1386">
        <v>9.6999999999999993</v>
      </c>
      <c r="W1386" s="90">
        <v>0.1</v>
      </c>
      <c r="AG1386" s="91">
        <v>0</v>
      </c>
      <c r="AK1386" s="71">
        <v>0.15</v>
      </c>
      <c r="AL1386" s="88">
        <v>3.4126236241343699E-2</v>
      </c>
      <c r="AM1386" s="89">
        <f t="shared" si="21"/>
        <v>0.227508241608958</v>
      </c>
    </row>
    <row r="1387" spans="1:39" x14ac:dyDescent="0.25">
      <c r="A1387" t="s">
        <v>44</v>
      </c>
      <c r="B1387" t="s">
        <v>52</v>
      </c>
      <c r="C1387" s="121" t="s">
        <v>174</v>
      </c>
      <c r="D1387" t="s">
        <v>208</v>
      </c>
      <c r="E1387" t="s">
        <v>61</v>
      </c>
      <c r="F1387">
        <v>1</v>
      </c>
      <c r="G1387">
        <v>51</v>
      </c>
      <c r="H1387" s="86">
        <v>45972.076295983803</v>
      </c>
      <c r="I1387" s="86">
        <v>45972.181827071799</v>
      </c>
      <c r="J1387" s="87">
        <v>2.53274611111111</v>
      </c>
      <c r="K1387" s="69" t="s">
        <v>274</v>
      </c>
      <c r="P1387" s="71" t="s">
        <v>275</v>
      </c>
      <c r="Q1387" s="88">
        <v>9.7332753411731691E-3</v>
      </c>
      <c r="R1387" s="89" t="s">
        <v>276</v>
      </c>
      <c r="T1387">
        <v>6.1</v>
      </c>
      <c r="U1387" s="76">
        <v>0.2</v>
      </c>
      <c r="V1387">
        <v>9.6</v>
      </c>
      <c r="W1387" s="90">
        <v>0.1</v>
      </c>
      <c r="AG1387" s="91">
        <v>0</v>
      </c>
      <c r="AK1387" s="71">
        <v>0.15</v>
      </c>
      <c r="AL1387" s="88">
        <v>3.4126236241343699E-2</v>
      </c>
      <c r="AM1387" s="89">
        <f t="shared" si="21"/>
        <v>0.227508241608958</v>
      </c>
    </row>
    <row r="1388" spans="1:39" x14ac:dyDescent="0.25">
      <c r="A1388" t="s">
        <v>44</v>
      </c>
      <c r="B1388" t="s">
        <v>52</v>
      </c>
      <c r="C1388" s="121" t="s">
        <v>174</v>
      </c>
      <c r="D1388" t="s">
        <v>208</v>
      </c>
      <c r="E1388" t="s">
        <v>61</v>
      </c>
      <c r="F1388">
        <v>1</v>
      </c>
      <c r="G1388">
        <v>52</v>
      </c>
      <c r="H1388" s="86">
        <v>45972.181827071799</v>
      </c>
      <c r="I1388" s="86">
        <v>45972.2873440162</v>
      </c>
      <c r="J1388" s="87">
        <v>2.5324066666666698</v>
      </c>
      <c r="K1388" s="69" t="s">
        <v>274</v>
      </c>
      <c r="P1388" s="71" t="s">
        <v>275</v>
      </c>
      <c r="Q1388" s="88">
        <v>8.2012460477220699E-3</v>
      </c>
      <c r="R1388" s="89" t="s">
        <v>276</v>
      </c>
      <c r="T1388">
        <v>5.8</v>
      </c>
      <c r="U1388" s="76">
        <v>0.2</v>
      </c>
      <c r="V1388">
        <v>9.5</v>
      </c>
      <c r="W1388" s="90">
        <v>0.1</v>
      </c>
      <c r="AG1388" s="91">
        <v>0</v>
      </c>
      <c r="AK1388" s="71">
        <v>0.15</v>
      </c>
      <c r="AL1388" s="88">
        <v>3.4126236241343699E-2</v>
      </c>
      <c r="AM1388" s="89">
        <f t="shared" si="21"/>
        <v>0.227508241608958</v>
      </c>
    </row>
    <row r="1389" spans="1:39" x14ac:dyDescent="0.25">
      <c r="A1389" t="s">
        <v>44</v>
      </c>
      <c r="B1389" t="s">
        <v>52</v>
      </c>
      <c r="C1389" s="121" t="s">
        <v>174</v>
      </c>
      <c r="D1389" t="s">
        <v>208</v>
      </c>
      <c r="E1389" t="s">
        <v>61</v>
      </c>
      <c r="F1389">
        <v>1</v>
      </c>
      <c r="G1389">
        <v>53</v>
      </c>
      <c r="H1389" s="86">
        <v>45972.2873440162</v>
      </c>
      <c r="I1389" s="86">
        <v>45972.392867777802</v>
      </c>
      <c r="J1389" s="87">
        <v>2.5325702777777801</v>
      </c>
      <c r="K1389" s="69" t="s">
        <v>274</v>
      </c>
      <c r="P1389" s="71" t="s">
        <v>275</v>
      </c>
      <c r="Q1389" s="88">
        <v>1.65326472920337E-2</v>
      </c>
      <c r="R1389" s="89" t="s">
        <v>276</v>
      </c>
      <c r="T1389">
        <v>6.9</v>
      </c>
      <c r="U1389" s="76">
        <v>0.2</v>
      </c>
      <c r="V1389">
        <v>9.3000000000000007</v>
      </c>
      <c r="W1389" s="90">
        <v>0.1</v>
      </c>
      <c r="AG1389" s="91">
        <v>0</v>
      </c>
      <c r="AK1389" s="71">
        <v>0.15</v>
      </c>
      <c r="AL1389" s="88">
        <v>3.4126236241343699E-2</v>
      </c>
      <c r="AM1389" s="89">
        <f t="shared" si="21"/>
        <v>0.227508241608958</v>
      </c>
    </row>
    <row r="1390" spans="1:39" x14ac:dyDescent="0.25">
      <c r="A1390" t="s">
        <v>44</v>
      </c>
      <c r="B1390" t="s">
        <v>52</v>
      </c>
      <c r="C1390" s="121" t="s">
        <v>174</v>
      </c>
      <c r="D1390" t="s">
        <v>208</v>
      </c>
      <c r="E1390" t="s">
        <v>61</v>
      </c>
      <c r="F1390">
        <v>1</v>
      </c>
      <c r="G1390">
        <v>54</v>
      </c>
      <c r="H1390" s="86">
        <v>45972.392867777802</v>
      </c>
      <c r="I1390" s="86">
        <v>45972.498395914401</v>
      </c>
      <c r="J1390" s="87">
        <v>2.5326752777777801</v>
      </c>
      <c r="K1390" s="69" t="s">
        <v>274</v>
      </c>
      <c r="P1390" s="71" t="s">
        <v>275</v>
      </c>
      <c r="Q1390" s="88">
        <v>1.8045909846329401E-2</v>
      </c>
      <c r="R1390" s="89" t="s">
        <v>276</v>
      </c>
      <c r="T1390">
        <v>7.5</v>
      </c>
      <c r="U1390" s="76">
        <v>0.2</v>
      </c>
      <c r="V1390">
        <v>9.3000000000000007</v>
      </c>
      <c r="W1390" s="90">
        <v>0.1</v>
      </c>
      <c r="AG1390" s="91">
        <v>0</v>
      </c>
      <c r="AK1390" s="71">
        <v>0.15</v>
      </c>
      <c r="AL1390" s="88">
        <v>3.4126236241343699E-2</v>
      </c>
      <c r="AM1390" s="89">
        <f t="shared" si="21"/>
        <v>0.227508241608958</v>
      </c>
    </row>
    <row r="1391" spans="1:39" x14ac:dyDescent="0.25">
      <c r="A1391" t="s">
        <v>44</v>
      </c>
      <c r="B1391" t="s">
        <v>52</v>
      </c>
      <c r="C1391" s="121" t="s">
        <v>174</v>
      </c>
      <c r="D1391" t="s">
        <v>208</v>
      </c>
      <c r="E1391" t="s">
        <v>61</v>
      </c>
      <c r="F1391">
        <v>1</v>
      </c>
      <c r="G1391">
        <v>55</v>
      </c>
      <c r="H1391" s="86">
        <v>45972.498395914401</v>
      </c>
      <c r="I1391" s="86">
        <v>45972.6039281829</v>
      </c>
      <c r="J1391" s="87">
        <v>2.5327744444444402</v>
      </c>
      <c r="K1391" s="69" t="s">
        <v>274</v>
      </c>
      <c r="P1391" s="71" t="s">
        <v>275</v>
      </c>
      <c r="Q1391" s="88">
        <v>1.9980232678743E-2</v>
      </c>
      <c r="R1391" s="89" t="s">
        <v>276</v>
      </c>
      <c r="T1391">
        <v>8.5</v>
      </c>
      <c r="U1391" s="76">
        <v>0.2</v>
      </c>
      <c r="V1391">
        <v>9.3000000000000007</v>
      </c>
      <c r="W1391" s="90">
        <v>0.1</v>
      </c>
      <c r="AG1391" s="91">
        <v>0</v>
      </c>
      <c r="AK1391" s="71">
        <v>0.15</v>
      </c>
      <c r="AL1391" s="88">
        <v>3.4126236241343699E-2</v>
      </c>
      <c r="AM1391" s="89">
        <f t="shared" si="21"/>
        <v>0.227508241608958</v>
      </c>
    </row>
    <row r="1392" spans="1:39" x14ac:dyDescent="0.25">
      <c r="A1392" t="s">
        <v>44</v>
      </c>
      <c r="B1392" t="s">
        <v>52</v>
      </c>
      <c r="C1392" s="121" t="s">
        <v>174</v>
      </c>
      <c r="D1392" t="s">
        <v>208</v>
      </c>
      <c r="E1392" t="s">
        <v>61</v>
      </c>
      <c r="F1392">
        <v>1</v>
      </c>
      <c r="G1392">
        <v>56</v>
      </c>
      <c r="H1392" s="86">
        <v>45972.6039281829</v>
      </c>
      <c r="I1392" s="86">
        <v>45972.7094484259</v>
      </c>
      <c r="J1392" s="87">
        <v>2.5324858333333302</v>
      </c>
      <c r="K1392" s="69" t="s">
        <v>274</v>
      </c>
      <c r="P1392" s="71" t="s">
        <v>275</v>
      </c>
      <c r="Q1392" s="88">
        <v>2.4855430687711899E-2</v>
      </c>
      <c r="R1392" s="89" t="s">
        <v>276</v>
      </c>
      <c r="T1392">
        <v>9.1999999999999993</v>
      </c>
      <c r="U1392" s="76">
        <v>0.2</v>
      </c>
      <c r="V1392">
        <v>9.4</v>
      </c>
      <c r="W1392" s="90">
        <v>0.1</v>
      </c>
      <c r="AG1392" s="91">
        <v>0</v>
      </c>
      <c r="AK1392" s="71">
        <v>0.15</v>
      </c>
      <c r="AL1392" s="88">
        <v>3.4126236241343699E-2</v>
      </c>
      <c r="AM1392" s="89">
        <f t="shared" si="21"/>
        <v>0.227508241608958</v>
      </c>
    </row>
    <row r="1393" spans="1:39" x14ac:dyDescent="0.25">
      <c r="A1393" t="s">
        <v>44</v>
      </c>
      <c r="B1393" t="s">
        <v>52</v>
      </c>
      <c r="C1393" s="121" t="s">
        <v>174</v>
      </c>
      <c r="D1393" t="s">
        <v>208</v>
      </c>
      <c r="E1393" t="s">
        <v>61</v>
      </c>
      <c r="F1393">
        <v>1</v>
      </c>
      <c r="G1393">
        <v>57</v>
      </c>
      <c r="H1393" s="86">
        <v>45972.7094484259</v>
      </c>
      <c r="I1393" s="86">
        <v>45972.814989594903</v>
      </c>
      <c r="J1393" s="87">
        <v>2.5329880555555602</v>
      </c>
      <c r="K1393" s="69" t="s">
        <v>274</v>
      </c>
      <c r="P1393" s="71" t="s">
        <v>275</v>
      </c>
      <c r="Q1393" s="88">
        <v>1.21004884690972E-2</v>
      </c>
      <c r="R1393" s="89" t="s">
        <v>276</v>
      </c>
      <c r="T1393">
        <v>7.8</v>
      </c>
      <c r="U1393" s="76">
        <v>0.2</v>
      </c>
      <c r="V1393">
        <v>9.5</v>
      </c>
      <c r="W1393" s="90">
        <v>0.1</v>
      </c>
      <c r="AG1393" s="91">
        <v>0</v>
      </c>
      <c r="AK1393" s="71">
        <v>0.15</v>
      </c>
      <c r="AL1393" s="88">
        <v>3.4126236241343699E-2</v>
      </c>
      <c r="AM1393" s="89">
        <f t="shared" si="21"/>
        <v>0.227508241608958</v>
      </c>
    </row>
    <row r="1394" spans="1:39" x14ac:dyDescent="0.25">
      <c r="A1394" t="s">
        <v>44</v>
      </c>
      <c r="B1394" t="s">
        <v>52</v>
      </c>
      <c r="C1394" s="121" t="s">
        <v>174</v>
      </c>
      <c r="D1394" t="s">
        <v>208</v>
      </c>
      <c r="E1394" t="s">
        <v>61</v>
      </c>
      <c r="F1394">
        <v>1</v>
      </c>
      <c r="G1394">
        <v>58</v>
      </c>
      <c r="H1394" s="86">
        <v>45972.814989594903</v>
      </c>
      <c r="I1394" s="86">
        <v>45972.920498217602</v>
      </c>
      <c r="J1394" s="87">
        <v>2.5322069444444399</v>
      </c>
      <c r="K1394" s="69" t="s">
        <v>274</v>
      </c>
      <c r="P1394" s="71" t="s">
        <v>275</v>
      </c>
      <c r="Q1394" s="88">
        <v>9.9235763804707902E-3</v>
      </c>
      <c r="R1394" s="89" t="s">
        <v>276</v>
      </c>
      <c r="T1394">
        <v>6.6</v>
      </c>
      <c r="U1394" s="76">
        <v>0.2</v>
      </c>
      <c r="V1394">
        <v>9.5</v>
      </c>
      <c r="W1394" s="90">
        <v>0.1</v>
      </c>
      <c r="AG1394" s="91">
        <v>0</v>
      </c>
      <c r="AK1394" s="71">
        <v>0.15</v>
      </c>
      <c r="AL1394" s="88">
        <v>3.4126236241343699E-2</v>
      </c>
      <c r="AM1394" s="89">
        <f t="shared" si="21"/>
        <v>0.227508241608958</v>
      </c>
    </row>
    <row r="1395" spans="1:39" x14ac:dyDescent="0.25">
      <c r="A1395" t="s">
        <v>44</v>
      </c>
      <c r="B1395" t="s">
        <v>52</v>
      </c>
      <c r="C1395" s="121" t="s">
        <v>174</v>
      </c>
      <c r="D1395" t="s">
        <v>208</v>
      </c>
      <c r="E1395" t="s">
        <v>61</v>
      </c>
      <c r="F1395">
        <v>1</v>
      </c>
      <c r="G1395">
        <v>59</v>
      </c>
      <c r="H1395" s="86">
        <v>45972.920498217602</v>
      </c>
      <c r="I1395" s="86">
        <v>45973.026005752297</v>
      </c>
      <c r="J1395" s="87">
        <v>2.5321808333333302</v>
      </c>
      <c r="K1395" s="69" t="s">
        <v>274</v>
      </c>
      <c r="P1395" s="71" t="s">
        <v>275</v>
      </c>
      <c r="Q1395" s="88">
        <v>9.7451685225378292E-3</v>
      </c>
      <c r="R1395" s="89" t="s">
        <v>276</v>
      </c>
      <c r="T1395">
        <v>7.4</v>
      </c>
      <c r="U1395" s="76">
        <v>0.2</v>
      </c>
      <c r="V1395">
        <v>9.3000000000000007</v>
      </c>
      <c r="W1395" s="90">
        <v>0.1</v>
      </c>
      <c r="AG1395" s="91">
        <v>0</v>
      </c>
      <c r="AK1395" s="71">
        <v>0.15</v>
      </c>
      <c r="AL1395" s="88">
        <v>3.4126236241343699E-2</v>
      </c>
      <c r="AM1395" s="89">
        <f t="shared" si="21"/>
        <v>0.227508241608958</v>
      </c>
    </row>
    <row r="1396" spans="1:39" x14ac:dyDescent="0.25">
      <c r="A1396" t="s">
        <v>44</v>
      </c>
      <c r="B1396" t="s">
        <v>52</v>
      </c>
      <c r="C1396" s="121" t="s">
        <v>174</v>
      </c>
      <c r="D1396" t="s">
        <v>208</v>
      </c>
      <c r="E1396" t="s">
        <v>61</v>
      </c>
      <c r="F1396">
        <v>1</v>
      </c>
      <c r="G1396">
        <v>60</v>
      </c>
      <c r="H1396" s="86">
        <v>45973.026005752297</v>
      </c>
      <c r="I1396" s="86">
        <v>45973.131544398202</v>
      </c>
      <c r="J1396" s="87">
        <v>2.5329275</v>
      </c>
      <c r="K1396" s="69" t="s">
        <v>274</v>
      </c>
      <c r="P1396" s="71" t="s">
        <v>275</v>
      </c>
      <c r="Q1396" s="88">
        <v>2.1744911422471199E-2</v>
      </c>
      <c r="R1396" s="89" t="s">
        <v>276</v>
      </c>
      <c r="T1396">
        <v>9.5</v>
      </c>
      <c r="U1396" s="76">
        <v>0.2</v>
      </c>
      <c r="V1396">
        <v>9.3000000000000007</v>
      </c>
      <c r="W1396" s="90">
        <v>0.1</v>
      </c>
      <c r="AG1396" s="91">
        <v>0</v>
      </c>
      <c r="AK1396" s="71">
        <v>0.15</v>
      </c>
      <c r="AL1396" s="88">
        <v>3.4126236241343699E-2</v>
      </c>
      <c r="AM1396" s="89">
        <f t="shared" si="21"/>
        <v>0.227508241608958</v>
      </c>
    </row>
    <row r="1397" spans="1:39" x14ac:dyDescent="0.25">
      <c r="A1397" t="s">
        <v>44</v>
      </c>
      <c r="B1397" t="s">
        <v>52</v>
      </c>
      <c r="C1397" s="121" t="s">
        <v>174</v>
      </c>
      <c r="D1397" t="s">
        <v>208</v>
      </c>
      <c r="E1397" t="s">
        <v>61</v>
      </c>
      <c r="F1397">
        <v>1</v>
      </c>
      <c r="G1397">
        <v>61</v>
      </c>
      <c r="H1397" s="86">
        <v>45973.131544398202</v>
      </c>
      <c r="I1397" s="86">
        <v>45973.237070080999</v>
      </c>
      <c r="J1397" s="87">
        <v>2.53261638888889</v>
      </c>
      <c r="K1397" s="69" t="s">
        <v>274</v>
      </c>
      <c r="P1397" s="71" t="s">
        <v>275</v>
      </c>
      <c r="Q1397" s="88">
        <v>2.85996773457226E-2</v>
      </c>
      <c r="R1397" s="89" t="s">
        <v>276</v>
      </c>
      <c r="T1397">
        <v>9.1999999999999993</v>
      </c>
      <c r="U1397" s="76">
        <v>0.2</v>
      </c>
      <c r="V1397">
        <v>9.3000000000000007</v>
      </c>
      <c r="W1397" s="90">
        <v>0.1</v>
      </c>
      <c r="AG1397" s="91">
        <v>0</v>
      </c>
      <c r="AK1397" s="71">
        <v>0.15</v>
      </c>
      <c r="AL1397" s="88">
        <v>3.4126236241343699E-2</v>
      </c>
      <c r="AM1397" s="89">
        <f t="shared" si="21"/>
        <v>0.227508241608958</v>
      </c>
    </row>
    <row r="1398" spans="1:39" x14ac:dyDescent="0.25">
      <c r="A1398" t="s">
        <v>44</v>
      </c>
      <c r="B1398" t="s">
        <v>52</v>
      </c>
      <c r="C1398" s="121" t="s">
        <v>174</v>
      </c>
      <c r="D1398" t="s">
        <v>208</v>
      </c>
      <c r="E1398" t="s">
        <v>61</v>
      </c>
      <c r="F1398">
        <v>1</v>
      </c>
      <c r="G1398">
        <v>62</v>
      </c>
      <c r="H1398" s="86">
        <v>45973.237070080999</v>
      </c>
      <c r="I1398" s="86">
        <v>45973.342596122697</v>
      </c>
      <c r="J1398" s="87">
        <v>2.5326249999999999</v>
      </c>
      <c r="K1398" s="69" t="s">
        <v>274</v>
      </c>
      <c r="P1398" s="71" t="s">
        <v>275</v>
      </c>
      <c r="Q1398" s="88">
        <v>2.56148968089682E-2</v>
      </c>
      <c r="R1398" s="89" t="s">
        <v>276</v>
      </c>
      <c r="T1398">
        <v>8.9</v>
      </c>
      <c r="U1398" s="76">
        <v>0.2</v>
      </c>
      <c r="V1398">
        <v>9.4</v>
      </c>
      <c r="W1398" s="90">
        <v>0.1</v>
      </c>
      <c r="AG1398" s="91">
        <v>0</v>
      </c>
      <c r="AK1398" s="71">
        <v>0.15</v>
      </c>
      <c r="AL1398" s="88">
        <v>3.4126236241343699E-2</v>
      </c>
      <c r="AM1398" s="89">
        <f t="shared" si="21"/>
        <v>0.227508241608958</v>
      </c>
    </row>
    <row r="1399" spans="1:39" x14ac:dyDescent="0.25">
      <c r="A1399" t="s">
        <v>44</v>
      </c>
      <c r="B1399" t="s">
        <v>52</v>
      </c>
      <c r="C1399" s="121" t="s">
        <v>174</v>
      </c>
      <c r="D1399" t="s">
        <v>205</v>
      </c>
      <c r="E1399" t="s">
        <v>57</v>
      </c>
      <c r="F1399">
        <v>1</v>
      </c>
      <c r="G1399">
        <v>1</v>
      </c>
      <c r="H1399" s="86">
        <v>45966.595274455998</v>
      </c>
      <c r="I1399" s="86">
        <v>45966.700787002301</v>
      </c>
      <c r="J1399" s="87">
        <v>2.53230111111111</v>
      </c>
      <c r="K1399" s="69" t="s">
        <v>274</v>
      </c>
      <c r="P1399" s="71" t="s">
        <v>275</v>
      </c>
      <c r="Q1399" s="88">
        <v>1.0286245828356799E-2</v>
      </c>
      <c r="R1399" s="89" t="s">
        <v>276</v>
      </c>
      <c r="T1399">
        <v>12.9</v>
      </c>
      <c r="U1399" s="76">
        <v>0.2</v>
      </c>
      <c r="V1399">
        <v>10.9</v>
      </c>
      <c r="W1399" s="90">
        <v>0.1</v>
      </c>
      <c r="AG1399" s="91">
        <v>0</v>
      </c>
      <c r="AK1399" s="71">
        <v>0.15</v>
      </c>
      <c r="AL1399" s="88">
        <v>3.3054500450014401E-2</v>
      </c>
      <c r="AM1399" s="89">
        <f t="shared" si="21"/>
        <v>0.22036333633342936</v>
      </c>
    </row>
    <row r="1400" spans="1:39" x14ac:dyDescent="0.25">
      <c r="A1400" t="s">
        <v>44</v>
      </c>
      <c r="B1400" t="s">
        <v>52</v>
      </c>
      <c r="C1400" s="121" t="s">
        <v>174</v>
      </c>
      <c r="D1400" t="s">
        <v>205</v>
      </c>
      <c r="E1400" t="s">
        <v>57</v>
      </c>
      <c r="F1400">
        <v>1</v>
      </c>
      <c r="G1400">
        <v>2</v>
      </c>
      <c r="H1400" s="86">
        <v>45966.700787002301</v>
      </c>
      <c r="I1400" s="86">
        <v>45966.806311666704</v>
      </c>
      <c r="J1400" s="87">
        <v>2.53259194444444</v>
      </c>
      <c r="K1400" s="69" t="s">
        <v>274</v>
      </c>
      <c r="P1400" s="71" t="s">
        <v>275</v>
      </c>
      <c r="Q1400" s="88">
        <v>9.5278911345538699E-3</v>
      </c>
      <c r="R1400" s="89" t="s">
        <v>276</v>
      </c>
      <c r="T1400">
        <v>11.2</v>
      </c>
      <c r="U1400" s="76">
        <v>0.2</v>
      </c>
      <c r="V1400">
        <v>11.1</v>
      </c>
      <c r="W1400" s="90">
        <v>0.1</v>
      </c>
      <c r="AG1400" s="91">
        <v>0</v>
      </c>
      <c r="AK1400" s="71">
        <v>0.15</v>
      </c>
      <c r="AL1400" s="88">
        <v>3.3054500450014401E-2</v>
      </c>
      <c r="AM1400" s="89">
        <f t="shared" si="21"/>
        <v>0.22036333633342936</v>
      </c>
    </row>
    <row r="1401" spans="1:39" x14ac:dyDescent="0.25">
      <c r="A1401" t="s">
        <v>44</v>
      </c>
      <c r="B1401" t="s">
        <v>52</v>
      </c>
      <c r="C1401" s="121" t="s">
        <v>174</v>
      </c>
      <c r="D1401" t="s">
        <v>205</v>
      </c>
      <c r="E1401" t="s">
        <v>57</v>
      </c>
      <c r="F1401">
        <v>1</v>
      </c>
      <c r="G1401">
        <v>3</v>
      </c>
      <c r="H1401" s="86">
        <v>45966.806311666704</v>
      </c>
      <c r="I1401" s="86">
        <v>45966.911835555598</v>
      </c>
      <c r="J1401" s="87">
        <v>2.53257333333333</v>
      </c>
      <c r="K1401" s="69" t="s">
        <v>274</v>
      </c>
      <c r="P1401" s="71" t="s">
        <v>275</v>
      </c>
      <c r="Q1401" s="88">
        <v>1.01011378300686E-2</v>
      </c>
      <c r="R1401" s="89" t="s">
        <v>276</v>
      </c>
      <c r="T1401">
        <v>10.5</v>
      </c>
      <c r="U1401" s="76">
        <v>0.2</v>
      </c>
      <c r="V1401">
        <v>11.1</v>
      </c>
      <c r="W1401" s="90">
        <v>0.1</v>
      </c>
      <c r="AG1401" s="91">
        <v>0</v>
      </c>
      <c r="AK1401" s="71">
        <v>0.15</v>
      </c>
      <c r="AL1401" s="88">
        <v>3.3054500450014401E-2</v>
      </c>
      <c r="AM1401" s="89">
        <f t="shared" si="21"/>
        <v>0.22036333633342936</v>
      </c>
    </row>
    <row r="1402" spans="1:39" x14ac:dyDescent="0.25">
      <c r="A1402" t="s">
        <v>44</v>
      </c>
      <c r="B1402" t="s">
        <v>52</v>
      </c>
      <c r="C1402" s="121" t="s">
        <v>174</v>
      </c>
      <c r="D1402" t="s">
        <v>205</v>
      </c>
      <c r="E1402" t="s">
        <v>57</v>
      </c>
      <c r="F1402">
        <v>1</v>
      </c>
      <c r="G1402">
        <v>4</v>
      </c>
      <c r="H1402" s="86">
        <v>45966.911835555598</v>
      </c>
      <c r="I1402" s="86">
        <v>45967.017361134298</v>
      </c>
      <c r="J1402" s="87">
        <v>2.5326138888888901</v>
      </c>
      <c r="K1402" s="69" t="s">
        <v>274</v>
      </c>
      <c r="P1402" s="71" t="s">
        <v>275</v>
      </c>
      <c r="Q1402" s="88">
        <v>1.44337553776156E-2</v>
      </c>
      <c r="R1402" s="89" t="s">
        <v>276</v>
      </c>
      <c r="T1402">
        <v>10.7</v>
      </c>
      <c r="U1402" s="76">
        <v>0.2</v>
      </c>
      <c r="V1402">
        <v>11</v>
      </c>
      <c r="W1402" s="90">
        <v>0.1</v>
      </c>
      <c r="AG1402" s="91">
        <v>0</v>
      </c>
      <c r="AK1402" s="71">
        <v>0.15</v>
      </c>
      <c r="AL1402" s="88">
        <v>3.3054500450014401E-2</v>
      </c>
      <c r="AM1402" s="89">
        <f t="shared" si="21"/>
        <v>0.22036333633342936</v>
      </c>
    </row>
    <row r="1403" spans="1:39" x14ac:dyDescent="0.25">
      <c r="A1403" t="s">
        <v>44</v>
      </c>
      <c r="B1403" t="s">
        <v>52</v>
      </c>
      <c r="C1403" s="121" t="s">
        <v>174</v>
      </c>
      <c r="D1403" t="s">
        <v>205</v>
      </c>
      <c r="E1403" t="s">
        <v>57</v>
      </c>
      <c r="F1403">
        <v>1</v>
      </c>
      <c r="G1403">
        <v>5</v>
      </c>
      <c r="H1403" s="86">
        <v>45967.017361134298</v>
      </c>
      <c r="I1403" s="86">
        <v>45967.122894351902</v>
      </c>
      <c r="J1403" s="87">
        <v>2.5327972222222201</v>
      </c>
      <c r="K1403" s="69" t="s">
        <v>274</v>
      </c>
      <c r="P1403" s="71" t="s">
        <v>275</v>
      </c>
      <c r="Q1403" s="88">
        <v>1.2990929147070999E-2</v>
      </c>
      <c r="R1403" s="89" t="s">
        <v>276</v>
      </c>
      <c r="T1403">
        <v>10.6</v>
      </c>
      <c r="U1403" s="76">
        <v>0.2</v>
      </c>
      <c r="V1403">
        <v>11</v>
      </c>
      <c r="W1403" s="90">
        <v>0.1</v>
      </c>
      <c r="AG1403" s="91">
        <v>0.1</v>
      </c>
      <c r="AK1403" s="71">
        <v>0.15</v>
      </c>
      <c r="AL1403" s="88">
        <v>3.3054500450014401E-2</v>
      </c>
      <c r="AM1403" s="89">
        <f t="shared" si="21"/>
        <v>0.22036333633342936</v>
      </c>
    </row>
    <row r="1404" spans="1:39" x14ac:dyDescent="0.25">
      <c r="A1404" t="s">
        <v>44</v>
      </c>
      <c r="B1404" t="s">
        <v>52</v>
      </c>
      <c r="C1404" s="121" t="s">
        <v>174</v>
      </c>
      <c r="D1404" t="s">
        <v>205</v>
      </c>
      <c r="E1404" t="s">
        <v>57</v>
      </c>
      <c r="F1404">
        <v>1</v>
      </c>
      <c r="G1404">
        <v>6</v>
      </c>
      <c r="H1404" s="86">
        <v>45967.122894351902</v>
      </c>
      <c r="I1404" s="86">
        <v>45967.2284197107</v>
      </c>
      <c r="J1404" s="87">
        <v>2.5326086111111099</v>
      </c>
      <c r="K1404" s="69" t="s">
        <v>274</v>
      </c>
      <c r="P1404" s="71" t="s">
        <v>275</v>
      </c>
      <c r="Q1404" s="88">
        <v>1.6371544255677099E-2</v>
      </c>
      <c r="R1404" s="89" t="s">
        <v>276</v>
      </c>
      <c r="T1404">
        <v>10.6</v>
      </c>
      <c r="U1404" s="76">
        <v>0.2</v>
      </c>
      <c r="V1404">
        <v>10.9</v>
      </c>
      <c r="W1404" s="90">
        <v>0.1</v>
      </c>
      <c r="AG1404" s="91">
        <v>0</v>
      </c>
      <c r="AK1404" s="71">
        <v>0.15</v>
      </c>
      <c r="AL1404" s="88">
        <v>3.3054500450014401E-2</v>
      </c>
      <c r="AM1404" s="89">
        <f t="shared" si="21"/>
        <v>0.22036333633342936</v>
      </c>
    </row>
    <row r="1405" spans="1:39" x14ac:dyDescent="0.25">
      <c r="A1405" t="s">
        <v>44</v>
      </c>
      <c r="B1405" t="s">
        <v>52</v>
      </c>
      <c r="C1405" s="121" t="s">
        <v>174</v>
      </c>
      <c r="D1405" t="s">
        <v>205</v>
      </c>
      <c r="E1405" t="s">
        <v>57</v>
      </c>
      <c r="F1405">
        <v>1</v>
      </c>
      <c r="G1405">
        <v>7</v>
      </c>
      <c r="H1405" s="86">
        <v>45967.2284197107</v>
      </c>
      <c r="I1405" s="86">
        <v>45967.333940995399</v>
      </c>
      <c r="J1405" s="87">
        <v>2.5325108333333302</v>
      </c>
      <c r="K1405" s="69" t="s">
        <v>274</v>
      </c>
      <c r="P1405" s="71" t="s">
        <v>275</v>
      </c>
      <c r="Q1405" s="88">
        <v>1.5867379455444398E-2</v>
      </c>
      <c r="R1405" s="89" t="s">
        <v>276</v>
      </c>
      <c r="T1405">
        <v>10.3</v>
      </c>
      <c r="U1405" s="76">
        <v>0.2</v>
      </c>
      <c r="V1405">
        <v>10.9</v>
      </c>
      <c r="W1405" s="90">
        <v>0.1</v>
      </c>
      <c r="AG1405" s="91">
        <v>0</v>
      </c>
      <c r="AK1405" s="71">
        <v>0.15</v>
      </c>
      <c r="AL1405" s="88">
        <v>3.3054500450014401E-2</v>
      </c>
      <c r="AM1405" s="89">
        <f t="shared" si="21"/>
        <v>0.22036333633342936</v>
      </c>
    </row>
    <row r="1406" spans="1:39" x14ac:dyDescent="0.25">
      <c r="A1406" t="s">
        <v>44</v>
      </c>
      <c r="B1406" t="s">
        <v>52</v>
      </c>
      <c r="C1406" s="121" t="s">
        <v>174</v>
      </c>
      <c r="D1406" t="s">
        <v>205</v>
      </c>
      <c r="E1406" t="s">
        <v>57</v>
      </c>
      <c r="F1406">
        <v>1</v>
      </c>
      <c r="G1406">
        <v>8</v>
      </c>
      <c r="H1406" s="86">
        <v>45967.333940995399</v>
      </c>
      <c r="I1406" s="86">
        <v>45967.439482661997</v>
      </c>
      <c r="J1406" s="87">
        <v>2.5329999999999999</v>
      </c>
      <c r="K1406" s="69" t="s">
        <v>274</v>
      </c>
      <c r="P1406" s="71" t="s">
        <v>275</v>
      </c>
      <c r="Q1406" s="88">
        <v>1.5139714067481901E-2</v>
      </c>
      <c r="R1406" s="89" t="s">
        <v>276</v>
      </c>
      <c r="T1406">
        <v>9.9</v>
      </c>
      <c r="U1406" s="76">
        <v>0.2</v>
      </c>
      <c r="V1406">
        <v>10.9</v>
      </c>
      <c r="W1406" s="90">
        <v>0.1</v>
      </c>
      <c r="AG1406" s="91">
        <v>0</v>
      </c>
      <c r="AK1406" s="71">
        <v>0.15</v>
      </c>
      <c r="AL1406" s="88">
        <v>3.3054500450014401E-2</v>
      </c>
      <c r="AM1406" s="89">
        <f t="shared" si="21"/>
        <v>0.22036333633342936</v>
      </c>
    </row>
    <row r="1407" spans="1:39" x14ac:dyDescent="0.25">
      <c r="A1407" t="s">
        <v>44</v>
      </c>
      <c r="B1407" t="s">
        <v>52</v>
      </c>
      <c r="C1407" s="121" t="s">
        <v>174</v>
      </c>
      <c r="D1407" t="s">
        <v>205</v>
      </c>
      <c r="E1407" t="s">
        <v>57</v>
      </c>
      <c r="F1407">
        <v>1</v>
      </c>
      <c r="G1407">
        <v>9</v>
      </c>
      <c r="H1407" s="86">
        <v>45967.439482661997</v>
      </c>
      <c r="I1407" s="86">
        <v>45967.545006921297</v>
      </c>
      <c r="J1407" s="87">
        <v>2.5325822222222198</v>
      </c>
      <c r="K1407" s="69" t="s">
        <v>274</v>
      </c>
      <c r="P1407" s="71" t="s">
        <v>275</v>
      </c>
      <c r="Q1407" s="88">
        <v>4.8967523839188301E-2</v>
      </c>
      <c r="R1407" s="89" t="s">
        <v>276</v>
      </c>
      <c r="T1407">
        <v>14</v>
      </c>
      <c r="U1407" s="76">
        <v>0.2</v>
      </c>
      <c r="V1407">
        <v>10.9</v>
      </c>
      <c r="W1407" s="90">
        <v>0.1</v>
      </c>
      <c r="AG1407" s="91">
        <v>0</v>
      </c>
      <c r="AK1407" s="71">
        <v>0.15</v>
      </c>
      <c r="AL1407" s="88">
        <v>3.3054500450014401E-2</v>
      </c>
      <c r="AM1407" s="89">
        <f t="shared" si="21"/>
        <v>0.22036333633342936</v>
      </c>
    </row>
    <row r="1408" spans="1:39" x14ac:dyDescent="0.25">
      <c r="A1408" t="s">
        <v>44</v>
      </c>
      <c r="B1408" t="s">
        <v>52</v>
      </c>
      <c r="C1408" s="121" t="s">
        <v>174</v>
      </c>
      <c r="D1408" t="s">
        <v>205</v>
      </c>
      <c r="E1408" t="s">
        <v>57</v>
      </c>
      <c r="F1408">
        <v>1</v>
      </c>
      <c r="G1408">
        <v>10</v>
      </c>
      <c r="H1408" s="86">
        <v>45967.545006921297</v>
      </c>
      <c r="I1408" s="86">
        <v>45967.650528831</v>
      </c>
      <c r="J1408" s="87">
        <v>2.53252583333333</v>
      </c>
      <c r="K1408" s="69" t="s">
        <v>274</v>
      </c>
      <c r="P1408" s="71" t="s">
        <v>275</v>
      </c>
      <c r="Q1408" s="88">
        <v>7.3219628316967503E-2</v>
      </c>
      <c r="R1408" s="89" t="s">
        <v>276</v>
      </c>
      <c r="T1408">
        <v>15.9</v>
      </c>
      <c r="U1408" s="76">
        <v>0.2</v>
      </c>
      <c r="V1408">
        <v>11</v>
      </c>
      <c r="W1408" s="90">
        <v>0.1</v>
      </c>
      <c r="AG1408" s="91">
        <v>0</v>
      </c>
      <c r="AK1408" s="71">
        <v>0.15</v>
      </c>
      <c r="AL1408" s="88">
        <v>3.3054500450014401E-2</v>
      </c>
      <c r="AM1408" s="89">
        <f t="shared" si="21"/>
        <v>0.22036333633342936</v>
      </c>
    </row>
    <row r="1409" spans="1:39" x14ac:dyDescent="0.25">
      <c r="A1409" t="s">
        <v>44</v>
      </c>
      <c r="B1409" t="s">
        <v>52</v>
      </c>
      <c r="C1409" s="121" t="s">
        <v>174</v>
      </c>
      <c r="D1409" t="s">
        <v>205</v>
      </c>
      <c r="E1409" t="s">
        <v>57</v>
      </c>
      <c r="F1409">
        <v>1</v>
      </c>
      <c r="G1409">
        <v>11</v>
      </c>
      <c r="H1409" s="86">
        <v>45967.650528831</v>
      </c>
      <c r="I1409" s="86">
        <v>45967.756049004602</v>
      </c>
      <c r="J1409" s="87">
        <v>2.53248416666667</v>
      </c>
      <c r="K1409" s="69" t="s">
        <v>274</v>
      </c>
      <c r="P1409" s="71" t="s">
        <v>275</v>
      </c>
      <c r="Q1409" s="88">
        <v>3.1560844010212301E-2</v>
      </c>
      <c r="R1409" s="89" t="s">
        <v>276</v>
      </c>
      <c r="T1409">
        <v>10.7</v>
      </c>
      <c r="U1409" s="76">
        <v>0.2</v>
      </c>
      <c r="V1409">
        <v>11.2</v>
      </c>
      <c r="W1409" s="90">
        <v>0.1</v>
      </c>
      <c r="AG1409" s="91">
        <v>0</v>
      </c>
      <c r="AK1409" s="71">
        <v>0.15</v>
      </c>
      <c r="AL1409" s="88">
        <v>3.3054500450014401E-2</v>
      </c>
      <c r="AM1409" s="89">
        <f t="shared" si="21"/>
        <v>0.22036333633342936</v>
      </c>
    </row>
    <row r="1410" spans="1:39" x14ac:dyDescent="0.25">
      <c r="A1410" t="s">
        <v>44</v>
      </c>
      <c r="B1410" t="s">
        <v>52</v>
      </c>
      <c r="C1410" s="121" t="s">
        <v>174</v>
      </c>
      <c r="D1410" t="s">
        <v>205</v>
      </c>
      <c r="E1410" t="s">
        <v>57</v>
      </c>
      <c r="F1410">
        <v>1</v>
      </c>
      <c r="G1410">
        <v>12</v>
      </c>
      <c r="H1410" s="86">
        <v>45967.756049004602</v>
      </c>
      <c r="I1410" s="86">
        <v>45967.861569687499</v>
      </c>
      <c r="J1410" s="87">
        <v>2.5324963888888901</v>
      </c>
      <c r="K1410" s="69" t="s">
        <v>274</v>
      </c>
      <c r="P1410" s="71" t="s">
        <v>275</v>
      </c>
      <c r="Q1410" s="88">
        <v>1.00240734014314E-2</v>
      </c>
      <c r="R1410" s="89" t="s">
        <v>276</v>
      </c>
      <c r="T1410">
        <v>7.9</v>
      </c>
      <c r="U1410" s="76">
        <v>0.2</v>
      </c>
      <c r="V1410">
        <v>11.2</v>
      </c>
      <c r="W1410" s="90">
        <v>0.1</v>
      </c>
      <c r="AG1410" s="91">
        <v>0</v>
      </c>
      <c r="AK1410" s="71">
        <v>0.15</v>
      </c>
      <c r="AL1410" s="88">
        <v>3.3054500450014401E-2</v>
      </c>
      <c r="AM1410" s="89">
        <f t="shared" si="21"/>
        <v>0.22036333633342936</v>
      </c>
    </row>
    <row r="1411" spans="1:39" x14ac:dyDescent="0.25">
      <c r="A1411" t="s">
        <v>44</v>
      </c>
      <c r="B1411" t="s">
        <v>52</v>
      </c>
      <c r="C1411" s="121" t="s">
        <v>174</v>
      </c>
      <c r="D1411" t="s">
        <v>205</v>
      </c>
      <c r="E1411" t="s">
        <v>57</v>
      </c>
      <c r="F1411">
        <v>1</v>
      </c>
      <c r="G1411">
        <v>13</v>
      </c>
      <c r="H1411" s="86">
        <v>45967.861569687499</v>
      </c>
      <c r="I1411" s="86">
        <v>45967.967092314801</v>
      </c>
      <c r="J1411" s="87">
        <v>2.5325430555555601</v>
      </c>
      <c r="K1411" s="69" t="s">
        <v>274</v>
      </c>
      <c r="P1411" s="71" t="s">
        <v>275</v>
      </c>
      <c r="Q1411" s="88">
        <v>7.3958009681376899E-3</v>
      </c>
      <c r="R1411" s="89" t="s">
        <v>276</v>
      </c>
      <c r="T1411">
        <v>6.8</v>
      </c>
      <c r="U1411" s="76">
        <v>0.2</v>
      </c>
      <c r="V1411">
        <v>10.9</v>
      </c>
      <c r="W1411" s="90">
        <v>0.1</v>
      </c>
      <c r="AG1411" s="91">
        <v>0</v>
      </c>
      <c r="AK1411" s="71">
        <v>0.15</v>
      </c>
      <c r="AL1411" s="88">
        <v>3.3054500450014401E-2</v>
      </c>
      <c r="AM1411" s="89">
        <f t="shared" si="21"/>
        <v>0.22036333633342936</v>
      </c>
    </row>
    <row r="1412" spans="1:39" x14ac:dyDescent="0.25">
      <c r="A1412" t="s">
        <v>44</v>
      </c>
      <c r="B1412" t="s">
        <v>52</v>
      </c>
      <c r="C1412" s="121" t="s">
        <v>174</v>
      </c>
      <c r="D1412" t="s">
        <v>205</v>
      </c>
      <c r="E1412" t="s">
        <v>57</v>
      </c>
      <c r="F1412">
        <v>1</v>
      </c>
      <c r="G1412">
        <v>14</v>
      </c>
      <c r="H1412" s="86">
        <v>45967.967092314801</v>
      </c>
      <c r="I1412" s="86">
        <v>45968.072609652801</v>
      </c>
      <c r="J1412" s="87">
        <v>2.5324161111111101</v>
      </c>
      <c r="K1412" s="69" t="s">
        <v>274</v>
      </c>
      <c r="P1412" s="71" t="s">
        <v>275</v>
      </c>
      <c r="Q1412" s="88">
        <v>9.1369627711694896E-3</v>
      </c>
      <c r="R1412" s="89" t="s">
        <v>276</v>
      </c>
      <c r="T1412">
        <v>7.1</v>
      </c>
      <c r="U1412" s="76">
        <v>0.2</v>
      </c>
      <c r="V1412">
        <v>10.7</v>
      </c>
      <c r="W1412" s="90">
        <v>0.1</v>
      </c>
      <c r="AG1412" s="91">
        <v>0</v>
      </c>
      <c r="AK1412" s="71">
        <v>0.15</v>
      </c>
      <c r="AL1412" s="88">
        <v>3.3054500450014401E-2</v>
      </c>
      <c r="AM1412" s="89">
        <f t="shared" si="21"/>
        <v>0.22036333633342936</v>
      </c>
    </row>
    <row r="1413" spans="1:39" x14ac:dyDescent="0.25">
      <c r="A1413" t="s">
        <v>44</v>
      </c>
      <c r="B1413" t="s">
        <v>52</v>
      </c>
      <c r="C1413" s="121" t="s">
        <v>174</v>
      </c>
      <c r="D1413" t="s">
        <v>205</v>
      </c>
      <c r="E1413" t="s">
        <v>57</v>
      </c>
      <c r="F1413">
        <v>1</v>
      </c>
      <c r="G1413">
        <v>15</v>
      </c>
      <c r="H1413" s="86">
        <v>45968.072609652801</v>
      </c>
      <c r="I1413" s="86">
        <v>45968.178147025501</v>
      </c>
      <c r="J1413" s="87">
        <v>2.53289694444444</v>
      </c>
      <c r="K1413" s="69" t="s">
        <v>274</v>
      </c>
      <c r="P1413" s="71" t="s">
        <v>275</v>
      </c>
      <c r="Q1413" s="88">
        <v>6.5741301815507901E-3</v>
      </c>
      <c r="R1413" s="89" t="s">
        <v>276</v>
      </c>
      <c r="T1413">
        <v>4.8</v>
      </c>
      <c r="U1413" s="76">
        <v>0.2</v>
      </c>
      <c r="V1413">
        <v>10.5</v>
      </c>
      <c r="W1413" s="90">
        <v>0.1</v>
      </c>
      <c r="AG1413" s="91">
        <v>0</v>
      </c>
      <c r="AK1413" s="71">
        <v>0.15</v>
      </c>
      <c r="AL1413" s="88">
        <v>3.3054500450014401E-2</v>
      </c>
      <c r="AM1413" s="89">
        <f t="shared" ref="AM1413:AM1476" si="22">AL1413/AK1413</f>
        <v>0.22036333633342936</v>
      </c>
    </row>
    <row r="1414" spans="1:39" x14ac:dyDescent="0.25">
      <c r="A1414" t="s">
        <v>44</v>
      </c>
      <c r="B1414" t="s">
        <v>52</v>
      </c>
      <c r="C1414" s="121" t="s">
        <v>174</v>
      </c>
      <c r="D1414" t="s">
        <v>205</v>
      </c>
      <c r="E1414" t="s">
        <v>57</v>
      </c>
      <c r="F1414">
        <v>1</v>
      </c>
      <c r="G1414">
        <v>16</v>
      </c>
      <c r="H1414" s="86">
        <v>45968.178147025501</v>
      </c>
      <c r="I1414" s="86">
        <v>45968.283662777802</v>
      </c>
      <c r="J1414" s="87">
        <v>2.5323780555555602</v>
      </c>
      <c r="K1414" s="69" t="s">
        <v>274</v>
      </c>
      <c r="P1414" s="71" t="s">
        <v>275</v>
      </c>
      <c r="Q1414" s="88">
        <v>2.4090968623324302E-3</v>
      </c>
      <c r="R1414" s="89" t="s">
        <v>276</v>
      </c>
      <c r="T1414">
        <v>4</v>
      </c>
      <c r="U1414" s="76">
        <v>0.2</v>
      </c>
      <c r="V1414">
        <v>10.199999999999999</v>
      </c>
      <c r="W1414" s="90">
        <v>0.1</v>
      </c>
      <c r="AG1414" s="91">
        <v>0</v>
      </c>
      <c r="AK1414" s="71">
        <v>0.15</v>
      </c>
      <c r="AL1414" s="88">
        <v>3.3054500450014401E-2</v>
      </c>
      <c r="AM1414" s="89">
        <f t="shared" si="22"/>
        <v>0.22036333633342936</v>
      </c>
    </row>
    <row r="1415" spans="1:39" x14ac:dyDescent="0.25">
      <c r="A1415" t="s">
        <v>44</v>
      </c>
      <c r="B1415" t="s">
        <v>52</v>
      </c>
      <c r="C1415" s="121" t="s">
        <v>174</v>
      </c>
      <c r="D1415" t="s">
        <v>205</v>
      </c>
      <c r="E1415" t="s">
        <v>57</v>
      </c>
      <c r="F1415">
        <v>1</v>
      </c>
      <c r="G1415">
        <v>17</v>
      </c>
      <c r="H1415" s="86">
        <v>45968.283662777802</v>
      </c>
      <c r="I1415" s="86">
        <v>45968.389188831003</v>
      </c>
      <c r="J1415" s="87">
        <v>2.5326252777777798</v>
      </c>
      <c r="K1415" s="69" t="s">
        <v>274</v>
      </c>
      <c r="P1415" s="71" t="s">
        <v>275</v>
      </c>
      <c r="Q1415" s="88">
        <v>4.0096062006526904E-3</v>
      </c>
      <c r="R1415" s="89" t="s">
        <v>276</v>
      </c>
      <c r="T1415">
        <v>6.3</v>
      </c>
      <c r="U1415" s="76">
        <v>0.2</v>
      </c>
      <c r="V1415">
        <v>9.9</v>
      </c>
      <c r="W1415" s="90">
        <v>0.1</v>
      </c>
      <c r="AG1415" s="91">
        <v>0</v>
      </c>
      <c r="AK1415" s="71">
        <v>0.15</v>
      </c>
      <c r="AL1415" s="88">
        <v>3.3054500450014401E-2</v>
      </c>
      <c r="AM1415" s="89">
        <f t="shared" si="22"/>
        <v>0.22036333633342936</v>
      </c>
    </row>
    <row r="1416" spans="1:39" x14ac:dyDescent="0.25">
      <c r="A1416" t="s">
        <v>44</v>
      </c>
      <c r="B1416" t="s">
        <v>52</v>
      </c>
      <c r="C1416" s="121" t="s">
        <v>174</v>
      </c>
      <c r="D1416" t="s">
        <v>205</v>
      </c>
      <c r="E1416" t="s">
        <v>57</v>
      </c>
      <c r="F1416">
        <v>1</v>
      </c>
      <c r="G1416">
        <v>18</v>
      </c>
      <c r="H1416" s="86">
        <v>45968.389188831003</v>
      </c>
      <c r="I1416" s="86">
        <v>45968.494718078698</v>
      </c>
      <c r="J1416" s="87">
        <v>2.5327019444444501</v>
      </c>
      <c r="K1416" s="69" t="s">
        <v>274</v>
      </c>
      <c r="P1416" s="71" t="s">
        <v>275</v>
      </c>
      <c r="Q1416" s="88">
        <v>7.1887947178468203E-3</v>
      </c>
      <c r="R1416" s="89" t="s">
        <v>276</v>
      </c>
      <c r="T1416">
        <v>7.7</v>
      </c>
      <c r="U1416" s="76">
        <v>0.2</v>
      </c>
      <c r="V1416">
        <v>9.8000000000000007</v>
      </c>
      <c r="W1416" s="90">
        <v>0.1</v>
      </c>
      <c r="AG1416" s="91">
        <v>0</v>
      </c>
      <c r="AK1416" s="71">
        <v>0.15</v>
      </c>
      <c r="AL1416" s="88">
        <v>3.3054500450014401E-2</v>
      </c>
      <c r="AM1416" s="89">
        <f t="shared" si="22"/>
        <v>0.22036333633342936</v>
      </c>
    </row>
    <row r="1417" spans="1:39" x14ac:dyDescent="0.25">
      <c r="A1417" t="s">
        <v>44</v>
      </c>
      <c r="B1417" t="s">
        <v>52</v>
      </c>
      <c r="C1417" s="121" t="s">
        <v>174</v>
      </c>
      <c r="D1417" t="s">
        <v>205</v>
      </c>
      <c r="E1417" t="s">
        <v>57</v>
      </c>
      <c r="F1417">
        <v>1</v>
      </c>
      <c r="G1417">
        <v>19</v>
      </c>
      <c r="H1417" s="86">
        <v>45968.494718078698</v>
      </c>
      <c r="I1417" s="86">
        <v>45968.6002216204</v>
      </c>
      <c r="J1417" s="87">
        <v>2.5320849999999999</v>
      </c>
      <c r="K1417" s="69" t="s">
        <v>274</v>
      </c>
      <c r="P1417" s="71" t="s">
        <v>275</v>
      </c>
      <c r="Q1417" s="88">
        <v>2.5478780876833002E-2</v>
      </c>
      <c r="R1417" s="89" t="s">
        <v>276</v>
      </c>
      <c r="T1417">
        <v>9.4</v>
      </c>
      <c r="U1417" s="76">
        <v>0.2</v>
      </c>
      <c r="V1417">
        <v>9.9</v>
      </c>
      <c r="W1417" s="90">
        <v>0.1</v>
      </c>
      <c r="AG1417" s="91">
        <v>0</v>
      </c>
      <c r="AK1417" s="71">
        <v>0.15</v>
      </c>
      <c r="AL1417" s="88">
        <v>3.3054500450014401E-2</v>
      </c>
      <c r="AM1417" s="89">
        <f t="shared" si="22"/>
        <v>0.22036333633342936</v>
      </c>
    </row>
    <row r="1418" spans="1:39" x14ac:dyDescent="0.25">
      <c r="A1418" t="s">
        <v>44</v>
      </c>
      <c r="B1418" t="s">
        <v>52</v>
      </c>
      <c r="C1418" s="121" t="s">
        <v>174</v>
      </c>
      <c r="D1418" t="s">
        <v>205</v>
      </c>
      <c r="E1418" t="s">
        <v>57</v>
      </c>
      <c r="F1418">
        <v>1</v>
      </c>
      <c r="G1418">
        <v>20</v>
      </c>
      <c r="H1418" s="86">
        <v>45968.6002216204</v>
      </c>
      <c r="I1418" s="86">
        <v>45968.705716631899</v>
      </c>
      <c r="J1418" s="87">
        <v>2.53188027777778</v>
      </c>
      <c r="K1418" s="69" t="s">
        <v>274</v>
      </c>
      <c r="P1418" s="71" t="s">
        <v>275</v>
      </c>
      <c r="Q1418" s="88">
        <v>1.7440178669630799E-2</v>
      </c>
      <c r="R1418" s="89" t="s">
        <v>276</v>
      </c>
      <c r="T1418">
        <v>8.6999999999999993</v>
      </c>
      <c r="U1418" s="76">
        <v>0.2</v>
      </c>
      <c r="V1418">
        <v>10</v>
      </c>
      <c r="W1418" s="90">
        <v>0.1</v>
      </c>
      <c r="AG1418" s="91">
        <v>0</v>
      </c>
      <c r="AK1418" s="71">
        <v>0.15</v>
      </c>
      <c r="AL1418" s="88">
        <v>3.3054500450014401E-2</v>
      </c>
      <c r="AM1418" s="89">
        <f t="shared" si="22"/>
        <v>0.22036333633342936</v>
      </c>
    </row>
    <row r="1419" spans="1:39" x14ac:dyDescent="0.25">
      <c r="A1419" t="s">
        <v>44</v>
      </c>
      <c r="B1419" t="s">
        <v>52</v>
      </c>
      <c r="C1419" s="121" t="s">
        <v>174</v>
      </c>
      <c r="D1419" t="s">
        <v>205</v>
      </c>
      <c r="E1419" t="s">
        <v>57</v>
      </c>
      <c r="F1419">
        <v>1</v>
      </c>
      <c r="G1419">
        <v>21</v>
      </c>
      <c r="H1419" s="86">
        <v>45968.705716631899</v>
      </c>
      <c r="I1419" s="86">
        <v>45968.811224444398</v>
      </c>
      <c r="J1419" s="87">
        <v>2.5321875</v>
      </c>
      <c r="K1419" s="69" t="s">
        <v>274</v>
      </c>
      <c r="P1419" s="71" t="s">
        <v>275</v>
      </c>
      <c r="Q1419" s="88">
        <v>1.31901836541416E-2</v>
      </c>
      <c r="R1419" s="89" t="s">
        <v>276</v>
      </c>
      <c r="T1419">
        <v>7.9</v>
      </c>
      <c r="U1419" s="76">
        <v>0.2</v>
      </c>
      <c r="V1419">
        <v>10.199999999999999</v>
      </c>
      <c r="W1419" s="90">
        <v>0.1</v>
      </c>
      <c r="AG1419" s="91">
        <v>0</v>
      </c>
      <c r="AK1419" s="71">
        <v>0.15</v>
      </c>
      <c r="AL1419" s="88">
        <v>3.3054500450014401E-2</v>
      </c>
      <c r="AM1419" s="89">
        <f t="shared" si="22"/>
        <v>0.22036333633342936</v>
      </c>
    </row>
    <row r="1420" spans="1:39" x14ac:dyDescent="0.25">
      <c r="A1420" t="s">
        <v>44</v>
      </c>
      <c r="B1420" t="s">
        <v>52</v>
      </c>
      <c r="C1420" s="121" t="s">
        <v>174</v>
      </c>
      <c r="D1420" t="s">
        <v>205</v>
      </c>
      <c r="E1420" t="s">
        <v>57</v>
      </c>
      <c r="F1420">
        <v>1</v>
      </c>
      <c r="G1420">
        <v>22</v>
      </c>
      <c r="H1420" s="86">
        <v>45968.811224444398</v>
      </c>
      <c r="I1420" s="86">
        <v>45968.916725034702</v>
      </c>
      <c r="J1420" s="87">
        <v>2.53201416666667</v>
      </c>
      <c r="K1420" s="69" t="s">
        <v>274</v>
      </c>
      <c r="P1420" s="71" t="s">
        <v>275</v>
      </c>
      <c r="Q1420" s="88">
        <v>9.3190139059384294E-3</v>
      </c>
      <c r="R1420" s="89" t="s">
        <v>276</v>
      </c>
      <c r="T1420">
        <v>7.9</v>
      </c>
      <c r="U1420" s="76">
        <v>0.2</v>
      </c>
      <c r="V1420">
        <v>10.199999999999999</v>
      </c>
      <c r="W1420" s="90">
        <v>0.1</v>
      </c>
      <c r="AG1420" s="91">
        <v>0</v>
      </c>
      <c r="AK1420" s="71">
        <v>0.15</v>
      </c>
      <c r="AL1420" s="88">
        <v>3.3054500450014401E-2</v>
      </c>
      <c r="AM1420" s="89">
        <f t="shared" si="22"/>
        <v>0.22036333633342936</v>
      </c>
    </row>
    <row r="1421" spans="1:39" x14ac:dyDescent="0.25">
      <c r="A1421" t="s">
        <v>44</v>
      </c>
      <c r="B1421" t="s">
        <v>52</v>
      </c>
      <c r="C1421" s="121" t="s">
        <v>174</v>
      </c>
      <c r="D1421" t="s">
        <v>205</v>
      </c>
      <c r="E1421" t="s">
        <v>57</v>
      </c>
      <c r="F1421">
        <v>1</v>
      </c>
      <c r="G1421">
        <v>23</v>
      </c>
      <c r="H1421" s="86">
        <v>45968.916725034702</v>
      </c>
      <c r="I1421" s="86">
        <v>45969.022213611097</v>
      </c>
      <c r="J1421" s="87">
        <v>2.5317258333333301</v>
      </c>
      <c r="K1421" s="69" t="s">
        <v>274</v>
      </c>
      <c r="P1421" s="71" t="s">
        <v>275</v>
      </c>
      <c r="Q1421" s="88">
        <v>7.62316613959066E-3</v>
      </c>
      <c r="R1421" s="89" t="s">
        <v>276</v>
      </c>
      <c r="T1421">
        <v>7.9</v>
      </c>
      <c r="U1421" s="76">
        <v>0.2</v>
      </c>
      <c r="V1421">
        <v>10.199999999999999</v>
      </c>
      <c r="W1421" s="90">
        <v>0.1</v>
      </c>
      <c r="AG1421" s="91">
        <v>0</v>
      </c>
      <c r="AK1421" s="71">
        <v>0.15</v>
      </c>
      <c r="AL1421" s="88">
        <v>3.3054500450014401E-2</v>
      </c>
      <c r="AM1421" s="89">
        <f t="shared" si="22"/>
        <v>0.22036333633342936</v>
      </c>
    </row>
    <row r="1422" spans="1:39" x14ac:dyDescent="0.25">
      <c r="A1422" t="s">
        <v>44</v>
      </c>
      <c r="B1422" t="s">
        <v>52</v>
      </c>
      <c r="C1422" s="121" t="s">
        <v>174</v>
      </c>
      <c r="D1422" t="s">
        <v>205</v>
      </c>
      <c r="E1422" t="s">
        <v>57</v>
      </c>
      <c r="F1422">
        <v>1</v>
      </c>
      <c r="G1422">
        <v>24</v>
      </c>
      <c r="H1422" s="86">
        <v>45969.022213611097</v>
      </c>
      <c r="I1422" s="86">
        <v>45969.127725266197</v>
      </c>
      <c r="J1422" s="87">
        <v>2.5322797222222202</v>
      </c>
      <c r="K1422" s="69" t="s">
        <v>274</v>
      </c>
      <c r="P1422" s="71" t="s">
        <v>275</v>
      </c>
      <c r="Q1422" s="88">
        <v>9.0987501328122292E-3</v>
      </c>
      <c r="R1422" s="89" t="s">
        <v>276</v>
      </c>
      <c r="T1422">
        <v>8.1999999999999993</v>
      </c>
      <c r="U1422" s="76">
        <v>0.2</v>
      </c>
      <c r="V1422">
        <v>10.1</v>
      </c>
      <c r="W1422" s="90">
        <v>0.1</v>
      </c>
      <c r="AG1422" s="91">
        <v>0</v>
      </c>
      <c r="AK1422" s="71">
        <v>0.15</v>
      </c>
      <c r="AL1422" s="88">
        <v>3.3054500450014401E-2</v>
      </c>
      <c r="AM1422" s="89">
        <f t="shared" si="22"/>
        <v>0.22036333633342936</v>
      </c>
    </row>
    <row r="1423" spans="1:39" x14ac:dyDescent="0.25">
      <c r="A1423" t="s">
        <v>44</v>
      </c>
      <c r="B1423" t="s">
        <v>52</v>
      </c>
      <c r="C1423" s="121" t="s">
        <v>174</v>
      </c>
      <c r="D1423" t="s">
        <v>205</v>
      </c>
      <c r="E1423" t="s">
        <v>57</v>
      </c>
      <c r="F1423">
        <v>1</v>
      </c>
      <c r="G1423">
        <v>25</v>
      </c>
      <c r="H1423" s="86">
        <v>45969.127725266197</v>
      </c>
      <c r="I1423" s="86">
        <v>45969.233212789397</v>
      </c>
      <c r="J1423" s="87">
        <v>2.5317005555555601</v>
      </c>
      <c r="K1423" s="69" t="s">
        <v>274</v>
      </c>
      <c r="P1423" s="71" t="s">
        <v>275</v>
      </c>
      <c r="Q1423" s="88">
        <v>8.7173466654088105E-3</v>
      </c>
      <c r="R1423" s="89" t="s">
        <v>276</v>
      </c>
      <c r="T1423">
        <v>8.1999999999999993</v>
      </c>
      <c r="U1423" s="76">
        <v>0.2</v>
      </c>
      <c r="V1423">
        <v>10.1</v>
      </c>
      <c r="W1423" s="90">
        <v>0.1</v>
      </c>
      <c r="AG1423" s="91">
        <v>0</v>
      </c>
      <c r="AK1423" s="71">
        <v>0.15</v>
      </c>
      <c r="AL1423" s="88">
        <v>3.3054500450014401E-2</v>
      </c>
      <c r="AM1423" s="89">
        <f t="shared" si="22"/>
        <v>0.22036333633342936</v>
      </c>
    </row>
    <row r="1424" spans="1:39" x14ac:dyDescent="0.25">
      <c r="A1424" t="s">
        <v>44</v>
      </c>
      <c r="B1424" t="s">
        <v>52</v>
      </c>
      <c r="C1424" s="121" t="s">
        <v>174</v>
      </c>
      <c r="D1424" t="s">
        <v>205</v>
      </c>
      <c r="E1424" t="s">
        <v>57</v>
      </c>
      <c r="F1424">
        <v>1</v>
      </c>
      <c r="G1424">
        <v>26</v>
      </c>
      <c r="H1424" s="86">
        <v>45969.233212789397</v>
      </c>
      <c r="I1424" s="86">
        <v>45969.338716597202</v>
      </c>
      <c r="J1424" s="87">
        <v>2.5320913888888898</v>
      </c>
      <c r="K1424" s="69" t="s">
        <v>274</v>
      </c>
      <c r="P1424" s="71" t="s">
        <v>275</v>
      </c>
      <c r="Q1424" s="88">
        <v>8.1339215833570594E-3</v>
      </c>
      <c r="R1424" s="89" t="s">
        <v>276</v>
      </c>
      <c r="T1424">
        <v>8</v>
      </c>
      <c r="U1424" s="76">
        <v>0.2</v>
      </c>
      <c r="V1424">
        <v>10.1</v>
      </c>
      <c r="W1424" s="90">
        <v>0.1</v>
      </c>
      <c r="AG1424" s="91">
        <v>0</v>
      </c>
      <c r="AK1424" s="71">
        <v>0.15</v>
      </c>
      <c r="AL1424" s="88">
        <v>3.3054500450014401E-2</v>
      </c>
      <c r="AM1424" s="89">
        <f t="shared" si="22"/>
        <v>0.22036333633342936</v>
      </c>
    </row>
    <row r="1425" spans="1:39" x14ac:dyDescent="0.25">
      <c r="A1425" t="s">
        <v>44</v>
      </c>
      <c r="B1425" t="s">
        <v>52</v>
      </c>
      <c r="C1425" s="121" t="s">
        <v>174</v>
      </c>
      <c r="D1425" t="s">
        <v>205</v>
      </c>
      <c r="E1425" t="s">
        <v>57</v>
      </c>
      <c r="F1425">
        <v>1</v>
      </c>
      <c r="G1425">
        <v>27</v>
      </c>
      <c r="H1425" s="86">
        <v>45969.338716597202</v>
      </c>
      <c r="I1425" s="86">
        <v>45969.444223888902</v>
      </c>
      <c r="J1425" s="87">
        <v>2.5321750000000001</v>
      </c>
      <c r="K1425" s="69" t="s">
        <v>274</v>
      </c>
      <c r="P1425" s="71" t="s">
        <v>275</v>
      </c>
      <c r="Q1425" s="88">
        <v>8.0350167261600894E-3</v>
      </c>
      <c r="R1425" s="89" t="s">
        <v>276</v>
      </c>
      <c r="T1425">
        <v>8.1</v>
      </c>
      <c r="U1425" s="76">
        <v>0.2</v>
      </c>
      <c r="V1425">
        <v>10.1</v>
      </c>
      <c r="W1425" s="90">
        <v>0.1</v>
      </c>
      <c r="AG1425" s="91">
        <v>0</v>
      </c>
      <c r="AK1425" s="71">
        <v>0.15</v>
      </c>
      <c r="AL1425" s="88">
        <v>3.3054500450014401E-2</v>
      </c>
      <c r="AM1425" s="89">
        <f t="shared" si="22"/>
        <v>0.22036333633342936</v>
      </c>
    </row>
    <row r="1426" spans="1:39" x14ac:dyDescent="0.25">
      <c r="A1426" t="s">
        <v>44</v>
      </c>
      <c r="B1426" t="s">
        <v>52</v>
      </c>
      <c r="C1426" s="121" t="s">
        <v>174</v>
      </c>
      <c r="D1426" t="s">
        <v>205</v>
      </c>
      <c r="E1426" t="s">
        <v>57</v>
      </c>
      <c r="F1426">
        <v>1</v>
      </c>
      <c r="G1426">
        <v>28</v>
      </c>
      <c r="H1426" s="86">
        <v>45969.444223888902</v>
      </c>
      <c r="I1426" s="86">
        <v>45969.549734212997</v>
      </c>
      <c r="J1426" s="87">
        <v>2.5322477777777799</v>
      </c>
      <c r="K1426" s="69" t="s">
        <v>274</v>
      </c>
      <c r="P1426" s="71" t="s">
        <v>275</v>
      </c>
      <c r="Q1426" s="88">
        <v>1.0539626052836299E-2</v>
      </c>
      <c r="R1426" s="89" t="s">
        <v>276</v>
      </c>
      <c r="T1426">
        <v>8.5</v>
      </c>
      <c r="U1426" s="76">
        <v>0.2</v>
      </c>
      <c r="V1426">
        <v>10.1</v>
      </c>
      <c r="W1426" s="90">
        <v>0.1</v>
      </c>
      <c r="AG1426" s="91">
        <v>0</v>
      </c>
      <c r="AK1426" s="71">
        <v>0.15</v>
      </c>
      <c r="AL1426" s="88">
        <v>3.3054500450014401E-2</v>
      </c>
      <c r="AM1426" s="89">
        <f t="shared" si="22"/>
        <v>0.22036333633342936</v>
      </c>
    </row>
    <row r="1427" spans="1:39" x14ac:dyDescent="0.25">
      <c r="A1427" t="s">
        <v>44</v>
      </c>
      <c r="B1427" t="s">
        <v>52</v>
      </c>
      <c r="C1427" s="121" t="s">
        <v>174</v>
      </c>
      <c r="D1427" t="s">
        <v>205</v>
      </c>
      <c r="E1427" t="s">
        <v>57</v>
      </c>
      <c r="F1427">
        <v>1</v>
      </c>
      <c r="G1427">
        <v>29</v>
      </c>
      <c r="H1427" s="86">
        <v>45969.549734212997</v>
      </c>
      <c r="I1427" s="86">
        <v>45969.655221539397</v>
      </c>
      <c r="J1427" s="87">
        <v>2.5316958333333299</v>
      </c>
      <c r="K1427" s="69" t="s">
        <v>274</v>
      </c>
      <c r="P1427" s="71" t="s">
        <v>275</v>
      </c>
      <c r="Q1427" s="88">
        <v>1.04147084397079E-2</v>
      </c>
      <c r="R1427" s="89" t="s">
        <v>276</v>
      </c>
      <c r="T1427">
        <v>8.6999999999999993</v>
      </c>
      <c r="U1427" s="76">
        <v>0.2</v>
      </c>
      <c r="V1427">
        <v>10.199999999999999</v>
      </c>
      <c r="W1427" s="90">
        <v>0.1</v>
      </c>
      <c r="AG1427" s="91">
        <v>0</v>
      </c>
      <c r="AK1427" s="71">
        <v>0.15</v>
      </c>
      <c r="AL1427" s="88">
        <v>3.3054500450014401E-2</v>
      </c>
      <c r="AM1427" s="89">
        <f t="shared" si="22"/>
        <v>0.22036333633342936</v>
      </c>
    </row>
    <row r="1428" spans="1:39" x14ac:dyDescent="0.25">
      <c r="A1428" t="s">
        <v>44</v>
      </c>
      <c r="B1428" t="s">
        <v>52</v>
      </c>
      <c r="C1428" s="121" t="s">
        <v>174</v>
      </c>
      <c r="D1428" t="s">
        <v>205</v>
      </c>
      <c r="E1428" t="s">
        <v>57</v>
      </c>
      <c r="F1428">
        <v>1</v>
      </c>
      <c r="G1428">
        <v>30</v>
      </c>
      <c r="H1428" s="86">
        <v>45969.655221539397</v>
      </c>
      <c r="I1428" s="86">
        <v>45969.760727303197</v>
      </c>
      <c r="J1428" s="87">
        <v>2.53213833333333</v>
      </c>
      <c r="K1428" s="69" t="s">
        <v>274</v>
      </c>
      <c r="P1428" s="71" t="s">
        <v>275</v>
      </c>
      <c r="Q1428" s="88">
        <v>8.38473005972693E-3</v>
      </c>
      <c r="R1428" s="89" t="s">
        <v>276</v>
      </c>
      <c r="T1428">
        <v>8.1999999999999993</v>
      </c>
      <c r="U1428" s="76">
        <v>0.2</v>
      </c>
      <c r="V1428">
        <v>10.199999999999999</v>
      </c>
      <c r="W1428" s="90">
        <v>0.1</v>
      </c>
      <c r="AG1428" s="91">
        <v>0</v>
      </c>
      <c r="AK1428" s="71">
        <v>0.15</v>
      </c>
      <c r="AL1428" s="88">
        <v>3.3054500450014401E-2</v>
      </c>
      <c r="AM1428" s="89">
        <f t="shared" si="22"/>
        <v>0.22036333633342936</v>
      </c>
    </row>
    <row r="1429" spans="1:39" x14ac:dyDescent="0.25">
      <c r="A1429" t="s">
        <v>44</v>
      </c>
      <c r="B1429" t="s">
        <v>52</v>
      </c>
      <c r="C1429" s="121" t="s">
        <v>174</v>
      </c>
      <c r="D1429" t="s">
        <v>205</v>
      </c>
      <c r="E1429" t="s">
        <v>57</v>
      </c>
      <c r="F1429">
        <v>1</v>
      </c>
      <c r="G1429">
        <v>31</v>
      </c>
      <c r="H1429" s="86">
        <v>45969.760727303197</v>
      </c>
      <c r="I1429" s="86">
        <v>45969.866228368097</v>
      </c>
      <c r="J1429" s="87">
        <v>2.5320255555555602</v>
      </c>
      <c r="K1429" s="69" t="s">
        <v>274</v>
      </c>
      <c r="P1429" s="71" t="s">
        <v>275</v>
      </c>
      <c r="Q1429" s="88">
        <v>7.5046790062948E-3</v>
      </c>
      <c r="R1429" s="89" t="s">
        <v>276</v>
      </c>
      <c r="T1429">
        <v>8</v>
      </c>
      <c r="U1429" s="76">
        <v>0.2</v>
      </c>
      <c r="V1429">
        <v>10.199999999999999</v>
      </c>
      <c r="W1429" s="90">
        <v>0.1</v>
      </c>
      <c r="AG1429" s="91">
        <v>0</v>
      </c>
      <c r="AK1429" s="71">
        <v>0.15</v>
      </c>
      <c r="AL1429" s="88">
        <v>3.3054500450014401E-2</v>
      </c>
      <c r="AM1429" s="89">
        <f t="shared" si="22"/>
        <v>0.22036333633342936</v>
      </c>
    </row>
    <row r="1430" spans="1:39" x14ac:dyDescent="0.25">
      <c r="A1430" t="s">
        <v>44</v>
      </c>
      <c r="B1430" t="s">
        <v>52</v>
      </c>
      <c r="C1430" s="121" t="s">
        <v>174</v>
      </c>
      <c r="D1430" t="s">
        <v>205</v>
      </c>
      <c r="E1430" t="s">
        <v>57</v>
      </c>
      <c r="F1430">
        <v>1</v>
      </c>
      <c r="G1430">
        <v>32</v>
      </c>
      <c r="H1430" s="86">
        <v>45969.866228368097</v>
      </c>
      <c r="I1430" s="86">
        <v>45969.971722245398</v>
      </c>
      <c r="J1430" s="87">
        <v>2.5318530555555601</v>
      </c>
      <c r="K1430" s="69" t="s">
        <v>274</v>
      </c>
      <c r="P1430" s="71" t="s">
        <v>275</v>
      </c>
      <c r="Q1430" s="88">
        <v>8.5664639985899901E-3</v>
      </c>
      <c r="R1430" s="89" t="s">
        <v>276</v>
      </c>
      <c r="T1430">
        <v>7.8</v>
      </c>
      <c r="U1430" s="76">
        <v>0.2</v>
      </c>
      <c r="V1430">
        <v>10.199999999999999</v>
      </c>
      <c r="W1430" s="90">
        <v>0.1</v>
      </c>
      <c r="AG1430" s="91">
        <v>0</v>
      </c>
      <c r="AK1430" s="71">
        <v>0.15</v>
      </c>
      <c r="AL1430" s="88">
        <v>3.3054500450014401E-2</v>
      </c>
      <c r="AM1430" s="89">
        <f t="shared" si="22"/>
        <v>0.22036333633342936</v>
      </c>
    </row>
    <row r="1431" spans="1:39" x14ac:dyDescent="0.25">
      <c r="A1431" t="s">
        <v>44</v>
      </c>
      <c r="B1431" t="s">
        <v>52</v>
      </c>
      <c r="C1431" s="121" t="s">
        <v>174</v>
      </c>
      <c r="D1431" t="s">
        <v>205</v>
      </c>
      <c r="E1431" t="s">
        <v>57</v>
      </c>
      <c r="F1431">
        <v>1</v>
      </c>
      <c r="G1431">
        <v>33</v>
      </c>
      <c r="H1431" s="86">
        <v>45969.971722245398</v>
      </c>
      <c r="I1431" s="86">
        <v>45970.077233298602</v>
      </c>
      <c r="J1431" s="87">
        <v>2.5322652777777801</v>
      </c>
      <c r="K1431" s="69" t="s">
        <v>274</v>
      </c>
      <c r="P1431" s="71" t="s">
        <v>275</v>
      </c>
      <c r="Q1431" s="88">
        <v>7.4498518526815403E-3</v>
      </c>
      <c r="R1431" s="89" t="s">
        <v>276</v>
      </c>
      <c r="T1431">
        <v>7.8</v>
      </c>
      <c r="U1431" s="76">
        <v>0.2</v>
      </c>
      <c r="V1431">
        <v>10.199999999999999</v>
      </c>
      <c r="W1431" s="90">
        <v>0.1</v>
      </c>
      <c r="AG1431" s="91">
        <v>0.1</v>
      </c>
      <c r="AK1431" s="71">
        <v>0.15</v>
      </c>
      <c r="AL1431" s="88">
        <v>3.3054500450014401E-2</v>
      </c>
      <c r="AM1431" s="89">
        <f t="shared" si="22"/>
        <v>0.22036333633342936</v>
      </c>
    </row>
    <row r="1432" spans="1:39" x14ac:dyDescent="0.25">
      <c r="A1432" t="s">
        <v>44</v>
      </c>
      <c r="B1432" t="s">
        <v>52</v>
      </c>
      <c r="C1432" s="121" t="s">
        <v>174</v>
      </c>
      <c r="D1432" t="s">
        <v>205</v>
      </c>
      <c r="E1432" t="s">
        <v>57</v>
      </c>
      <c r="F1432">
        <v>1</v>
      </c>
      <c r="G1432">
        <v>34</v>
      </c>
      <c r="H1432" s="86">
        <v>45970.077233298602</v>
      </c>
      <c r="I1432" s="86">
        <v>45970.182742511599</v>
      </c>
      <c r="J1432" s="87">
        <v>2.5322211111111099</v>
      </c>
      <c r="K1432" s="69" t="s">
        <v>274</v>
      </c>
      <c r="P1432" s="71" t="s">
        <v>275</v>
      </c>
      <c r="Q1432" s="88">
        <v>7.2921111387604402E-3</v>
      </c>
      <c r="R1432" s="89" t="s">
        <v>276</v>
      </c>
      <c r="T1432">
        <v>7.2</v>
      </c>
      <c r="U1432" s="76">
        <v>0.2</v>
      </c>
      <c r="V1432">
        <v>10.1</v>
      </c>
      <c r="W1432" s="90">
        <v>0.1</v>
      </c>
      <c r="AG1432" s="91">
        <v>0.1</v>
      </c>
      <c r="AK1432" s="71">
        <v>0.15</v>
      </c>
      <c r="AL1432" s="88">
        <v>3.3054500450014401E-2</v>
      </c>
      <c r="AM1432" s="89">
        <f t="shared" si="22"/>
        <v>0.22036333633342936</v>
      </c>
    </row>
    <row r="1433" spans="1:39" x14ac:dyDescent="0.25">
      <c r="A1433" t="s">
        <v>44</v>
      </c>
      <c r="B1433" t="s">
        <v>52</v>
      </c>
      <c r="C1433" s="121" t="s">
        <v>174</v>
      </c>
      <c r="D1433" t="s">
        <v>205</v>
      </c>
      <c r="E1433" t="s">
        <v>57</v>
      </c>
      <c r="F1433">
        <v>1</v>
      </c>
      <c r="G1433">
        <v>35</v>
      </c>
      <c r="H1433" s="86">
        <v>45970.182742511599</v>
      </c>
      <c r="I1433" s="86">
        <v>45970.288244120398</v>
      </c>
      <c r="J1433" s="87">
        <v>2.5320386111111102</v>
      </c>
      <c r="K1433" s="69" t="s">
        <v>274</v>
      </c>
      <c r="P1433" s="71" t="s">
        <v>275</v>
      </c>
      <c r="Q1433" s="88">
        <v>7.2270293428286303E-3</v>
      </c>
      <c r="R1433" s="89" t="s">
        <v>276</v>
      </c>
      <c r="T1433">
        <v>6.9</v>
      </c>
      <c r="U1433" s="76">
        <v>0.2</v>
      </c>
      <c r="V1433">
        <v>10.1</v>
      </c>
      <c r="W1433" s="90">
        <v>0.1</v>
      </c>
      <c r="AG1433" s="91">
        <v>0</v>
      </c>
      <c r="AK1433" s="71">
        <v>0.15</v>
      </c>
      <c r="AL1433" s="88">
        <v>3.3054500450014401E-2</v>
      </c>
      <c r="AM1433" s="89">
        <f t="shared" si="22"/>
        <v>0.22036333633342936</v>
      </c>
    </row>
    <row r="1434" spans="1:39" x14ac:dyDescent="0.25">
      <c r="A1434" t="s">
        <v>44</v>
      </c>
      <c r="B1434" t="s">
        <v>52</v>
      </c>
      <c r="C1434" s="121" t="s">
        <v>174</v>
      </c>
      <c r="D1434" t="s">
        <v>205</v>
      </c>
      <c r="E1434" t="s">
        <v>57</v>
      </c>
      <c r="F1434">
        <v>1</v>
      </c>
      <c r="G1434">
        <v>36</v>
      </c>
      <c r="H1434" s="86">
        <v>45970.288244120398</v>
      </c>
      <c r="I1434" s="86">
        <v>45970.393748773196</v>
      </c>
      <c r="J1434" s="87">
        <v>2.5321116666666699</v>
      </c>
      <c r="K1434" s="69" t="s">
        <v>274</v>
      </c>
      <c r="P1434" s="71" t="s">
        <v>275</v>
      </c>
      <c r="Q1434" s="88">
        <v>7.33758805935655E-3</v>
      </c>
      <c r="R1434" s="89" t="s">
        <v>276</v>
      </c>
      <c r="T1434">
        <v>6.8</v>
      </c>
      <c r="U1434" s="76">
        <v>0.2</v>
      </c>
      <c r="V1434">
        <v>10</v>
      </c>
      <c r="W1434" s="90">
        <v>0.1</v>
      </c>
      <c r="AG1434" s="91">
        <v>0</v>
      </c>
      <c r="AK1434" s="71">
        <v>0.15</v>
      </c>
      <c r="AL1434" s="88">
        <v>3.3054500450014401E-2</v>
      </c>
      <c r="AM1434" s="89">
        <f t="shared" si="22"/>
        <v>0.22036333633342936</v>
      </c>
    </row>
    <row r="1435" spans="1:39" x14ac:dyDescent="0.25">
      <c r="A1435" t="s">
        <v>44</v>
      </c>
      <c r="B1435" t="s">
        <v>52</v>
      </c>
      <c r="C1435" s="121" t="s">
        <v>174</v>
      </c>
      <c r="D1435" t="s">
        <v>205</v>
      </c>
      <c r="E1435" t="s">
        <v>57</v>
      </c>
      <c r="F1435">
        <v>1</v>
      </c>
      <c r="G1435">
        <v>37</v>
      </c>
      <c r="H1435" s="86">
        <v>45970.393748773196</v>
      </c>
      <c r="I1435" s="86">
        <v>45970.4992417014</v>
      </c>
      <c r="J1435" s="87">
        <v>2.5318302777777801</v>
      </c>
      <c r="K1435" s="69" t="s">
        <v>274</v>
      </c>
      <c r="P1435" s="71" t="s">
        <v>275</v>
      </c>
      <c r="Q1435" s="88">
        <v>8.7964836475993499E-3</v>
      </c>
      <c r="R1435" s="89" t="s">
        <v>276</v>
      </c>
      <c r="T1435">
        <v>7</v>
      </c>
      <c r="U1435" s="76">
        <v>0.2</v>
      </c>
      <c r="V1435">
        <v>10</v>
      </c>
      <c r="W1435" s="90">
        <v>0.1</v>
      </c>
      <c r="AG1435" s="91">
        <v>0</v>
      </c>
      <c r="AK1435" s="71">
        <v>0.15</v>
      </c>
      <c r="AL1435" s="88">
        <v>3.3054500450014401E-2</v>
      </c>
      <c r="AM1435" s="89">
        <f t="shared" si="22"/>
        <v>0.22036333633342936</v>
      </c>
    </row>
    <row r="1436" spans="1:39" x14ac:dyDescent="0.25">
      <c r="A1436" t="s">
        <v>44</v>
      </c>
      <c r="B1436" t="s">
        <v>52</v>
      </c>
      <c r="C1436" s="121" t="s">
        <v>174</v>
      </c>
      <c r="D1436" t="s">
        <v>205</v>
      </c>
      <c r="E1436" t="s">
        <v>57</v>
      </c>
      <c r="F1436">
        <v>1</v>
      </c>
      <c r="G1436">
        <v>38</v>
      </c>
      <c r="H1436" s="86">
        <v>45970.4992417014</v>
      </c>
      <c r="I1436" s="86">
        <v>45970.604739467599</v>
      </c>
      <c r="J1436" s="87">
        <v>2.53194638888889</v>
      </c>
      <c r="K1436" s="69" t="s">
        <v>274</v>
      </c>
      <c r="P1436" s="71" t="s">
        <v>275</v>
      </c>
      <c r="Q1436" s="88">
        <v>1.51839934958865E-2</v>
      </c>
      <c r="R1436" s="89" t="s">
        <v>276</v>
      </c>
      <c r="T1436">
        <v>7.7</v>
      </c>
      <c r="U1436" s="76">
        <v>0.2</v>
      </c>
      <c r="V1436">
        <v>10</v>
      </c>
      <c r="W1436" s="90">
        <v>0.1</v>
      </c>
      <c r="AG1436" s="91">
        <v>0</v>
      </c>
      <c r="AK1436" s="71">
        <v>0.15</v>
      </c>
      <c r="AL1436" s="88">
        <v>3.3054500450014401E-2</v>
      </c>
      <c r="AM1436" s="89">
        <f t="shared" si="22"/>
        <v>0.22036333633342936</v>
      </c>
    </row>
    <row r="1437" spans="1:39" x14ac:dyDescent="0.25">
      <c r="A1437" t="s">
        <v>44</v>
      </c>
      <c r="B1437" t="s">
        <v>52</v>
      </c>
      <c r="C1437" s="121" t="s">
        <v>174</v>
      </c>
      <c r="D1437" t="s">
        <v>205</v>
      </c>
      <c r="E1437" t="s">
        <v>57</v>
      </c>
      <c r="F1437">
        <v>1</v>
      </c>
      <c r="G1437">
        <v>39</v>
      </c>
      <c r="H1437" s="86">
        <v>45970.604739467599</v>
      </c>
      <c r="I1437" s="86">
        <v>45970.710246828698</v>
      </c>
      <c r="J1437" s="87">
        <v>2.5321766666666701</v>
      </c>
      <c r="K1437" s="69" t="s">
        <v>274</v>
      </c>
      <c r="P1437" s="71" t="s">
        <v>275</v>
      </c>
      <c r="Q1437" s="88">
        <v>1.06718980020777E-2</v>
      </c>
      <c r="R1437" s="89" t="s">
        <v>276</v>
      </c>
      <c r="T1437">
        <v>7.3</v>
      </c>
      <c r="U1437" s="76">
        <v>0.2</v>
      </c>
      <c r="V1437">
        <v>10.1</v>
      </c>
      <c r="W1437" s="90">
        <v>0.1</v>
      </c>
      <c r="AG1437" s="91">
        <v>0</v>
      </c>
      <c r="AK1437" s="71">
        <v>0.15</v>
      </c>
      <c r="AL1437" s="88">
        <v>3.3054500450014401E-2</v>
      </c>
      <c r="AM1437" s="89">
        <f t="shared" si="22"/>
        <v>0.22036333633342936</v>
      </c>
    </row>
    <row r="1438" spans="1:39" x14ac:dyDescent="0.25">
      <c r="A1438" t="s">
        <v>44</v>
      </c>
      <c r="B1438" t="s">
        <v>52</v>
      </c>
      <c r="C1438" s="121" t="s">
        <v>174</v>
      </c>
      <c r="D1438" t="s">
        <v>205</v>
      </c>
      <c r="E1438" t="s">
        <v>57</v>
      </c>
      <c r="F1438">
        <v>1</v>
      </c>
      <c r="G1438">
        <v>40</v>
      </c>
      <c r="H1438" s="86">
        <v>45970.710246828698</v>
      </c>
      <c r="I1438" s="86">
        <v>45970.815753113398</v>
      </c>
      <c r="J1438" s="87">
        <v>2.53215083333333</v>
      </c>
      <c r="K1438" s="69" t="s">
        <v>274</v>
      </c>
      <c r="P1438" s="71" t="s">
        <v>275</v>
      </c>
      <c r="Q1438" s="88">
        <v>6.5836366599961301E-3</v>
      </c>
      <c r="R1438" s="89" t="s">
        <v>276</v>
      </c>
      <c r="T1438">
        <v>6.7</v>
      </c>
      <c r="U1438" s="76">
        <v>0.2</v>
      </c>
      <c r="V1438">
        <v>10.1</v>
      </c>
      <c r="W1438" s="90">
        <v>0.1</v>
      </c>
      <c r="AG1438" s="91">
        <v>0</v>
      </c>
      <c r="AK1438" s="71">
        <v>0.15</v>
      </c>
      <c r="AL1438" s="88">
        <v>3.3054500450014401E-2</v>
      </c>
      <c r="AM1438" s="89">
        <f t="shared" si="22"/>
        <v>0.22036333633342936</v>
      </c>
    </row>
    <row r="1439" spans="1:39" x14ac:dyDescent="0.25">
      <c r="A1439" t="s">
        <v>44</v>
      </c>
      <c r="B1439" t="s">
        <v>52</v>
      </c>
      <c r="C1439" s="121" t="s">
        <v>174</v>
      </c>
      <c r="D1439" t="s">
        <v>205</v>
      </c>
      <c r="E1439" t="s">
        <v>57</v>
      </c>
      <c r="F1439">
        <v>1</v>
      </c>
      <c r="G1439">
        <v>41</v>
      </c>
      <c r="H1439" s="86">
        <v>45970.815753113398</v>
      </c>
      <c r="I1439" s="86">
        <v>45970.921247175902</v>
      </c>
      <c r="J1439" s="87">
        <v>2.5318575000000001</v>
      </c>
      <c r="K1439" s="69" t="s">
        <v>274</v>
      </c>
      <c r="P1439" s="71" t="s">
        <v>275</v>
      </c>
      <c r="Q1439" s="88">
        <v>6.14217923950714E-3</v>
      </c>
      <c r="R1439" s="89" t="s">
        <v>276</v>
      </c>
      <c r="T1439">
        <v>6.2</v>
      </c>
      <c r="U1439" s="76">
        <v>0.2</v>
      </c>
      <c r="V1439">
        <v>10</v>
      </c>
      <c r="W1439" s="90">
        <v>0.1</v>
      </c>
      <c r="AG1439" s="91">
        <v>0</v>
      </c>
      <c r="AK1439" s="71">
        <v>0.15</v>
      </c>
      <c r="AL1439" s="88">
        <v>3.3054500450014401E-2</v>
      </c>
      <c r="AM1439" s="89">
        <f t="shared" si="22"/>
        <v>0.22036333633342936</v>
      </c>
    </row>
    <row r="1440" spans="1:39" x14ac:dyDescent="0.25">
      <c r="A1440" t="s">
        <v>44</v>
      </c>
      <c r="B1440" t="s">
        <v>52</v>
      </c>
      <c r="C1440" s="121" t="s">
        <v>174</v>
      </c>
      <c r="D1440" t="s">
        <v>205</v>
      </c>
      <c r="E1440" t="s">
        <v>57</v>
      </c>
      <c r="F1440">
        <v>1</v>
      </c>
      <c r="G1440">
        <v>42</v>
      </c>
      <c r="H1440" s="86">
        <v>45970.921247175902</v>
      </c>
      <c r="I1440" s="86">
        <v>45971.0267569676</v>
      </c>
      <c r="J1440" s="87">
        <v>2.532235</v>
      </c>
      <c r="K1440" s="69" t="s">
        <v>274</v>
      </c>
      <c r="P1440" s="71" t="s">
        <v>275</v>
      </c>
      <c r="Q1440" s="88">
        <v>6.4102820247404803E-3</v>
      </c>
      <c r="R1440" s="89" t="s">
        <v>276</v>
      </c>
      <c r="T1440">
        <v>6</v>
      </c>
      <c r="U1440" s="76">
        <v>0.2</v>
      </c>
      <c r="V1440">
        <v>9.9</v>
      </c>
      <c r="W1440" s="90">
        <v>0.1</v>
      </c>
      <c r="AG1440" s="91">
        <v>0</v>
      </c>
      <c r="AK1440" s="71">
        <v>0.15</v>
      </c>
      <c r="AL1440" s="88">
        <v>3.3054500450014401E-2</v>
      </c>
      <c r="AM1440" s="89">
        <f t="shared" si="22"/>
        <v>0.22036333633342936</v>
      </c>
    </row>
    <row r="1441" spans="1:39" x14ac:dyDescent="0.25">
      <c r="A1441" t="s">
        <v>44</v>
      </c>
      <c r="B1441" t="s">
        <v>52</v>
      </c>
      <c r="C1441" s="121" t="s">
        <v>174</v>
      </c>
      <c r="D1441" t="s">
        <v>205</v>
      </c>
      <c r="E1441" t="s">
        <v>57</v>
      </c>
      <c r="F1441">
        <v>1</v>
      </c>
      <c r="G1441">
        <v>43</v>
      </c>
      <c r="H1441" s="86">
        <v>45971.0267569676</v>
      </c>
      <c r="I1441" s="86">
        <v>45971.132260705999</v>
      </c>
      <c r="J1441" s="87">
        <v>2.5320897222222198</v>
      </c>
      <c r="K1441" s="69" t="s">
        <v>274</v>
      </c>
      <c r="P1441" s="71" t="s">
        <v>275</v>
      </c>
      <c r="Q1441" s="88">
        <v>6.4897601832617398E-3</v>
      </c>
      <c r="R1441" s="89" t="s">
        <v>276</v>
      </c>
      <c r="T1441">
        <v>6.1</v>
      </c>
      <c r="U1441" s="76">
        <v>0.2</v>
      </c>
      <c r="V1441">
        <v>9.8000000000000007</v>
      </c>
      <c r="W1441" s="90">
        <v>0.1</v>
      </c>
      <c r="AG1441" s="91">
        <v>0</v>
      </c>
      <c r="AK1441" s="71">
        <v>0.15</v>
      </c>
      <c r="AL1441" s="88">
        <v>3.3054500450014401E-2</v>
      </c>
      <c r="AM1441" s="89">
        <f t="shared" si="22"/>
        <v>0.22036333633342936</v>
      </c>
    </row>
    <row r="1442" spans="1:39" x14ac:dyDescent="0.25">
      <c r="A1442" t="s">
        <v>44</v>
      </c>
      <c r="B1442" t="s">
        <v>52</v>
      </c>
      <c r="C1442" s="121" t="s">
        <v>174</v>
      </c>
      <c r="D1442" t="s">
        <v>205</v>
      </c>
      <c r="E1442" t="s">
        <v>57</v>
      </c>
      <c r="F1442">
        <v>1</v>
      </c>
      <c r="G1442">
        <v>44</v>
      </c>
      <c r="H1442" s="86">
        <v>45971.132260705999</v>
      </c>
      <c r="I1442" s="86">
        <v>45971.237758159703</v>
      </c>
      <c r="J1442" s="87">
        <v>2.5319388888888898</v>
      </c>
      <c r="K1442" s="69" t="s">
        <v>274</v>
      </c>
      <c r="P1442" s="71" t="s">
        <v>275</v>
      </c>
      <c r="Q1442" s="88">
        <v>7.2320339869587601E-3</v>
      </c>
      <c r="R1442" s="89" t="s">
        <v>276</v>
      </c>
      <c r="T1442">
        <v>6.3</v>
      </c>
      <c r="U1442" s="76">
        <v>0.2</v>
      </c>
      <c r="V1442">
        <v>9.6999999999999993</v>
      </c>
      <c r="W1442" s="90">
        <v>0.1</v>
      </c>
      <c r="AG1442" s="91">
        <v>0</v>
      </c>
      <c r="AK1442" s="71">
        <v>0.15</v>
      </c>
      <c r="AL1442" s="88">
        <v>3.3054500450014401E-2</v>
      </c>
      <c r="AM1442" s="89">
        <f t="shared" si="22"/>
        <v>0.22036333633342936</v>
      </c>
    </row>
    <row r="1443" spans="1:39" x14ac:dyDescent="0.25">
      <c r="A1443" t="s">
        <v>44</v>
      </c>
      <c r="B1443" t="s">
        <v>52</v>
      </c>
      <c r="C1443" s="121" t="s">
        <v>174</v>
      </c>
      <c r="D1443" t="s">
        <v>205</v>
      </c>
      <c r="E1443" t="s">
        <v>57</v>
      </c>
      <c r="F1443">
        <v>1</v>
      </c>
      <c r="G1443">
        <v>45</v>
      </c>
      <c r="H1443" s="86">
        <v>45971.237758159703</v>
      </c>
      <c r="I1443" s="86">
        <v>45971.343265254603</v>
      </c>
      <c r="J1443" s="87">
        <v>2.5321702777777801</v>
      </c>
      <c r="K1443" s="69" t="s">
        <v>274</v>
      </c>
      <c r="P1443" s="71" t="s">
        <v>275</v>
      </c>
      <c r="Q1443" s="88">
        <v>5.1321734984524697E-3</v>
      </c>
      <c r="R1443" s="89" t="s">
        <v>276</v>
      </c>
      <c r="T1443">
        <v>5.5</v>
      </c>
      <c r="U1443" s="76">
        <v>0.2</v>
      </c>
      <c r="V1443">
        <v>9.6</v>
      </c>
      <c r="W1443" s="90">
        <v>0.1</v>
      </c>
      <c r="AG1443" s="91">
        <v>0</v>
      </c>
      <c r="AK1443" s="71">
        <v>0.15</v>
      </c>
      <c r="AL1443" s="88">
        <v>3.3054500450014401E-2</v>
      </c>
      <c r="AM1443" s="89">
        <f t="shared" si="22"/>
        <v>0.22036333633342936</v>
      </c>
    </row>
    <row r="1444" spans="1:39" x14ac:dyDescent="0.25">
      <c r="A1444" t="s">
        <v>44</v>
      </c>
      <c r="B1444" t="s">
        <v>52</v>
      </c>
      <c r="C1444" s="121" t="s">
        <v>174</v>
      </c>
      <c r="D1444" t="s">
        <v>205</v>
      </c>
      <c r="E1444" t="s">
        <v>57</v>
      </c>
      <c r="F1444">
        <v>1</v>
      </c>
      <c r="G1444">
        <v>46</v>
      </c>
      <c r="H1444" s="86">
        <v>45971.343265254603</v>
      </c>
      <c r="I1444" s="86">
        <v>45971.448760960702</v>
      </c>
      <c r="J1444" s="87">
        <v>2.5318969444444499</v>
      </c>
      <c r="K1444" s="69" t="s">
        <v>274</v>
      </c>
      <c r="P1444" s="71" t="s">
        <v>275</v>
      </c>
      <c r="Q1444" s="88">
        <v>6.67218993131166E-3</v>
      </c>
      <c r="R1444" s="89" t="s">
        <v>276</v>
      </c>
      <c r="T1444">
        <v>5.2</v>
      </c>
      <c r="U1444" s="76">
        <v>0.2</v>
      </c>
      <c r="V1444">
        <v>9.6</v>
      </c>
      <c r="W1444" s="90">
        <v>0.1</v>
      </c>
      <c r="AG1444" s="91">
        <v>0</v>
      </c>
      <c r="AK1444" s="71">
        <v>0.15</v>
      </c>
      <c r="AL1444" s="88">
        <v>3.3054500450014401E-2</v>
      </c>
      <c r="AM1444" s="89">
        <f t="shared" si="22"/>
        <v>0.22036333633342936</v>
      </c>
    </row>
    <row r="1445" spans="1:39" x14ac:dyDescent="0.25">
      <c r="A1445" t="s">
        <v>44</v>
      </c>
      <c r="B1445" t="s">
        <v>52</v>
      </c>
      <c r="C1445" s="121" t="s">
        <v>174</v>
      </c>
      <c r="D1445" t="s">
        <v>205</v>
      </c>
      <c r="E1445" t="s">
        <v>57</v>
      </c>
      <c r="F1445">
        <v>1</v>
      </c>
      <c r="G1445">
        <v>47</v>
      </c>
      <c r="H1445" s="86">
        <v>45971.448760960702</v>
      </c>
      <c r="I1445" s="86">
        <v>45971.554268622698</v>
      </c>
      <c r="J1445" s="87">
        <v>2.5321838888888899</v>
      </c>
      <c r="K1445" s="69" t="s">
        <v>274</v>
      </c>
      <c r="P1445" s="71" t="s">
        <v>275</v>
      </c>
      <c r="Q1445" s="88">
        <v>1.3609522467672001E-2</v>
      </c>
      <c r="R1445" s="89" t="s">
        <v>276</v>
      </c>
      <c r="T1445">
        <v>8.1</v>
      </c>
      <c r="U1445" s="76">
        <v>0.2</v>
      </c>
      <c r="V1445">
        <v>9.5</v>
      </c>
      <c r="W1445" s="90">
        <v>0.1</v>
      </c>
      <c r="AG1445" s="91">
        <v>0</v>
      </c>
      <c r="AK1445" s="71">
        <v>0.15</v>
      </c>
      <c r="AL1445" s="88">
        <v>3.3054500450014401E-2</v>
      </c>
      <c r="AM1445" s="89">
        <f t="shared" si="22"/>
        <v>0.22036333633342936</v>
      </c>
    </row>
    <row r="1446" spans="1:39" x14ac:dyDescent="0.25">
      <c r="A1446" t="s">
        <v>44</v>
      </c>
      <c r="B1446" t="s">
        <v>52</v>
      </c>
      <c r="C1446" s="121" t="s">
        <v>174</v>
      </c>
      <c r="D1446" t="s">
        <v>205</v>
      </c>
      <c r="E1446" t="s">
        <v>57</v>
      </c>
      <c r="F1446">
        <v>1</v>
      </c>
      <c r="G1446">
        <v>48</v>
      </c>
      <c r="H1446" s="86">
        <v>45971.554268622698</v>
      </c>
      <c r="I1446" s="86">
        <v>45971.659771365703</v>
      </c>
      <c r="J1446" s="87">
        <v>2.5320658333333301</v>
      </c>
      <c r="K1446" s="69" t="s">
        <v>274</v>
      </c>
      <c r="P1446" s="71" t="s">
        <v>275</v>
      </c>
      <c r="Q1446" s="88">
        <v>2.05759825679174E-2</v>
      </c>
      <c r="R1446" s="89" t="s">
        <v>276</v>
      </c>
      <c r="T1446">
        <v>9.6999999999999993</v>
      </c>
      <c r="U1446" s="76">
        <v>0.2</v>
      </c>
      <c r="V1446">
        <v>9.6</v>
      </c>
      <c r="W1446" s="90">
        <v>0.1</v>
      </c>
      <c r="AG1446" s="91">
        <v>0</v>
      </c>
      <c r="AK1446" s="71">
        <v>0.15</v>
      </c>
      <c r="AL1446" s="88">
        <v>3.3054500450014401E-2</v>
      </c>
      <c r="AM1446" s="89">
        <f t="shared" si="22"/>
        <v>0.22036333633342936</v>
      </c>
    </row>
    <row r="1447" spans="1:39" x14ac:dyDescent="0.25">
      <c r="A1447" t="s">
        <v>44</v>
      </c>
      <c r="B1447" t="s">
        <v>52</v>
      </c>
      <c r="C1447" s="121" t="s">
        <v>174</v>
      </c>
      <c r="D1447" t="s">
        <v>205</v>
      </c>
      <c r="E1447" t="s">
        <v>57</v>
      </c>
      <c r="F1447">
        <v>1</v>
      </c>
      <c r="G1447">
        <v>49</v>
      </c>
      <c r="H1447" s="86">
        <v>45971.659771365703</v>
      </c>
      <c r="I1447" s="86">
        <v>45971.765285312496</v>
      </c>
      <c r="J1447" s="87">
        <v>2.5323347222222199</v>
      </c>
      <c r="K1447" s="69" t="s">
        <v>274</v>
      </c>
      <c r="P1447" s="71" t="s">
        <v>275</v>
      </c>
      <c r="Q1447" s="88">
        <v>1.2223953765595E-2</v>
      </c>
      <c r="R1447" s="89" t="s">
        <v>276</v>
      </c>
      <c r="T1447">
        <v>8</v>
      </c>
      <c r="U1447" s="76">
        <v>0.2</v>
      </c>
      <c r="V1447">
        <v>9.8000000000000007</v>
      </c>
      <c r="W1447" s="90">
        <v>0.1</v>
      </c>
      <c r="AG1447" s="91">
        <v>0</v>
      </c>
      <c r="AK1447" s="71">
        <v>0.15</v>
      </c>
      <c r="AL1447" s="88">
        <v>3.3054500450014401E-2</v>
      </c>
      <c r="AM1447" s="89">
        <f t="shared" si="22"/>
        <v>0.22036333633342936</v>
      </c>
    </row>
    <row r="1448" spans="1:39" x14ac:dyDescent="0.25">
      <c r="A1448" t="s">
        <v>44</v>
      </c>
      <c r="B1448" t="s">
        <v>52</v>
      </c>
      <c r="C1448" s="121" t="s">
        <v>174</v>
      </c>
      <c r="D1448" t="s">
        <v>205</v>
      </c>
      <c r="E1448" t="s">
        <v>57</v>
      </c>
      <c r="F1448">
        <v>1</v>
      </c>
      <c r="G1448">
        <v>50</v>
      </c>
      <c r="H1448" s="86">
        <v>45971.765285312496</v>
      </c>
      <c r="I1448" s="86">
        <v>45971.870817372699</v>
      </c>
      <c r="J1448" s="87">
        <v>2.53276944444444</v>
      </c>
      <c r="K1448" s="69" t="s">
        <v>274</v>
      </c>
      <c r="P1448" s="71" t="s">
        <v>275</v>
      </c>
      <c r="Q1448" s="88">
        <v>9.8336883008589802E-3</v>
      </c>
      <c r="R1448" s="89" t="s">
        <v>276</v>
      </c>
      <c r="T1448">
        <v>7.8</v>
      </c>
      <c r="U1448" s="76">
        <v>0.2</v>
      </c>
      <c r="V1448">
        <v>9.8000000000000007</v>
      </c>
      <c r="W1448" s="90">
        <v>0.1</v>
      </c>
      <c r="AG1448" s="91">
        <v>0</v>
      </c>
      <c r="AK1448" s="71">
        <v>0.15</v>
      </c>
      <c r="AL1448" s="88">
        <v>3.3054500450014401E-2</v>
      </c>
      <c r="AM1448" s="89">
        <f t="shared" si="22"/>
        <v>0.22036333633342936</v>
      </c>
    </row>
    <row r="1449" spans="1:39" x14ac:dyDescent="0.25">
      <c r="A1449" t="s">
        <v>44</v>
      </c>
      <c r="B1449" t="s">
        <v>52</v>
      </c>
      <c r="C1449" s="121" t="s">
        <v>174</v>
      </c>
      <c r="D1449" t="s">
        <v>205</v>
      </c>
      <c r="E1449" t="s">
        <v>57</v>
      </c>
      <c r="F1449">
        <v>1</v>
      </c>
      <c r="G1449">
        <v>51</v>
      </c>
      <c r="H1449" s="86">
        <v>45971.870817372699</v>
      </c>
      <c r="I1449" s="86">
        <v>45971.976324536998</v>
      </c>
      <c r="J1449" s="87">
        <v>2.5321719444444399</v>
      </c>
      <c r="K1449" s="69" t="s">
        <v>274</v>
      </c>
      <c r="P1449" s="71" t="s">
        <v>275</v>
      </c>
      <c r="Q1449" s="88">
        <v>8.5239124295554396E-3</v>
      </c>
      <c r="R1449" s="89" t="s">
        <v>276</v>
      </c>
      <c r="T1449">
        <v>7.9</v>
      </c>
      <c r="U1449" s="76">
        <v>0.2</v>
      </c>
      <c r="V1449">
        <v>9.8000000000000007</v>
      </c>
      <c r="W1449" s="90">
        <v>0.1</v>
      </c>
      <c r="AG1449" s="91">
        <v>0</v>
      </c>
      <c r="AK1449" s="71">
        <v>0.15</v>
      </c>
      <c r="AL1449" s="88">
        <v>3.3054500450014401E-2</v>
      </c>
      <c r="AM1449" s="89">
        <f t="shared" si="22"/>
        <v>0.22036333633342936</v>
      </c>
    </row>
    <row r="1450" spans="1:39" x14ac:dyDescent="0.25">
      <c r="A1450" t="s">
        <v>44</v>
      </c>
      <c r="B1450" t="s">
        <v>52</v>
      </c>
      <c r="C1450" s="121" t="s">
        <v>174</v>
      </c>
      <c r="D1450" t="s">
        <v>205</v>
      </c>
      <c r="E1450" t="s">
        <v>57</v>
      </c>
      <c r="F1450">
        <v>1</v>
      </c>
      <c r="G1450">
        <v>52</v>
      </c>
      <c r="H1450" s="86">
        <v>45971.976324536998</v>
      </c>
      <c r="I1450" s="86">
        <v>45972.081848483802</v>
      </c>
      <c r="J1450" s="87">
        <v>2.5325747222222201</v>
      </c>
      <c r="K1450" s="69" t="s">
        <v>274</v>
      </c>
      <c r="P1450" s="71" t="s">
        <v>275</v>
      </c>
      <c r="Q1450" s="88">
        <v>8.7547266455297399E-3</v>
      </c>
      <c r="R1450" s="89" t="s">
        <v>276</v>
      </c>
      <c r="T1450">
        <v>7.1</v>
      </c>
      <c r="U1450" s="76">
        <v>0.2</v>
      </c>
      <c r="V1450">
        <v>9.6999999999999993</v>
      </c>
      <c r="W1450" s="90">
        <v>0.1</v>
      </c>
      <c r="AG1450" s="91">
        <v>0</v>
      </c>
      <c r="AK1450" s="71">
        <v>0.15</v>
      </c>
      <c r="AL1450" s="88">
        <v>3.3054500450014401E-2</v>
      </c>
      <c r="AM1450" s="89">
        <f t="shared" si="22"/>
        <v>0.22036333633342936</v>
      </c>
    </row>
    <row r="1451" spans="1:39" x14ac:dyDescent="0.25">
      <c r="A1451" t="s">
        <v>44</v>
      </c>
      <c r="B1451" t="s">
        <v>52</v>
      </c>
      <c r="C1451" s="121" t="s">
        <v>174</v>
      </c>
      <c r="D1451" t="s">
        <v>205</v>
      </c>
      <c r="E1451" t="s">
        <v>57</v>
      </c>
      <c r="F1451">
        <v>1</v>
      </c>
      <c r="G1451">
        <v>53</v>
      </c>
      <c r="H1451" s="86">
        <v>45972.081848483802</v>
      </c>
      <c r="I1451" s="86">
        <v>45972.187374838002</v>
      </c>
      <c r="J1451" s="87">
        <v>2.5326325000000001</v>
      </c>
      <c r="K1451" s="69" t="s">
        <v>274</v>
      </c>
      <c r="P1451" s="71" t="s">
        <v>275</v>
      </c>
      <c r="Q1451" s="88">
        <v>6.2478535580401404E-3</v>
      </c>
      <c r="R1451" s="89" t="s">
        <v>276</v>
      </c>
      <c r="T1451">
        <v>6.1</v>
      </c>
      <c r="U1451" s="76">
        <v>0.2</v>
      </c>
      <c r="V1451">
        <v>9.6</v>
      </c>
      <c r="W1451" s="90">
        <v>0.1</v>
      </c>
      <c r="AG1451" s="91">
        <v>0</v>
      </c>
      <c r="AK1451" s="71">
        <v>0.15</v>
      </c>
      <c r="AL1451" s="88">
        <v>3.3054500450014401E-2</v>
      </c>
      <c r="AM1451" s="89">
        <f t="shared" si="22"/>
        <v>0.22036333633342936</v>
      </c>
    </row>
    <row r="1452" spans="1:39" x14ac:dyDescent="0.25">
      <c r="A1452" t="s">
        <v>44</v>
      </c>
      <c r="B1452" t="s">
        <v>52</v>
      </c>
      <c r="C1452" s="121" t="s">
        <v>174</v>
      </c>
      <c r="D1452" t="s">
        <v>205</v>
      </c>
      <c r="E1452" t="s">
        <v>57</v>
      </c>
      <c r="F1452">
        <v>1</v>
      </c>
      <c r="G1452">
        <v>54</v>
      </c>
      <c r="H1452" s="86">
        <v>45972.187374838002</v>
      </c>
      <c r="I1452" s="86">
        <v>45972.292909849501</v>
      </c>
      <c r="J1452" s="87">
        <v>2.5328402777777801</v>
      </c>
      <c r="K1452" s="69" t="s">
        <v>274</v>
      </c>
      <c r="P1452" s="71" t="s">
        <v>275</v>
      </c>
      <c r="Q1452" s="88">
        <v>5.4170802471053504E-3</v>
      </c>
      <c r="R1452" s="89" t="s">
        <v>276</v>
      </c>
      <c r="T1452">
        <v>5.8</v>
      </c>
      <c r="U1452" s="76">
        <v>0.2</v>
      </c>
      <c r="V1452">
        <v>9.5</v>
      </c>
      <c r="W1452" s="90">
        <v>0.1</v>
      </c>
      <c r="AG1452" s="91">
        <v>0</v>
      </c>
      <c r="AK1452" s="71">
        <v>0.15</v>
      </c>
      <c r="AL1452" s="88">
        <v>3.3054500450014401E-2</v>
      </c>
      <c r="AM1452" s="89">
        <f t="shared" si="22"/>
        <v>0.22036333633342936</v>
      </c>
    </row>
    <row r="1453" spans="1:39" x14ac:dyDescent="0.25">
      <c r="A1453" t="s">
        <v>44</v>
      </c>
      <c r="B1453" t="s">
        <v>52</v>
      </c>
      <c r="C1453" s="121" t="s">
        <v>174</v>
      </c>
      <c r="D1453" t="s">
        <v>205</v>
      </c>
      <c r="E1453" t="s">
        <v>57</v>
      </c>
      <c r="F1453">
        <v>1</v>
      </c>
      <c r="G1453">
        <v>55</v>
      </c>
      <c r="H1453" s="86">
        <v>45972.292909849501</v>
      </c>
      <c r="I1453" s="86">
        <v>45972.398428611101</v>
      </c>
      <c r="J1453" s="87">
        <v>2.5324502777777802</v>
      </c>
      <c r="K1453" s="69" t="s">
        <v>274</v>
      </c>
      <c r="P1453" s="71" t="s">
        <v>275</v>
      </c>
      <c r="Q1453" s="88">
        <v>9.8263181295441208E-3</v>
      </c>
      <c r="R1453" s="89" t="s">
        <v>276</v>
      </c>
      <c r="T1453">
        <v>6.9</v>
      </c>
      <c r="U1453" s="76">
        <v>0.2</v>
      </c>
      <c r="V1453">
        <v>9.3000000000000007</v>
      </c>
      <c r="W1453" s="90">
        <v>0.1</v>
      </c>
      <c r="AG1453" s="91">
        <v>0</v>
      </c>
      <c r="AK1453" s="71">
        <v>0.15</v>
      </c>
      <c r="AL1453" s="88">
        <v>3.3054500450014401E-2</v>
      </c>
      <c r="AM1453" s="89">
        <f t="shared" si="22"/>
        <v>0.22036333633342936</v>
      </c>
    </row>
    <row r="1454" spans="1:39" x14ac:dyDescent="0.25">
      <c r="A1454" t="s">
        <v>44</v>
      </c>
      <c r="B1454" t="s">
        <v>52</v>
      </c>
      <c r="C1454" s="121" t="s">
        <v>174</v>
      </c>
      <c r="D1454" t="s">
        <v>205</v>
      </c>
      <c r="E1454" t="s">
        <v>57</v>
      </c>
      <c r="F1454">
        <v>1</v>
      </c>
      <c r="G1454">
        <v>56</v>
      </c>
      <c r="H1454" s="86">
        <v>45972.398428611101</v>
      </c>
      <c r="I1454" s="86">
        <v>45972.503956655099</v>
      </c>
      <c r="J1454" s="87">
        <v>2.5326730555555601</v>
      </c>
      <c r="K1454" s="69" t="s">
        <v>274</v>
      </c>
      <c r="P1454" s="71" t="s">
        <v>275</v>
      </c>
      <c r="Q1454" s="88">
        <v>1.07658613640681E-2</v>
      </c>
      <c r="R1454" s="89" t="s">
        <v>276</v>
      </c>
      <c r="T1454">
        <v>7.8</v>
      </c>
      <c r="U1454" s="76">
        <v>0.2</v>
      </c>
      <c r="V1454">
        <v>9.3000000000000007</v>
      </c>
      <c r="W1454" s="90">
        <v>0.1</v>
      </c>
      <c r="AG1454" s="91">
        <v>0</v>
      </c>
      <c r="AK1454" s="71">
        <v>0.15</v>
      </c>
      <c r="AL1454" s="88">
        <v>3.3054500450014401E-2</v>
      </c>
      <c r="AM1454" s="89">
        <f t="shared" si="22"/>
        <v>0.22036333633342936</v>
      </c>
    </row>
    <row r="1455" spans="1:39" x14ac:dyDescent="0.25">
      <c r="A1455" t="s">
        <v>44</v>
      </c>
      <c r="B1455" t="s">
        <v>52</v>
      </c>
      <c r="C1455" s="121" t="s">
        <v>174</v>
      </c>
      <c r="D1455" t="s">
        <v>205</v>
      </c>
      <c r="E1455" t="s">
        <v>57</v>
      </c>
      <c r="F1455">
        <v>1</v>
      </c>
      <c r="G1455">
        <v>57</v>
      </c>
      <c r="H1455" s="86">
        <v>45972.503956655099</v>
      </c>
      <c r="I1455" s="86">
        <v>45972.609475705998</v>
      </c>
      <c r="J1455" s="87">
        <v>2.5324572222222201</v>
      </c>
      <c r="K1455" s="69" t="s">
        <v>274</v>
      </c>
      <c r="P1455" s="71" t="s">
        <v>275</v>
      </c>
      <c r="Q1455" s="88">
        <v>1.28247911125792E-2</v>
      </c>
      <c r="R1455" s="89" t="s">
        <v>276</v>
      </c>
      <c r="T1455">
        <v>8.5</v>
      </c>
      <c r="U1455" s="76">
        <v>0.2</v>
      </c>
      <c r="V1455">
        <v>9.3000000000000007</v>
      </c>
      <c r="W1455" s="90">
        <v>0.1</v>
      </c>
      <c r="AG1455" s="91">
        <v>0</v>
      </c>
      <c r="AK1455" s="71">
        <v>0.15</v>
      </c>
      <c r="AL1455" s="88">
        <v>3.3054500450014401E-2</v>
      </c>
      <c r="AM1455" s="89">
        <f t="shared" si="22"/>
        <v>0.22036333633342936</v>
      </c>
    </row>
    <row r="1456" spans="1:39" x14ac:dyDescent="0.25">
      <c r="A1456" t="s">
        <v>44</v>
      </c>
      <c r="B1456" t="s">
        <v>52</v>
      </c>
      <c r="C1456" s="121" t="s">
        <v>174</v>
      </c>
      <c r="D1456" t="s">
        <v>205</v>
      </c>
      <c r="E1456" t="s">
        <v>57</v>
      </c>
      <c r="F1456">
        <v>1</v>
      </c>
      <c r="G1456">
        <v>58</v>
      </c>
      <c r="H1456" s="86">
        <v>45972.609475705998</v>
      </c>
      <c r="I1456" s="86">
        <v>45972.715016817099</v>
      </c>
      <c r="J1456" s="87">
        <v>2.5329866666666701</v>
      </c>
      <c r="K1456" s="69" t="s">
        <v>274</v>
      </c>
      <c r="P1456" s="71" t="s">
        <v>275</v>
      </c>
      <c r="Q1456" s="88">
        <v>1.3762133236526799E-2</v>
      </c>
      <c r="R1456" s="89" t="s">
        <v>276</v>
      </c>
      <c r="T1456">
        <v>9.1999999999999993</v>
      </c>
      <c r="U1456" s="76">
        <v>0.2</v>
      </c>
      <c r="V1456">
        <v>9.4</v>
      </c>
      <c r="W1456" s="90">
        <v>0.1</v>
      </c>
      <c r="AG1456" s="91">
        <v>0</v>
      </c>
      <c r="AK1456" s="71">
        <v>0.15</v>
      </c>
      <c r="AL1456" s="88">
        <v>3.3054500450014401E-2</v>
      </c>
      <c r="AM1456" s="89">
        <f t="shared" si="22"/>
        <v>0.22036333633342936</v>
      </c>
    </row>
    <row r="1457" spans="1:39" x14ac:dyDescent="0.25">
      <c r="A1457" t="s">
        <v>44</v>
      </c>
      <c r="B1457" t="s">
        <v>52</v>
      </c>
      <c r="C1457" s="121" t="s">
        <v>174</v>
      </c>
      <c r="D1457" t="s">
        <v>205</v>
      </c>
      <c r="E1457" t="s">
        <v>57</v>
      </c>
      <c r="F1457">
        <v>1</v>
      </c>
      <c r="G1457">
        <v>59</v>
      </c>
      <c r="H1457" s="86">
        <v>45972.715016817099</v>
      </c>
      <c r="I1457" s="86">
        <v>45972.820537766202</v>
      </c>
      <c r="J1457" s="87">
        <v>2.53250277777778</v>
      </c>
      <c r="K1457" s="69" t="s">
        <v>274</v>
      </c>
      <c r="P1457" s="71" t="s">
        <v>275</v>
      </c>
      <c r="Q1457" s="88">
        <v>7.37491341673521E-3</v>
      </c>
      <c r="R1457" s="89" t="s">
        <v>276</v>
      </c>
      <c r="T1457">
        <v>7.8</v>
      </c>
      <c r="U1457" s="76">
        <v>0.2</v>
      </c>
      <c r="V1457">
        <v>9.5</v>
      </c>
      <c r="W1457" s="90">
        <v>0.1</v>
      </c>
      <c r="AG1457" s="91">
        <v>0</v>
      </c>
      <c r="AK1457" s="71">
        <v>0.15</v>
      </c>
      <c r="AL1457" s="88">
        <v>3.3054500450014401E-2</v>
      </c>
      <c r="AM1457" s="89">
        <f t="shared" si="22"/>
        <v>0.22036333633342936</v>
      </c>
    </row>
    <row r="1458" spans="1:39" x14ac:dyDescent="0.25">
      <c r="A1458" t="s">
        <v>44</v>
      </c>
      <c r="B1458" t="s">
        <v>52</v>
      </c>
      <c r="C1458" s="121" t="s">
        <v>174</v>
      </c>
      <c r="D1458" t="s">
        <v>205</v>
      </c>
      <c r="E1458" t="s">
        <v>57</v>
      </c>
      <c r="F1458">
        <v>1</v>
      </c>
      <c r="G1458">
        <v>60</v>
      </c>
      <c r="H1458" s="86">
        <v>45972.820537766202</v>
      </c>
      <c r="I1458" s="86">
        <v>45972.926050983799</v>
      </c>
      <c r="J1458" s="87">
        <v>2.5323172222222201</v>
      </c>
      <c r="K1458" s="69" t="s">
        <v>274</v>
      </c>
      <c r="P1458" s="71" t="s">
        <v>275</v>
      </c>
      <c r="Q1458" s="88">
        <v>5.4291871697088401E-3</v>
      </c>
      <c r="R1458" s="89" t="s">
        <v>276</v>
      </c>
      <c r="T1458">
        <v>6.6</v>
      </c>
      <c r="U1458" s="76">
        <v>0.2</v>
      </c>
      <c r="V1458">
        <v>9.5</v>
      </c>
      <c r="W1458" s="90">
        <v>0.1</v>
      </c>
      <c r="AG1458" s="91">
        <v>0</v>
      </c>
      <c r="AK1458" s="71">
        <v>0.15</v>
      </c>
      <c r="AL1458" s="88">
        <v>3.3054500450014401E-2</v>
      </c>
      <c r="AM1458" s="89">
        <f t="shared" si="22"/>
        <v>0.22036333633342936</v>
      </c>
    </row>
    <row r="1459" spans="1:39" x14ac:dyDescent="0.25">
      <c r="A1459" t="s">
        <v>44</v>
      </c>
      <c r="B1459" t="s">
        <v>52</v>
      </c>
      <c r="C1459" s="121" t="s">
        <v>174</v>
      </c>
      <c r="D1459" t="s">
        <v>205</v>
      </c>
      <c r="E1459" t="s">
        <v>57</v>
      </c>
      <c r="F1459">
        <v>1</v>
      </c>
      <c r="G1459">
        <v>61</v>
      </c>
      <c r="H1459" s="86">
        <v>45972.926050983799</v>
      </c>
      <c r="I1459" s="86">
        <v>45973.031575636604</v>
      </c>
      <c r="J1459" s="87">
        <v>2.5325916666666699</v>
      </c>
      <c r="K1459" s="69" t="s">
        <v>274</v>
      </c>
      <c r="P1459" s="71" t="s">
        <v>275</v>
      </c>
      <c r="Q1459" s="88">
        <v>5.4166276955372999E-3</v>
      </c>
      <c r="R1459" s="89" t="s">
        <v>276</v>
      </c>
      <c r="T1459">
        <v>7.4</v>
      </c>
      <c r="U1459" s="76">
        <v>0.2</v>
      </c>
      <c r="V1459">
        <v>9.3000000000000007</v>
      </c>
      <c r="W1459" s="90">
        <v>0.1</v>
      </c>
      <c r="AG1459" s="91">
        <v>0</v>
      </c>
      <c r="AK1459" s="71">
        <v>0.15</v>
      </c>
      <c r="AL1459" s="88">
        <v>3.3054500450014401E-2</v>
      </c>
      <c r="AM1459" s="89">
        <f t="shared" si="22"/>
        <v>0.22036333633342936</v>
      </c>
    </row>
    <row r="1460" spans="1:39" x14ac:dyDescent="0.25">
      <c r="A1460" t="s">
        <v>44</v>
      </c>
      <c r="B1460" t="s">
        <v>52</v>
      </c>
      <c r="C1460" s="121" t="s">
        <v>174</v>
      </c>
      <c r="D1460" t="s">
        <v>205</v>
      </c>
      <c r="E1460" t="s">
        <v>57</v>
      </c>
      <c r="F1460">
        <v>1</v>
      </c>
      <c r="G1460">
        <v>62</v>
      </c>
      <c r="H1460" s="86">
        <v>45973.031575636604</v>
      </c>
      <c r="I1460" s="86">
        <v>45973.137094907397</v>
      </c>
      <c r="J1460" s="87">
        <v>2.5324624999999998</v>
      </c>
      <c r="K1460" s="69" t="s">
        <v>274</v>
      </c>
      <c r="P1460" s="71" t="s">
        <v>275</v>
      </c>
      <c r="Q1460" s="88">
        <v>1.05282738674387E-2</v>
      </c>
      <c r="R1460" s="89" t="s">
        <v>276</v>
      </c>
      <c r="T1460">
        <v>9.5</v>
      </c>
      <c r="U1460" s="76">
        <v>0.2</v>
      </c>
      <c r="V1460">
        <v>9.3000000000000007</v>
      </c>
      <c r="W1460" s="90">
        <v>0.1</v>
      </c>
      <c r="AG1460" s="91">
        <v>0</v>
      </c>
      <c r="AK1460" s="71">
        <v>0.15</v>
      </c>
      <c r="AL1460" s="88">
        <v>3.3054500450014401E-2</v>
      </c>
      <c r="AM1460" s="89">
        <f t="shared" si="22"/>
        <v>0.22036333633342936</v>
      </c>
    </row>
    <row r="1461" spans="1:39" x14ac:dyDescent="0.25">
      <c r="A1461" t="s">
        <v>44</v>
      </c>
      <c r="B1461" t="s">
        <v>52</v>
      </c>
      <c r="C1461" s="121" t="s">
        <v>174</v>
      </c>
      <c r="D1461" t="s">
        <v>205</v>
      </c>
      <c r="E1461" t="s">
        <v>57</v>
      </c>
      <c r="F1461">
        <v>1</v>
      </c>
      <c r="G1461">
        <v>63</v>
      </c>
      <c r="H1461" s="86">
        <v>45973.137094907397</v>
      </c>
      <c r="I1461" s="86">
        <v>45973.2426321065</v>
      </c>
      <c r="J1461" s="87">
        <v>2.5328927777777799</v>
      </c>
      <c r="K1461" s="69" t="s">
        <v>274</v>
      </c>
      <c r="P1461" s="71" t="s">
        <v>275</v>
      </c>
      <c r="Q1461" s="88">
        <v>1.46349465542821E-2</v>
      </c>
      <c r="R1461" s="89" t="s">
        <v>276</v>
      </c>
      <c r="T1461">
        <v>9.1999999999999993</v>
      </c>
      <c r="U1461" s="76">
        <v>0.2</v>
      </c>
      <c r="V1461">
        <v>9.3000000000000007</v>
      </c>
      <c r="W1461" s="90">
        <v>0.1</v>
      </c>
      <c r="AG1461" s="91">
        <v>0</v>
      </c>
      <c r="AK1461" s="71">
        <v>0.15</v>
      </c>
      <c r="AL1461" s="88">
        <v>3.3054500450014401E-2</v>
      </c>
      <c r="AM1461" s="89">
        <f t="shared" si="22"/>
        <v>0.22036333633342936</v>
      </c>
    </row>
    <row r="1462" spans="1:39" x14ac:dyDescent="0.25">
      <c r="A1462" t="s">
        <v>44</v>
      </c>
      <c r="B1462" t="s">
        <v>52</v>
      </c>
      <c r="C1462" s="121" t="s">
        <v>174</v>
      </c>
      <c r="D1462" t="s">
        <v>205</v>
      </c>
      <c r="E1462" t="s">
        <v>57</v>
      </c>
      <c r="F1462">
        <v>1</v>
      </c>
      <c r="G1462">
        <v>64</v>
      </c>
      <c r="H1462" s="86">
        <v>45973.2426321065</v>
      </c>
      <c r="I1462" s="86">
        <v>45973.348149213001</v>
      </c>
      <c r="J1462" s="87">
        <v>2.5324105555555598</v>
      </c>
      <c r="K1462" s="69" t="s">
        <v>274</v>
      </c>
      <c r="P1462" s="71" t="s">
        <v>275</v>
      </c>
      <c r="Q1462" s="88">
        <v>1.41337839511218E-2</v>
      </c>
      <c r="R1462" s="89" t="s">
        <v>276</v>
      </c>
      <c r="T1462">
        <v>8.9</v>
      </c>
      <c r="U1462" s="76">
        <v>0.2</v>
      </c>
      <c r="V1462">
        <v>9.4</v>
      </c>
      <c r="W1462" s="90">
        <v>0.1</v>
      </c>
      <c r="AG1462" s="91">
        <v>0</v>
      </c>
      <c r="AK1462" s="71">
        <v>0.15</v>
      </c>
      <c r="AL1462" s="88">
        <v>3.3054500450014401E-2</v>
      </c>
      <c r="AM1462" s="89">
        <f t="shared" si="22"/>
        <v>0.22036333633342936</v>
      </c>
    </row>
    <row r="1463" spans="1:39" x14ac:dyDescent="0.25">
      <c r="A1463" t="s">
        <v>44</v>
      </c>
      <c r="B1463" t="s">
        <v>52</v>
      </c>
      <c r="C1463" s="121" t="s">
        <v>174</v>
      </c>
      <c r="D1463" t="s">
        <v>206</v>
      </c>
      <c r="E1463" t="s">
        <v>57</v>
      </c>
      <c r="F1463">
        <v>2</v>
      </c>
      <c r="G1463">
        <v>1</v>
      </c>
      <c r="H1463" s="86">
        <v>45966.600821330998</v>
      </c>
      <c r="I1463" s="86">
        <v>45966.706341747697</v>
      </c>
      <c r="J1463" s="87">
        <v>2.5324900000000001</v>
      </c>
      <c r="K1463" s="69" t="s">
        <v>274</v>
      </c>
      <c r="P1463" s="71" t="s">
        <v>275</v>
      </c>
      <c r="Q1463" s="88">
        <v>8.8971613251881201E-3</v>
      </c>
      <c r="R1463" s="89" t="s">
        <v>276</v>
      </c>
      <c r="T1463">
        <v>12.9</v>
      </c>
      <c r="U1463" s="76">
        <v>0.2</v>
      </c>
      <c r="V1463">
        <v>10.9</v>
      </c>
      <c r="W1463" s="90">
        <v>0.1</v>
      </c>
      <c r="AG1463" s="91">
        <v>0</v>
      </c>
      <c r="AK1463" s="71">
        <v>0.15</v>
      </c>
      <c r="AL1463" s="88">
        <v>3.3446972957205001E-2</v>
      </c>
      <c r="AM1463" s="89">
        <f t="shared" si="22"/>
        <v>0.22297981971470002</v>
      </c>
    </row>
    <row r="1464" spans="1:39" x14ac:dyDescent="0.25">
      <c r="A1464" t="s">
        <v>44</v>
      </c>
      <c r="B1464" t="s">
        <v>52</v>
      </c>
      <c r="C1464" s="121" t="s">
        <v>174</v>
      </c>
      <c r="D1464" t="s">
        <v>206</v>
      </c>
      <c r="E1464" t="s">
        <v>57</v>
      </c>
      <c r="F1464">
        <v>2</v>
      </c>
      <c r="G1464">
        <v>2</v>
      </c>
      <c r="H1464" s="86">
        <v>45966.706341747697</v>
      </c>
      <c r="I1464" s="86">
        <v>45966.811866701399</v>
      </c>
      <c r="J1464" s="87">
        <v>2.5325988888888902</v>
      </c>
      <c r="K1464" s="69" t="s">
        <v>274</v>
      </c>
      <c r="P1464" s="71" t="s">
        <v>275</v>
      </c>
      <c r="Q1464" s="88">
        <v>7.0141252701205201E-3</v>
      </c>
      <c r="R1464" s="89" t="s">
        <v>276</v>
      </c>
      <c r="T1464">
        <v>11.2</v>
      </c>
      <c r="U1464" s="76">
        <v>0.2</v>
      </c>
      <c r="V1464">
        <v>11.1</v>
      </c>
      <c r="W1464" s="90">
        <v>0.1</v>
      </c>
      <c r="AG1464" s="91">
        <v>0</v>
      </c>
      <c r="AK1464" s="71">
        <v>0.15</v>
      </c>
      <c r="AL1464" s="88">
        <v>3.3446972957205001E-2</v>
      </c>
      <c r="AM1464" s="89">
        <f t="shared" si="22"/>
        <v>0.22297981971470002</v>
      </c>
    </row>
    <row r="1465" spans="1:39" x14ac:dyDescent="0.25">
      <c r="A1465" t="s">
        <v>44</v>
      </c>
      <c r="B1465" t="s">
        <v>52</v>
      </c>
      <c r="C1465" s="121" t="s">
        <v>174</v>
      </c>
      <c r="D1465" t="s">
        <v>206</v>
      </c>
      <c r="E1465" t="s">
        <v>57</v>
      </c>
      <c r="F1465">
        <v>2</v>
      </c>
      <c r="G1465">
        <v>3</v>
      </c>
      <c r="H1465" s="86">
        <v>45966.811866701399</v>
      </c>
      <c r="I1465" s="86">
        <v>45966.917385023196</v>
      </c>
      <c r="J1465" s="87">
        <v>2.5324397222222199</v>
      </c>
      <c r="K1465" s="69" t="s">
        <v>274</v>
      </c>
      <c r="P1465" s="71" t="s">
        <v>275</v>
      </c>
      <c r="Q1465" s="88">
        <v>6.9325215294862002E-3</v>
      </c>
      <c r="R1465" s="89" t="s">
        <v>276</v>
      </c>
      <c r="T1465">
        <v>10.5</v>
      </c>
      <c r="U1465" s="76">
        <v>0.2</v>
      </c>
      <c r="V1465">
        <v>11.1</v>
      </c>
      <c r="W1465" s="90">
        <v>0.1</v>
      </c>
      <c r="AG1465" s="91">
        <v>0</v>
      </c>
      <c r="AK1465" s="71">
        <v>0.15</v>
      </c>
      <c r="AL1465" s="88">
        <v>3.3446972957205001E-2</v>
      </c>
      <c r="AM1465" s="89">
        <f t="shared" si="22"/>
        <v>0.22297981971470002</v>
      </c>
    </row>
    <row r="1466" spans="1:39" x14ac:dyDescent="0.25">
      <c r="A1466" t="s">
        <v>44</v>
      </c>
      <c r="B1466" t="s">
        <v>52</v>
      </c>
      <c r="C1466" s="121" t="s">
        <v>174</v>
      </c>
      <c r="D1466" t="s">
        <v>206</v>
      </c>
      <c r="E1466" t="s">
        <v>57</v>
      </c>
      <c r="F1466">
        <v>2</v>
      </c>
      <c r="G1466">
        <v>4</v>
      </c>
      <c r="H1466" s="86">
        <v>45966.917385023196</v>
      </c>
      <c r="I1466" s="86">
        <v>45967.0229229861</v>
      </c>
      <c r="J1466" s="87">
        <v>2.53291111111111</v>
      </c>
      <c r="K1466" s="69" t="s">
        <v>274</v>
      </c>
      <c r="P1466" s="71" t="s">
        <v>275</v>
      </c>
      <c r="Q1466" s="88">
        <v>1.4143915336888401E-2</v>
      </c>
      <c r="R1466" s="89" t="s">
        <v>276</v>
      </c>
      <c r="T1466">
        <v>10.7</v>
      </c>
      <c r="U1466" s="76">
        <v>0.2</v>
      </c>
      <c r="V1466">
        <v>11</v>
      </c>
      <c r="W1466" s="90">
        <v>0.1</v>
      </c>
      <c r="AG1466" s="91">
        <v>0</v>
      </c>
      <c r="AK1466" s="71">
        <v>0.15</v>
      </c>
      <c r="AL1466" s="88">
        <v>3.3446972957205001E-2</v>
      </c>
      <c r="AM1466" s="89">
        <f t="shared" si="22"/>
        <v>0.22297981971470002</v>
      </c>
    </row>
    <row r="1467" spans="1:39" x14ac:dyDescent="0.25">
      <c r="A1467" t="s">
        <v>44</v>
      </c>
      <c r="B1467" t="s">
        <v>52</v>
      </c>
      <c r="C1467" s="121" t="s">
        <v>174</v>
      </c>
      <c r="D1467" t="s">
        <v>206</v>
      </c>
      <c r="E1467" t="s">
        <v>57</v>
      </c>
      <c r="F1467">
        <v>2</v>
      </c>
      <c r="G1467">
        <v>5</v>
      </c>
      <c r="H1467" s="86">
        <v>45967.0229229861</v>
      </c>
      <c r="I1467" s="86">
        <v>45967.128456030099</v>
      </c>
      <c r="J1467" s="87">
        <v>2.53279305555556</v>
      </c>
      <c r="K1467" s="69" t="s">
        <v>274</v>
      </c>
      <c r="P1467" s="71" t="s">
        <v>275</v>
      </c>
      <c r="Q1467" s="88">
        <v>1.37010998634528E-2</v>
      </c>
      <c r="R1467" s="89" t="s">
        <v>276</v>
      </c>
      <c r="T1467">
        <v>10.5</v>
      </c>
      <c r="U1467" s="76">
        <v>0.2</v>
      </c>
      <c r="V1467">
        <v>11</v>
      </c>
      <c r="W1467" s="90">
        <v>0.1</v>
      </c>
      <c r="AG1467" s="91">
        <v>0</v>
      </c>
      <c r="AK1467" s="71">
        <v>0.15</v>
      </c>
      <c r="AL1467" s="88">
        <v>3.3446972957205001E-2</v>
      </c>
      <c r="AM1467" s="89">
        <f t="shared" si="22"/>
        <v>0.22297981971470002</v>
      </c>
    </row>
    <row r="1468" spans="1:39" x14ac:dyDescent="0.25">
      <c r="A1468" t="s">
        <v>44</v>
      </c>
      <c r="B1468" t="s">
        <v>52</v>
      </c>
      <c r="C1468" s="121" t="s">
        <v>174</v>
      </c>
      <c r="D1468" t="s">
        <v>206</v>
      </c>
      <c r="E1468" t="s">
        <v>57</v>
      </c>
      <c r="F1468">
        <v>2</v>
      </c>
      <c r="G1468">
        <v>6</v>
      </c>
      <c r="H1468" s="86">
        <v>45967.128456030099</v>
      </c>
      <c r="I1468" s="86">
        <v>45967.233974710703</v>
      </c>
      <c r="J1468" s="87">
        <v>2.5324483333333299</v>
      </c>
      <c r="K1468" s="69" t="s">
        <v>274</v>
      </c>
      <c r="P1468" s="71" t="s">
        <v>275</v>
      </c>
      <c r="Q1468" s="88">
        <v>1.7685760618465999E-2</v>
      </c>
      <c r="R1468" s="89" t="s">
        <v>276</v>
      </c>
      <c r="T1468">
        <v>10.6</v>
      </c>
      <c r="U1468" s="76">
        <v>0.2</v>
      </c>
      <c r="V1468">
        <v>10.9</v>
      </c>
      <c r="W1468" s="90">
        <v>0.1</v>
      </c>
      <c r="AG1468" s="91">
        <v>0</v>
      </c>
      <c r="AK1468" s="71">
        <v>0.15</v>
      </c>
      <c r="AL1468" s="88">
        <v>3.3446972957205001E-2</v>
      </c>
      <c r="AM1468" s="89">
        <f t="shared" si="22"/>
        <v>0.22297981971470002</v>
      </c>
    </row>
    <row r="1469" spans="1:39" x14ac:dyDescent="0.25">
      <c r="A1469" t="s">
        <v>44</v>
      </c>
      <c r="B1469" t="s">
        <v>52</v>
      </c>
      <c r="C1469" s="121" t="s">
        <v>174</v>
      </c>
      <c r="D1469" t="s">
        <v>206</v>
      </c>
      <c r="E1469" t="s">
        <v>57</v>
      </c>
      <c r="F1469">
        <v>2</v>
      </c>
      <c r="G1469">
        <v>7</v>
      </c>
      <c r="H1469" s="86">
        <v>45967.233974710703</v>
      </c>
      <c r="I1469" s="86">
        <v>45967.3394966782</v>
      </c>
      <c r="J1469" s="87">
        <v>2.5325272222222202</v>
      </c>
      <c r="K1469" s="69" t="s">
        <v>274</v>
      </c>
      <c r="P1469" s="71" t="s">
        <v>275</v>
      </c>
      <c r="Q1469" s="88">
        <v>1.6620059827611802E-2</v>
      </c>
      <c r="R1469" s="89" t="s">
        <v>276</v>
      </c>
      <c r="T1469">
        <v>9.9</v>
      </c>
      <c r="U1469" s="76">
        <v>0.2</v>
      </c>
      <c r="V1469">
        <v>10.9</v>
      </c>
      <c r="W1469" s="90">
        <v>0.1</v>
      </c>
      <c r="AG1469" s="91">
        <v>0</v>
      </c>
      <c r="AK1469" s="71">
        <v>0.15</v>
      </c>
      <c r="AL1469" s="88">
        <v>3.3446972957205001E-2</v>
      </c>
      <c r="AM1469" s="89">
        <f t="shared" si="22"/>
        <v>0.22297981971470002</v>
      </c>
    </row>
    <row r="1470" spans="1:39" x14ac:dyDescent="0.25">
      <c r="A1470" t="s">
        <v>44</v>
      </c>
      <c r="B1470" t="s">
        <v>52</v>
      </c>
      <c r="C1470" s="121" t="s">
        <v>174</v>
      </c>
      <c r="D1470" t="s">
        <v>206</v>
      </c>
      <c r="E1470" t="s">
        <v>57</v>
      </c>
      <c r="F1470">
        <v>2</v>
      </c>
      <c r="G1470">
        <v>8</v>
      </c>
      <c r="H1470" s="86">
        <v>45967.3394966782</v>
      </c>
      <c r="I1470" s="86">
        <v>45967.445034837998</v>
      </c>
      <c r="J1470" s="87">
        <v>2.5329158333333299</v>
      </c>
      <c r="K1470" s="69" t="s">
        <v>274</v>
      </c>
      <c r="P1470" s="71" t="s">
        <v>275</v>
      </c>
      <c r="Q1470" s="88">
        <v>1.7420588260552101E-2</v>
      </c>
      <c r="R1470" s="89" t="s">
        <v>276</v>
      </c>
      <c r="T1470">
        <v>9.9</v>
      </c>
      <c r="U1470" s="76">
        <v>0.2</v>
      </c>
      <c r="V1470">
        <v>10.9</v>
      </c>
      <c r="W1470" s="90">
        <v>0.1</v>
      </c>
      <c r="AG1470" s="91">
        <v>0</v>
      </c>
      <c r="AK1470" s="71">
        <v>0.15</v>
      </c>
      <c r="AL1470" s="88">
        <v>3.3446972957205001E-2</v>
      </c>
      <c r="AM1470" s="89">
        <f t="shared" si="22"/>
        <v>0.22297981971470002</v>
      </c>
    </row>
    <row r="1471" spans="1:39" x14ac:dyDescent="0.25">
      <c r="A1471" t="s">
        <v>44</v>
      </c>
      <c r="B1471" t="s">
        <v>52</v>
      </c>
      <c r="C1471" s="121" t="s">
        <v>174</v>
      </c>
      <c r="D1471" t="s">
        <v>206</v>
      </c>
      <c r="E1471" t="s">
        <v>57</v>
      </c>
      <c r="F1471">
        <v>2</v>
      </c>
      <c r="G1471">
        <v>9</v>
      </c>
      <c r="H1471" s="86">
        <v>45967.445034837998</v>
      </c>
      <c r="I1471" s="86">
        <v>45967.550560868098</v>
      </c>
      <c r="J1471" s="87">
        <v>2.53262472222222</v>
      </c>
      <c r="K1471" s="69" t="s">
        <v>274</v>
      </c>
      <c r="P1471" s="71" t="s">
        <v>275</v>
      </c>
      <c r="Q1471" s="88">
        <v>5.5632041848851801E-2</v>
      </c>
      <c r="R1471" s="89" t="s">
        <v>276</v>
      </c>
      <c r="T1471">
        <v>14</v>
      </c>
      <c r="U1471" s="76">
        <v>0.2</v>
      </c>
      <c r="V1471">
        <v>10.9</v>
      </c>
      <c r="W1471" s="90">
        <v>0.1</v>
      </c>
      <c r="AG1471" s="91">
        <v>0</v>
      </c>
      <c r="AK1471" s="71">
        <v>0.15</v>
      </c>
      <c r="AL1471" s="88">
        <v>3.3446972957205001E-2</v>
      </c>
      <c r="AM1471" s="89">
        <f t="shared" si="22"/>
        <v>0.22297981971470002</v>
      </c>
    </row>
    <row r="1472" spans="1:39" x14ac:dyDescent="0.25">
      <c r="A1472" t="s">
        <v>44</v>
      </c>
      <c r="B1472" t="s">
        <v>52</v>
      </c>
      <c r="C1472" s="121" t="s">
        <v>174</v>
      </c>
      <c r="D1472" t="s">
        <v>206</v>
      </c>
      <c r="E1472" t="s">
        <v>57</v>
      </c>
      <c r="F1472">
        <v>2</v>
      </c>
      <c r="G1472">
        <v>10</v>
      </c>
      <c r="H1472" s="86">
        <v>45967.550560868098</v>
      </c>
      <c r="I1472" s="86">
        <v>45967.656081527799</v>
      </c>
      <c r="J1472" s="87">
        <v>2.5324958333333298</v>
      </c>
      <c r="K1472" s="69" t="s">
        <v>274</v>
      </c>
      <c r="P1472" s="71" t="s">
        <v>275</v>
      </c>
      <c r="Q1472" s="88">
        <v>8.1373430273285002E-2</v>
      </c>
      <c r="R1472" s="89" t="s">
        <v>276</v>
      </c>
      <c r="T1472">
        <v>15.9</v>
      </c>
      <c r="U1472" s="76">
        <v>0.2</v>
      </c>
      <c r="V1472">
        <v>11</v>
      </c>
      <c r="W1472" s="90">
        <v>0.1</v>
      </c>
      <c r="AG1472" s="91">
        <v>0</v>
      </c>
      <c r="AK1472" s="71">
        <v>0.15</v>
      </c>
      <c r="AL1472" s="88">
        <v>3.3446972957205001E-2</v>
      </c>
      <c r="AM1472" s="89">
        <f t="shared" si="22"/>
        <v>0.22297981971470002</v>
      </c>
    </row>
    <row r="1473" spans="1:39" x14ac:dyDescent="0.25">
      <c r="A1473" t="s">
        <v>44</v>
      </c>
      <c r="B1473" t="s">
        <v>52</v>
      </c>
      <c r="C1473" s="121" t="s">
        <v>174</v>
      </c>
      <c r="D1473" t="s">
        <v>206</v>
      </c>
      <c r="E1473" t="s">
        <v>57</v>
      </c>
      <c r="F1473">
        <v>2</v>
      </c>
      <c r="G1473">
        <v>11</v>
      </c>
      <c r="H1473" s="86">
        <v>45967.656081527799</v>
      </c>
      <c r="I1473" s="86">
        <v>45967.761601851897</v>
      </c>
      <c r="J1473" s="87">
        <v>2.5324877777777801</v>
      </c>
      <c r="K1473" s="69" t="s">
        <v>274</v>
      </c>
      <c r="P1473" s="71" t="s">
        <v>275</v>
      </c>
      <c r="Q1473" s="88">
        <v>3.1756416654200099E-2</v>
      </c>
      <c r="R1473" s="89" t="s">
        <v>276</v>
      </c>
      <c r="T1473">
        <v>10.7</v>
      </c>
      <c r="U1473" s="76">
        <v>0.2</v>
      </c>
      <c r="V1473">
        <v>11.2</v>
      </c>
      <c r="W1473" s="90">
        <v>0.1</v>
      </c>
      <c r="AG1473" s="91">
        <v>0</v>
      </c>
      <c r="AK1473" s="71">
        <v>0.15</v>
      </c>
      <c r="AL1473" s="88">
        <v>3.3446972957205001E-2</v>
      </c>
      <c r="AM1473" s="89">
        <f t="shared" si="22"/>
        <v>0.22297981971470002</v>
      </c>
    </row>
    <row r="1474" spans="1:39" x14ac:dyDescent="0.25">
      <c r="A1474" t="s">
        <v>44</v>
      </c>
      <c r="B1474" t="s">
        <v>52</v>
      </c>
      <c r="C1474" s="121" t="s">
        <v>174</v>
      </c>
      <c r="D1474" t="s">
        <v>206</v>
      </c>
      <c r="E1474" t="s">
        <v>57</v>
      </c>
      <c r="F1474">
        <v>2</v>
      </c>
      <c r="G1474">
        <v>12</v>
      </c>
      <c r="H1474" s="86">
        <v>45967.761601851897</v>
      </c>
      <c r="I1474" s="86">
        <v>45967.867124259297</v>
      </c>
      <c r="J1474" s="87">
        <v>2.53253777777778</v>
      </c>
      <c r="K1474" s="69" t="s">
        <v>274</v>
      </c>
      <c r="P1474" s="71" t="s">
        <v>275</v>
      </c>
      <c r="Q1474" s="88">
        <v>1.0676760822865601E-2</v>
      </c>
      <c r="R1474" s="89" t="s">
        <v>276</v>
      </c>
      <c r="T1474">
        <v>7.9</v>
      </c>
      <c r="U1474" s="76">
        <v>0.2</v>
      </c>
      <c r="V1474">
        <v>11.2</v>
      </c>
      <c r="W1474" s="90">
        <v>0.1</v>
      </c>
      <c r="AG1474" s="91">
        <v>0</v>
      </c>
      <c r="AK1474" s="71">
        <v>0.15</v>
      </c>
      <c r="AL1474" s="88">
        <v>3.3446972957205001E-2</v>
      </c>
      <c r="AM1474" s="89">
        <f t="shared" si="22"/>
        <v>0.22297981971470002</v>
      </c>
    </row>
    <row r="1475" spans="1:39" x14ac:dyDescent="0.25">
      <c r="A1475" t="s">
        <v>44</v>
      </c>
      <c r="B1475" t="s">
        <v>52</v>
      </c>
      <c r="C1475" s="121" t="s">
        <v>174</v>
      </c>
      <c r="D1475" t="s">
        <v>206</v>
      </c>
      <c r="E1475" t="s">
        <v>57</v>
      </c>
      <c r="F1475">
        <v>2</v>
      </c>
      <c r="G1475">
        <v>13</v>
      </c>
      <c r="H1475" s="86">
        <v>45967.867124259297</v>
      </c>
      <c r="I1475" s="86">
        <v>45967.972646805603</v>
      </c>
      <c r="J1475" s="87">
        <v>2.5325411111111098</v>
      </c>
      <c r="K1475" s="69" t="s">
        <v>274</v>
      </c>
      <c r="P1475" s="71" t="s">
        <v>275</v>
      </c>
      <c r="Q1475" s="88">
        <v>7.1411594130557999E-3</v>
      </c>
      <c r="R1475" s="89" t="s">
        <v>276</v>
      </c>
      <c r="T1475">
        <v>6.8</v>
      </c>
      <c r="U1475" s="76">
        <v>0.2</v>
      </c>
      <c r="V1475">
        <v>10.9</v>
      </c>
      <c r="W1475" s="90">
        <v>0.1</v>
      </c>
      <c r="AG1475" s="91">
        <v>0</v>
      </c>
      <c r="AK1475" s="71">
        <v>0.15</v>
      </c>
      <c r="AL1475" s="88">
        <v>3.3446972957205001E-2</v>
      </c>
      <c r="AM1475" s="89">
        <f t="shared" si="22"/>
        <v>0.22297981971470002</v>
      </c>
    </row>
    <row r="1476" spans="1:39" x14ac:dyDescent="0.25">
      <c r="A1476" t="s">
        <v>44</v>
      </c>
      <c r="B1476" t="s">
        <v>52</v>
      </c>
      <c r="C1476" s="121" t="s">
        <v>174</v>
      </c>
      <c r="D1476" t="s">
        <v>206</v>
      </c>
      <c r="E1476" t="s">
        <v>57</v>
      </c>
      <c r="F1476">
        <v>2</v>
      </c>
      <c r="G1476">
        <v>14</v>
      </c>
      <c r="H1476" s="86">
        <v>45967.972646805603</v>
      </c>
      <c r="I1476" s="86">
        <v>45968.078173182897</v>
      </c>
      <c r="J1476" s="87">
        <v>2.5326330555555598</v>
      </c>
      <c r="K1476" s="69" t="s">
        <v>274</v>
      </c>
      <c r="P1476" s="71" t="s">
        <v>275</v>
      </c>
      <c r="Q1476" s="88">
        <v>1.0284432438960401E-2</v>
      </c>
      <c r="R1476" s="89" t="s">
        <v>276</v>
      </c>
      <c r="T1476">
        <v>7.1</v>
      </c>
      <c r="U1476" s="76">
        <v>0.2</v>
      </c>
      <c r="V1476">
        <v>10.7</v>
      </c>
      <c r="W1476" s="90">
        <v>0.1</v>
      </c>
      <c r="AG1476" s="91">
        <v>0</v>
      </c>
      <c r="AK1476" s="71">
        <v>0.15</v>
      </c>
      <c r="AL1476" s="88">
        <v>3.3446972957205001E-2</v>
      </c>
      <c r="AM1476" s="89">
        <f t="shared" si="22"/>
        <v>0.22297981971470002</v>
      </c>
    </row>
    <row r="1477" spans="1:39" x14ac:dyDescent="0.25">
      <c r="A1477" t="s">
        <v>44</v>
      </c>
      <c r="B1477" t="s">
        <v>52</v>
      </c>
      <c r="C1477" s="121" t="s">
        <v>174</v>
      </c>
      <c r="D1477" t="s">
        <v>206</v>
      </c>
      <c r="E1477" t="s">
        <v>57</v>
      </c>
      <c r="F1477">
        <v>2</v>
      </c>
      <c r="G1477">
        <v>15</v>
      </c>
      <c r="H1477" s="86">
        <v>45968.078173182897</v>
      </c>
      <c r="I1477" s="86">
        <v>45968.183695925902</v>
      </c>
      <c r="J1477" s="87">
        <v>2.5325458333333302</v>
      </c>
      <c r="K1477" s="69" t="s">
        <v>274</v>
      </c>
      <c r="P1477" s="71" t="s">
        <v>275</v>
      </c>
      <c r="Q1477" s="88">
        <v>6.9726961545683898E-3</v>
      </c>
      <c r="R1477" s="89" t="s">
        <v>276</v>
      </c>
      <c r="T1477">
        <v>4.8</v>
      </c>
      <c r="U1477" s="76">
        <v>0.2</v>
      </c>
      <c r="V1477">
        <v>10.5</v>
      </c>
      <c r="W1477" s="90">
        <v>0.1</v>
      </c>
      <c r="AG1477" s="91">
        <v>0</v>
      </c>
      <c r="AK1477" s="71">
        <v>0.15</v>
      </c>
      <c r="AL1477" s="88">
        <v>3.3446972957205001E-2</v>
      </c>
      <c r="AM1477" s="89">
        <f t="shared" ref="AM1477:AM1540" si="23">AL1477/AK1477</f>
        <v>0.22297981971470002</v>
      </c>
    </row>
    <row r="1478" spans="1:39" x14ac:dyDescent="0.25">
      <c r="A1478" t="s">
        <v>44</v>
      </c>
      <c r="B1478" t="s">
        <v>52</v>
      </c>
      <c r="C1478" s="121" t="s">
        <v>174</v>
      </c>
      <c r="D1478" t="s">
        <v>206</v>
      </c>
      <c r="E1478" t="s">
        <v>57</v>
      </c>
      <c r="F1478">
        <v>2</v>
      </c>
      <c r="G1478">
        <v>16</v>
      </c>
      <c r="H1478" s="86">
        <v>45968.183695925902</v>
      </c>
      <c r="I1478" s="86">
        <v>45968.289223692103</v>
      </c>
      <c r="J1478" s="87">
        <v>2.5326663888888898</v>
      </c>
      <c r="K1478" s="69" t="s">
        <v>274</v>
      </c>
      <c r="P1478" s="71" t="s">
        <v>275</v>
      </c>
      <c r="Q1478" s="88">
        <v>3.7914085570550401E-3</v>
      </c>
      <c r="R1478" s="89" t="s">
        <v>276</v>
      </c>
      <c r="T1478">
        <v>4</v>
      </c>
      <c r="U1478" s="76">
        <v>0.2</v>
      </c>
      <c r="V1478">
        <v>10.199999999999999</v>
      </c>
      <c r="W1478" s="90">
        <v>0.1</v>
      </c>
      <c r="AG1478" s="91">
        <v>0</v>
      </c>
      <c r="AK1478" s="71">
        <v>0.15</v>
      </c>
      <c r="AL1478" s="88">
        <v>3.3446972957205001E-2</v>
      </c>
      <c r="AM1478" s="89">
        <f t="shared" si="23"/>
        <v>0.22297981971470002</v>
      </c>
    </row>
    <row r="1479" spans="1:39" x14ac:dyDescent="0.25">
      <c r="A1479" t="s">
        <v>44</v>
      </c>
      <c r="B1479" t="s">
        <v>52</v>
      </c>
      <c r="C1479" s="121" t="s">
        <v>174</v>
      </c>
      <c r="D1479" t="s">
        <v>206</v>
      </c>
      <c r="E1479" t="s">
        <v>57</v>
      </c>
      <c r="F1479">
        <v>2</v>
      </c>
      <c r="G1479">
        <v>17</v>
      </c>
      <c r="H1479" s="86">
        <v>45968.289223692103</v>
      </c>
      <c r="I1479" s="86">
        <v>45968.394748680599</v>
      </c>
      <c r="J1479" s="87">
        <v>2.5325997222222201</v>
      </c>
      <c r="K1479" s="69" t="s">
        <v>274</v>
      </c>
      <c r="P1479" s="71" t="s">
        <v>275</v>
      </c>
      <c r="Q1479" s="88">
        <v>3.3032334952281198E-3</v>
      </c>
      <c r="R1479" s="89" t="s">
        <v>276</v>
      </c>
      <c r="T1479">
        <v>6.3</v>
      </c>
      <c r="U1479" s="76">
        <v>0.2</v>
      </c>
      <c r="V1479">
        <v>9.9</v>
      </c>
      <c r="W1479" s="90">
        <v>0.1</v>
      </c>
      <c r="AG1479" s="91">
        <v>0</v>
      </c>
      <c r="AK1479" s="71">
        <v>0.15</v>
      </c>
      <c r="AL1479" s="88">
        <v>3.3446972957205001E-2</v>
      </c>
      <c r="AM1479" s="89">
        <f t="shared" si="23"/>
        <v>0.22297981971470002</v>
      </c>
    </row>
    <row r="1480" spans="1:39" x14ac:dyDescent="0.25">
      <c r="A1480" t="s">
        <v>44</v>
      </c>
      <c r="B1480" t="s">
        <v>52</v>
      </c>
      <c r="C1480" s="121" t="s">
        <v>174</v>
      </c>
      <c r="D1480" t="s">
        <v>206</v>
      </c>
      <c r="E1480" t="s">
        <v>57</v>
      </c>
      <c r="F1480">
        <v>2</v>
      </c>
      <c r="G1480">
        <v>18</v>
      </c>
      <c r="H1480" s="86">
        <v>45968.394748680599</v>
      </c>
      <c r="I1480" s="86">
        <v>45968.500272442099</v>
      </c>
      <c r="J1480" s="87">
        <v>2.5325702777777801</v>
      </c>
      <c r="K1480" s="69" t="s">
        <v>274</v>
      </c>
      <c r="P1480" s="71" t="s">
        <v>275</v>
      </c>
      <c r="Q1480" s="88">
        <v>8.6368755041582295E-3</v>
      </c>
      <c r="R1480" s="89" t="s">
        <v>276</v>
      </c>
      <c r="T1480">
        <v>7.7</v>
      </c>
      <c r="U1480" s="76">
        <v>0.2</v>
      </c>
      <c r="V1480">
        <v>9.8000000000000007</v>
      </c>
      <c r="W1480" s="90">
        <v>0.1</v>
      </c>
      <c r="AG1480" s="91">
        <v>0</v>
      </c>
      <c r="AK1480" s="71">
        <v>0.15</v>
      </c>
      <c r="AL1480" s="88">
        <v>3.3446972957205001E-2</v>
      </c>
      <c r="AM1480" s="89">
        <f t="shared" si="23"/>
        <v>0.22297981971470002</v>
      </c>
    </row>
    <row r="1481" spans="1:39" x14ac:dyDescent="0.25">
      <c r="A1481" t="s">
        <v>44</v>
      </c>
      <c r="B1481" t="s">
        <v>52</v>
      </c>
      <c r="C1481" s="121" t="s">
        <v>174</v>
      </c>
      <c r="D1481" t="s">
        <v>206</v>
      </c>
      <c r="E1481" t="s">
        <v>57</v>
      </c>
      <c r="F1481">
        <v>2</v>
      </c>
      <c r="G1481">
        <v>19</v>
      </c>
      <c r="H1481" s="86">
        <v>45968.500272442099</v>
      </c>
      <c r="I1481" s="86">
        <v>45968.605778460696</v>
      </c>
      <c r="J1481" s="87">
        <v>2.5321444444444401</v>
      </c>
      <c r="K1481" s="69" t="s">
        <v>274</v>
      </c>
      <c r="P1481" s="71" t="s">
        <v>275</v>
      </c>
      <c r="Q1481" s="88">
        <v>3.2858760959937998E-2</v>
      </c>
      <c r="R1481" s="89" t="s">
        <v>276</v>
      </c>
      <c r="T1481">
        <v>9.4</v>
      </c>
      <c r="U1481" s="76">
        <v>0.2</v>
      </c>
      <c r="V1481">
        <v>9.9</v>
      </c>
      <c r="W1481" s="90">
        <v>0.1</v>
      </c>
      <c r="AG1481" s="91">
        <v>0</v>
      </c>
      <c r="AK1481" s="71">
        <v>0.15</v>
      </c>
      <c r="AL1481" s="88">
        <v>3.3446972957205001E-2</v>
      </c>
      <c r="AM1481" s="89">
        <f t="shared" si="23"/>
        <v>0.22297981971470002</v>
      </c>
    </row>
    <row r="1482" spans="1:39" x14ac:dyDescent="0.25">
      <c r="A1482" t="s">
        <v>44</v>
      </c>
      <c r="B1482" t="s">
        <v>52</v>
      </c>
      <c r="C1482" s="121" t="s">
        <v>174</v>
      </c>
      <c r="D1482" t="s">
        <v>206</v>
      </c>
      <c r="E1482" t="s">
        <v>57</v>
      </c>
      <c r="F1482">
        <v>2</v>
      </c>
      <c r="G1482">
        <v>20</v>
      </c>
      <c r="H1482" s="86">
        <v>45968.605778460696</v>
      </c>
      <c r="I1482" s="86">
        <v>45968.711279398201</v>
      </c>
      <c r="J1482" s="87">
        <v>2.5320225000000001</v>
      </c>
      <c r="K1482" s="69" t="s">
        <v>274</v>
      </c>
      <c r="P1482" s="71" t="s">
        <v>275</v>
      </c>
      <c r="Q1482" s="88">
        <v>1.8275512098454301E-2</v>
      </c>
      <c r="R1482" s="89" t="s">
        <v>276</v>
      </c>
      <c r="T1482">
        <v>8.3000000000000007</v>
      </c>
      <c r="U1482" s="76">
        <v>0.2</v>
      </c>
      <c r="V1482">
        <v>10.1</v>
      </c>
      <c r="W1482" s="90">
        <v>0.1</v>
      </c>
      <c r="AG1482" s="91">
        <v>0</v>
      </c>
      <c r="AK1482" s="71">
        <v>0.15</v>
      </c>
      <c r="AL1482" s="88">
        <v>3.3446972957205001E-2</v>
      </c>
      <c r="AM1482" s="89">
        <f t="shared" si="23"/>
        <v>0.22297981971470002</v>
      </c>
    </row>
    <row r="1483" spans="1:39" x14ac:dyDescent="0.25">
      <c r="A1483" t="s">
        <v>44</v>
      </c>
      <c r="B1483" t="s">
        <v>52</v>
      </c>
      <c r="C1483" s="121" t="s">
        <v>174</v>
      </c>
      <c r="D1483" t="s">
        <v>206</v>
      </c>
      <c r="E1483" t="s">
        <v>57</v>
      </c>
      <c r="F1483">
        <v>2</v>
      </c>
      <c r="G1483">
        <v>21</v>
      </c>
      <c r="H1483" s="86">
        <v>45968.711279398201</v>
      </c>
      <c r="I1483" s="86">
        <v>45968.816775127299</v>
      </c>
      <c r="J1483" s="87">
        <v>2.5318974999999999</v>
      </c>
      <c r="K1483" s="69" t="s">
        <v>274</v>
      </c>
      <c r="P1483" s="71" t="s">
        <v>275</v>
      </c>
      <c r="Q1483" s="88">
        <v>1.3658414202914901E-2</v>
      </c>
      <c r="R1483" s="89" t="s">
        <v>276</v>
      </c>
      <c r="T1483">
        <v>7.9</v>
      </c>
      <c r="U1483" s="76">
        <v>0.2</v>
      </c>
      <c r="V1483">
        <v>10.199999999999999</v>
      </c>
      <c r="W1483" s="90">
        <v>0.1</v>
      </c>
      <c r="AG1483" s="91">
        <v>0</v>
      </c>
      <c r="AK1483" s="71">
        <v>0.15</v>
      </c>
      <c r="AL1483" s="88">
        <v>3.3446972957205001E-2</v>
      </c>
      <c r="AM1483" s="89">
        <f t="shared" si="23"/>
        <v>0.22297981971470002</v>
      </c>
    </row>
    <row r="1484" spans="1:39" x14ac:dyDescent="0.25">
      <c r="A1484" t="s">
        <v>44</v>
      </c>
      <c r="B1484" t="s">
        <v>52</v>
      </c>
      <c r="C1484" s="121" t="s">
        <v>174</v>
      </c>
      <c r="D1484" t="s">
        <v>206</v>
      </c>
      <c r="E1484" t="s">
        <v>57</v>
      </c>
      <c r="F1484">
        <v>2</v>
      </c>
      <c r="G1484">
        <v>22</v>
      </c>
      <c r="H1484" s="86">
        <v>45968.816775127299</v>
      </c>
      <c r="I1484" s="86">
        <v>45968.922267060203</v>
      </c>
      <c r="J1484" s="87">
        <v>2.53180638888889</v>
      </c>
      <c r="K1484" s="69" t="s">
        <v>274</v>
      </c>
      <c r="P1484" s="71" t="s">
        <v>275</v>
      </c>
      <c r="Q1484" s="88">
        <v>9.6898864976377695E-3</v>
      </c>
      <c r="R1484" s="89" t="s">
        <v>276</v>
      </c>
      <c r="T1484">
        <v>7.8</v>
      </c>
      <c r="U1484" s="76">
        <v>0.2</v>
      </c>
      <c r="V1484">
        <v>10.199999999999999</v>
      </c>
      <c r="W1484" s="90">
        <v>0.1</v>
      </c>
      <c r="AG1484" s="91">
        <v>0</v>
      </c>
      <c r="AK1484" s="71">
        <v>0.15</v>
      </c>
      <c r="AL1484" s="88">
        <v>3.3446972957205001E-2</v>
      </c>
      <c r="AM1484" s="89">
        <f t="shared" si="23"/>
        <v>0.22297981971470002</v>
      </c>
    </row>
    <row r="1485" spans="1:39" x14ac:dyDescent="0.25">
      <c r="A1485" t="s">
        <v>44</v>
      </c>
      <c r="B1485" t="s">
        <v>52</v>
      </c>
      <c r="C1485" s="121" t="s">
        <v>174</v>
      </c>
      <c r="D1485" t="s">
        <v>206</v>
      </c>
      <c r="E1485" t="s">
        <v>57</v>
      </c>
      <c r="F1485">
        <v>2</v>
      </c>
      <c r="G1485">
        <v>23</v>
      </c>
      <c r="H1485" s="86">
        <v>45968.922267060203</v>
      </c>
      <c r="I1485" s="86">
        <v>45969.027772661997</v>
      </c>
      <c r="J1485" s="87">
        <v>2.53213444444444</v>
      </c>
      <c r="K1485" s="69" t="s">
        <v>274</v>
      </c>
      <c r="P1485" s="71" t="s">
        <v>275</v>
      </c>
      <c r="Q1485" s="88">
        <v>8.0691426138053395E-3</v>
      </c>
      <c r="R1485" s="89" t="s">
        <v>276</v>
      </c>
      <c r="T1485">
        <v>7.9</v>
      </c>
      <c r="U1485" s="76">
        <v>0.2</v>
      </c>
      <c r="V1485">
        <v>10.199999999999999</v>
      </c>
      <c r="W1485" s="90">
        <v>0.1</v>
      </c>
      <c r="AG1485" s="91">
        <v>0</v>
      </c>
      <c r="AK1485" s="71">
        <v>0.15</v>
      </c>
      <c r="AL1485" s="88">
        <v>3.3446972957205001E-2</v>
      </c>
      <c r="AM1485" s="89">
        <f t="shared" si="23"/>
        <v>0.22297981971470002</v>
      </c>
    </row>
    <row r="1486" spans="1:39" x14ac:dyDescent="0.25">
      <c r="A1486" t="s">
        <v>44</v>
      </c>
      <c r="B1486" t="s">
        <v>52</v>
      </c>
      <c r="C1486" s="121" t="s">
        <v>174</v>
      </c>
      <c r="D1486" t="s">
        <v>206</v>
      </c>
      <c r="E1486" t="s">
        <v>57</v>
      </c>
      <c r="F1486">
        <v>2</v>
      </c>
      <c r="G1486">
        <v>24</v>
      </c>
      <c r="H1486" s="86">
        <v>45969.027772661997</v>
      </c>
      <c r="I1486" s="86">
        <v>45969.133274780099</v>
      </c>
      <c r="J1486" s="87">
        <v>2.5320508333333298</v>
      </c>
      <c r="K1486" s="69" t="s">
        <v>274</v>
      </c>
      <c r="P1486" s="71" t="s">
        <v>275</v>
      </c>
      <c r="Q1486" s="88">
        <v>9.6904260919445807E-3</v>
      </c>
      <c r="R1486" s="89" t="s">
        <v>276</v>
      </c>
      <c r="T1486">
        <v>8.1999999999999993</v>
      </c>
      <c r="U1486" s="76">
        <v>0.2</v>
      </c>
      <c r="V1486">
        <v>10.1</v>
      </c>
      <c r="W1486" s="90">
        <v>0.1</v>
      </c>
      <c r="AG1486" s="91">
        <v>0</v>
      </c>
      <c r="AK1486" s="71">
        <v>0.15</v>
      </c>
      <c r="AL1486" s="88">
        <v>3.3446972957205001E-2</v>
      </c>
      <c r="AM1486" s="89">
        <f t="shared" si="23"/>
        <v>0.22297981971470002</v>
      </c>
    </row>
    <row r="1487" spans="1:39" x14ac:dyDescent="0.25">
      <c r="A1487" t="s">
        <v>44</v>
      </c>
      <c r="B1487" t="s">
        <v>52</v>
      </c>
      <c r="C1487" s="121" t="s">
        <v>174</v>
      </c>
      <c r="D1487" t="s">
        <v>206</v>
      </c>
      <c r="E1487" t="s">
        <v>57</v>
      </c>
      <c r="F1487">
        <v>2</v>
      </c>
      <c r="G1487">
        <v>25</v>
      </c>
      <c r="H1487" s="86">
        <v>45969.133274780099</v>
      </c>
      <c r="I1487" s="86">
        <v>45969.238771354198</v>
      </c>
      <c r="J1487" s="87">
        <v>2.5319177777777799</v>
      </c>
      <c r="K1487" s="69" t="s">
        <v>274</v>
      </c>
      <c r="P1487" s="71" t="s">
        <v>275</v>
      </c>
      <c r="Q1487" s="88">
        <v>1.0602366456424501E-2</v>
      </c>
      <c r="R1487" s="89" t="s">
        <v>276</v>
      </c>
      <c r="T1487">
        <v>8.1999999999999993</v>
      </c>
      <c r="U1487" s="76">
        <v>0.2</v>
      </c>
      <c r="V1487">
        <v>10.1</v>
      </c>
      <c r="W1487" s="90">
        <v>0.1</v>
      </c>
      <c r="AG1487" s="91">
        <v>0</v>
      </c>
      <c r="AK1487" s="71">
        <v>0.15</v>
      </c>
      <c r="AL1487" s="88">
        <v>3.3446972957205001E-2</v>
      </c>
      <c r="AM1487" s="89">
        <f t="shared" si="23"/>
        <v>0.22297981971470002</v>
      </c>
    </row>
    <row r="1488" spans="1:39" x14ac:dyDescent="0.25">
      <c r="A1488" t="s">
        <v>44</v>
      </c>
      <c r="B1488" t="s">
        <v>52</v>
      </c>
      <c r="C1488" s="121" t="s">
        <v>174</v>
      </c>
      <c r="D1488" t="s">
        <v>206</v>
      </c>
      <c r="E1488" t="s">
        <v>57</v>
      </c>
      <c r="F1488">
        <v>2</v>
      </c>
      <c r="G1488">
        <v>26</v>
      </c>
      <c r="H1488" s="86">
        <v>45969.238771354198</v>
      </c>
      <c r="I1488" s="86">
        <v>45969.344278402801</v>
      </c>
      <c r="J1488" s="87">
        <v>2.5321691666666699</v>
      </c>
      <c r="K1488" s="69" t="s">
        <v>274</v>
      </c>
      <c r="P1488" s="71" t="s">
        <v>275</v>
      </c>
      <c r="Q1488" s="88">
        <v>9.1598711332608294E-3</v>
      </c>
      <c r="R1488" s="89" t="s">
        <v>276</v>
      </c>
      <c r="T1488">
        <v>8</v>
      </c>
      <c r="U1488" s="76">
        <v>0.2</v>
      </c>
      <c r="V1488">
        <v>10.1</v>
      </c>
      <c r="W1488" s="90">
        <v>0.1</v>
      </c>
      <c r="AG1488" s="91">
        <v>0</v>
      </c>
      <c r="AK1488" s="71">
        <v>0.15</v>
      </c>
      <c r="AL1488" s="88">
        <v>3.3446972957205001E-2</v>
      </c>
      <c r="AM1488" s="89">
        <f t="shared" si="23"/>
        <v>0.22297981971470002</v>
      </c>
    </row>
    <row r="1489" spans="1:39" x14ac:dyDescent="0.25">
      <c r="A1489" t="s">
        <v>44</v>
      </c>
      <c r="B1489" t="s">
        <v>52</v>
      </c>
      <c r="C1489" s="121" t="s">
        <v>174</v>
      </c>
      <c r="D1489" t="s">
        <v>206</v>
      </c>
      <c r="E1489" t="s">
        <v>57</v>
      </c>
      <c r="F1489">
        <v>2</v>
      </c>
      <c r="G1489">
        <v>27</v>
      </c>
      <c r="H1489" s="86">
        <v>45969.344278402801</v>
      </c>
      <c r="I1489" s="86">
        <v>45969.449775520799</v>
      </c>
      <c r="J1489" s="87">
        <v>2.5319308333333299</v>
      </c>
      <c r="K1489" s="69" t="s">
        <v>274</v>
      </c>
      <c r="P1489" s="71" t="s">
        <v>275</v>
      </c>
      <c r="Q1489" s="88">
        <v>9.3094966210882004E-3</v>
      </c>
      <c r="R1489" s="89" t="s">
        <v>276</v>
      </c>
      <c r="T1489">
        <v>8.1</v>
      </c>
      <c r="U1489" s="76">
        <v>0.2</v>
      </c>
      <c r="V1489">
        <v>10.1</v>
      </c>
      <c r="W1489" s="90">
        <v>0.1</v>
      </c>
      <c r="AG1489" s="91">
        <v>0</v>
      </c>
      <c r="AK1489" s="71">
        <v>0.15</v>
      </c>
      <c r="AL1489" s="88">
        <v>3.3446972957205001E-2</v>
      </c>
      <c r="AM1489" s="89">
        <f t="shared" si="23"/>
        <v>0.22297981971470002</v>
      </c>
    </row>
    <row r="1490" spans="1:39" x14ac:dyDescent="0.25">
      <c r="A1490" t="s">
        <v>44</v>
      </c>
      <c r="B1490" t="s">
        <v>52</v>
      </c>
      <c r="C1490" s="121" t="s">
        <v>174</v>
      </c>
      <c r="D1490" t="s">
        <v>206</v>
      </c>
      <c r="E1490" t="s">
        <v>57</v>
      </c>
      <c r="F1490">
        <v>2</v>
      </c>
      <c r="G1490">
        <v>28</v>
      </c>
      <c r="H1490" s="86">
        <v>45969.449775520799</v>
      </c>
      <c r="I1490" s="86">
        <v>45969.5552830671</v>
      </c>
      <c r="J1490" s="87">
        <v>2.5321811111111101</v>
      </c>
      <c r="K1490" s="69" t="s">
        <v>274</v>
      </c>
      <c r="P1490" s="71" t="s">
        <v>275</v>
      </c>
      <c r="Q1490" s="88">
        <v>1.2160665370275299E-2</v>
      </c>
      <c r="R1490" s="89" t="s">
        <v>276</v>
      </c>
      <c r="T1490">
        <v>8.5</v>
      </c>
      <c r="U1490" s="76">
        <v>0.2</v>
      </c>
      <c r="V1490">
        <v>10.1</v>
      </c>
      <c r="W1490" s="90">
        <v>0.1</v>
      </c>
      <c r="AG1490" s="91">
        <v>0</v>
      </c>
      <c r="AK1490" s="71">
        <v>0.15</v>
      </c>
      <c r="AL1490" s="88">
        <v>3.3446972957205001E-2</v>
      </c>
      <c r="AM1490" s="89">
        <f t="shared" si="23"/>
        <v>0.22297981971470002</v>
      </c>
    </row>
    <row r="1491" spans="1:39" x14ac:dyDescent="0.25">
      <c r="A1491" t="s">
        <v>44</v>
      </c>
      <c r="B1491" t="s">
        <v>52</v>
      </c>
      <c r="C1491" s="121" t="s">
        <v>174</v>
      </c>
      <c r="D1491" t="s">
        <v>206</v>
      </c>
      <c r="E1491" t="s">
        <v>57</v>
      </c>
      <c r="F1491">
        <v>2</v>
      </c>
      <c r="G1491">
        <v>29</v>
      </c>
      <c r="H1491" s="86">
        <v>45969.5552830671</v>
      </c>
      <c r="I1491" s="86">
        <v>45969.660778437501</v>
      </c>
      <c r="J1491" s="87">
        <v>2.53188888888889</v>
      </c>
      <c r="K1491" s="69" t="s">
        <v>274</v>
      </c>
      <c r="P1491" s="71" t="s">
        <v>275</v>
      </c>
      <c r="Q1491" s="88">
        <v>1.05786037497832E-2</v>
      </c>
      <c r="R1491" s="89" t="s">
        <v>276</v>
      </c>
      <c r="T1491">
        <v>8.6999999999999993</v>
      </c>
      <c r="U1491" s="76">
        <v>0.2</v>
      </c>
      <c r="V1491">
        <v>10.199999999999999</v>
      </c>
      <c r="W1491" s="90">
        <v>0.1</v>
      </c>
      <c r="AG1491" s="91">
        <v>0</v>
      </c>
      <c r="AK1491" s="71">
        <v>0.15</v>
      </c>
      <c r="AL1491" s="88">
        <v>3.3446972957205001E-2</v>
      </c>
      <c r="AM1491" s="89">
        <f t="shared" si="23"/>
        <v>0.22297981971470002</v>
      </c>
    </row>
    <row r="1492" spans="1:39" x14ac:dyDescent="0.25">
      <c r="A1492" t="s">
        <v>44</v>
      </c>
      <c r="B1492" t="s">
        <v>52</v>
      </c>
      <c r="C1492" s="121" t="s">
        <v>174</v>
      </c>
      <c r="D1492" t="s">
        <v>206</v>
      </c>
      <c r="E1492" t="s">
        <v>57</v>
      </c>
      <c r="F1492">
        <v>2</v>
      </c>
      <c r="G1492">
        <v>30</v>
      </c>
      <c r="H1492" s="86">
        <v>45969.660778437501</v>
      </c>
      <c r="I1492" s="86">
        <v>45969.766286435202</v>
      </c>
      <c r="J1492" s="87">
        <v>2.5321919444444498</v>
      </c>
      <c r="K1492" s="69" t="s">
        <v>274</v>
      </c>
      <c r="P1492" s="71" t="s">
        <v>275</v>
      </c>
      <c r="Q1492" s="88">
        <v>9.2396186334825197E-3</v>
      </c>
      <c r="R1492" s="89" t="s">
        <v>276</v>
      </c>
      <c r="T1492">
        <v>8.1999999999999993</v>
      </c>
      <c r="U1492" s="76">
        <v>0.2</v>
      </c>
      <c r="V1492">
        <v>10.199999999999999</v>
      </c>
      <c r="W1492" s="90">
        <v>0.1</v>
      </c>
      <c r="AG1492" s="91">
        <v>0</v>
      </c>
      <c r="AK1492" s="71">
        <v>0.15</v>
      </c>
      <c r="AL1492" s="88">
        <v>3.3446972957205001E-2</v>
      </c>
      <c r="AM1492" s="89">
        <f t="shared" si="23"/>
        <v>0.22297981971470002</v>
      </c>
    </row>
    <row r="1493" spans="1:39" x14ac:dyDescent="0.25">
      <c r="A1493" t="s">
        <v>44</v>
      </c>
      <c r="B1493" t="s">
        <v>52</v>
      </c>
      <c r="C1493" s="121" t="s">
        <v>174</v>
      </c>
      <c r="D1493" t="s">
        <v>206</v>
      </c>
      <c r="E1493" t="s">
        <v>57</v>
      </c>
      <c r="F1493">
        <v>2</v>
      </c>
      <c r="G1493">
        <v>31</v>
      </c>
      <c r="H1493" s="86">
        <v>45969.766286435202</v>
      </c>
      <c r="I1493" s="86">
        <v>45969.871776921304</v>
      </c>
      <c r="J1493" s="87">
        <v>2.5317716666666699</v>
      </c>
      <c r="K1493" s="69" t="s">
        <v>274</v>
      </c>
      <c r="P1493" s="71" t="s">
        <v>275</v>
      </c>
      <c r="Q1493" s="88">
        <v>8.2253859942247806E-3</v>
      </c>
      <c r="R1493" s="89" t="s">
        <v>276</v>
      </c>
      <c r="T1493">
        <v>8</v>
      </c>
      <c r="U1493" s="76">
        <v>0.2</v>
      </c>
      <c r="V1493">
        <v>10.199999999999999</v>
      </c>
      <c r="W1493" s="90">
        <v>0.1</v>
      </c>
      <c r="AG1493" s="91">
        <v>0</v>
      </c>
      <c r="AK1493" s="71">
        <v>0.15</v>
      </c>
      <c r="AL1493" s="88">
        <v>3.3446972957205001E-2</v>
      </c>
      <c r="AM1493" s="89">
        <f t="shared" si="23"/>
        <v>0.22297981971470002</v>
      </c>
    </row>
    <row r="1494" spans="1:39" x14ac:dyDescent="0.25">
      <c r="A1494" t="s">
        <v>44</v>
      </c>
      <c r="B1494" t="s">
        <v>52</v>
      </c>
      <c r="C1494" s="121" t="s">
        <v>174</v>
      </c>
      <c r="D1494" t="s">
        <v>206</v>
      </c>
      <c r="E1494" t="s">
        <v>57</v>
      </c>
      <c r="F1494">
        <v>2</v>
      </c>
      <c r="G1494">
        <v>32</v>
      </c>
      <c r="H1494" s="86">
        <v>45969.871776921304</v>
      </c>
      <c r="I1494" s="86">
        <v>45969.977280740699</v>
      </c>
      <c r="J1494" s="87">
        <v>2.5320916666666702</v>
      </c>
      <c r="K1494" s="69" t="s">
        <v>274</v>
      </c>
      <c r="P1494" s="71" t="s">
        <v>275</v>
      </c>
      <c r="Q1494" s="88">
        <v>9.8604353437470801E-3</v>
      </c>
      <c r="R1494" s="89" t="s">
        <v>276</v>
      </c>
      <c r="T1494">
        <v>7.8</v>
      </c>
      <c r="U1494" s="76">
        <v>0.2</v>
      </c>
      <c r="V1494">
        <v>10.199999999999999</v>
      </c>
      <c r="W1494" s="90">
        <v>0.1</v>
      </c>
      <c r="AG1494" s="91">
        <v>0</v>
      </c>
      <c r="AK1494" s="71">
        <v>0.15</v>
      </c>
      <c r="AL1494" s="88">
        <v>3.3446972957205001E-2</v>
      </c>
      <c r="AM1494" s="89">
        <f t="shared" si="23"/>
        <v>0.22297981971470002</v>
      </c>
    </row>
    <row r="1495" spans="1:39" x14ac:dyDescent="0.25">
      <c r="A1495" t="s">
        <v>44</v>
      </c>
      <c r="B1495" t="s">
        <v>52</v>
      </c>
      <c r="C1495" s="121" t="s">
        <v>174</v>
      </c>
      <c r="D1495" t="s">
        <v>206</v>
      </c>
      <c r="E1495" t="s">
        <v>57</v>
      </c>
      <c r="F1495">
        <v>2</v>
      </c>
      <c r="G1495">
        <v>33</v>
      </c>
      <c r="H1495" s="86">
        <v>45969.977280740699</v>
      </c>
      <c r="I1495" s="86">
        <v>45970.082785150502</v>
      </c>
      <c r="J1495" s="87">
        <v>2.5321058333333299</v>
      </c>
      <c r="K1495" s="69" t="s">
        <v>274</v>
      </c>
      <c r="P1495" s="71" t="s">
        <v>275</v>
      </c>
      <c r="Q1495" s="88">
        <v>8.5944319219869707E-3</v>
      </c>
      <c r="R1495" s="89" t="s">
        <v>276</v>
      </c>
      <c r="T1495">
        <v>7.8</v>
      </c>
      <c r="U1495" s="76">
        <v>0.2</v>
      </c>
      <c r="V1495">
        <v>10.199999999999999</v>
      </c>
      <c r="W1495" s="90">
        <v>0.1</v>
      </c>
      <c r="AG1495" s="91">
        <v>0.1</v>
      </c>
      <c r="AK1495" s="71">
        <v>0.15</v>
      </c>
      <c r="AL1495" s="88">
        <v>3.3446972957205001E-2</v>
      </c>
      <c r="AM1495" s="89">
        <f t="shared" si="23"/>
        <v>0.22297981971470002</v>
      </c>
    </row>
    <row r="1496" spans="1:39" x14ac:dyDescent="0.25">
      <c r="A1496" t="s">
        <v>44</v>
      </c>
      <c r="B1496" t="s">
        <v>52</v>
      </c>
      <c r="C1496" s="121" t="s">
        <v>174</v>
      </c>
      <c r="D1496" t="s">
        <v>206</v>
      </c>
      <c r="E1496" t="s">
        <v>57</v>
      </c>
      <c r="F1496">
        <v>2</v>
      </c>
      <c r="G1496">
        <v>34</v>
      </c>
      <c r="H1496" s="86">
        <v>45970.082785150502</v>
      </c>
      <c r="I1496" s="86">
        <v>45970.188284247699</v>
      </c>
      <c r="J1496" s="87">
        <v>2.5319783333333299</v>
      </c>
      <c r="K1496" s="69" t="s">
        <v>274</v>
      </c>
      <c r="P1496" s="71" t="s">
        <v>275</v>
      </c>
      <c r="Q1496" s="88">
        <v>8.2273335400650204E-3</v>
      </c>
      <c r="R1496" s="89" t="s">
        <v>276</v>
      </c>
      <c r="T1496">
        <v>7.2</v>
      </c>
      <c r="U1496" s="76">
        <v>0.2</v>
      </c>
      <c r="V1496">
        <v>10.1</v>
      </c>
      <c r="W1496" s="90">
        <v>0.1</v>
      </c>
      <c r="AG1496" s="91">
        <v>0.1</v>
      </c>
      <c r="AK1496" s="71">
        <v>0.15</v>
      </c>
      <c r="AL1496" s="88">
        <v>3.3446972957205001E-2</v>
      </c>
      <c r="AM1496" s="89">
        <f t="shared" si="23"/>
        <v>0.22297981971470002</v>
      </c>
    </row>
    <row r="1497" spans="1:39" x14ac:dyDescent="0.25">
      <c r="A1497" t="s">
        <v>44</v>
      </c>
      <c r="B1497" t="s">
        <v>52</v>
      </c>
      <c r="C1497" s="121" t="s">
        <v>174</v>
      </c>
      <c r="D1497" t="s">
        <v>206</v>
      </c>
      <c r="E1497" t="s">
        <v>57</v>
      </c>
      <c r="F1497">
        <v>2</v>
      </c>
      <c r="G1497">
        <v>35</v>
      </c>
      <c r="H1497" s="86">
        <v>45970.188284247699</v>
      </c>
      <c r="I1497" s="86">
        <v>45970.293799629602</v>
      </c>
      <c r="J1497" s="87">
        <v>2.5323691666666699</v>
      </c>
      <c r="K1497" s="69" t="s">
        <v>274</v>
      </c>
      <c r="P1497" s="71" t="s">
        <v>275</v>
      </c>
      <c r="Q1497" s="88">
        <v>8.1884788513815702E-3</v>
      </c>
      <c r="R1497" s="89" t="s">
        <v>276</v>
      </c>
      <c r="T1497">
        <v>6.9</v>
      </c>
      <c r="U1497" s="76">
        <v>0.2</v>
      </c>
      <c r="V1497">
        <v>10.1</v>
      </c>
      <c r="W1497" s="90">
        <v>0.1</v>
      </c>
      <c r="AG1497" s="91">
        <v>0</v>
      </c>
      <c r="AK1497" s="71">
        <v>0.15</v>
      </c>
      <c r="AL1497" s="88">
        <v>3.3446972957205001E-2</v>
      </c>
      <c r="AM1497" s="89">
        <f t="shared" si="23"/>
        <v>0.22297981971470002</v>
      </c>
    </row>
    <row r="1498" spans="1:39" x14ac:dyDescent="0.25">
      <c r="A1498" t="s">
        <v>44</v>
      </c>
      <c r="B1498" t="s">
        <v>52</v>
      </c>
      <c r="C1498" s="121" t="s">
        <v>174</v>
      </c>
      <c r="D1498" t="s">
        <v>206</v>
      </c>
      <c r="E1498" t="s">
        <v>57</v>
      </c>
      <c r="F1498">
        <v>2</v>
      </c>
      <c r="G1498">
        <v>36</v>
      </c>
      <c r="H1498" s="86">
        <v>45970.293799629602</v>
      </c>
      <c r="I1498" s="86">
        <v>45970.399298923599</v>
      </c>
      <c r="J1498" s="87">
        <v>2.53198305555556</v>
      </c>
      <c r="K1498" s="69" t="s">
        <v>274</v>
      </c>
      <c r="P1498" s="71" t="s">
        <v>275</v>
      </c>
      <c r="Q1498" s="88">
        <v>7.5109492807054999E-3</v>
      </c>
      <c r="R1498" s="89" t="s">
        <v>276</v>
      </c>
      <c r="T1498">
        <v>6.8</v>
      </c>
      <c r="U1498" s="76">
        <v>0.2</v>
      </c>
      <c r="V1498">
        <v>10</v>
      </c>
      <c r="W1498" s="90">
        <v>0.1</v>
      </c>
      <c r="AG1498" s="91">
        <v>0</v>
      </c>
      <c r="AK1498" s="71">
        <v>0.15</v>
      </c>
      <c r="AL1498" s="88">
        <v>3.3446972957205001E-2</v>
      </c>
      <c r="AM1498" s="89">
        <f t="shared" si="23"/>
        <v>0.22297981971470002</v>
      </c>
    </row>
    <row r="1499" spans="1:39" x14ac:dyDescent="0.25">
      <c r="A1499" t="s">
        <v>44</v>
      </c>
      <c r="B1499" t="s">
        <v>52</v>
      </c>
      <c r="C1499" s="121" t="s">
        <v>174</v>
      </c>
      <c r="D1499" t="s">
        <v>206</v>
      </c>
      <c r="E1499" t="s">
        <v>57</v>
      </c>
      <c r="F1499">
        <v>2</v>
      </c>
      <c r="G1499">
        <v>37</v>
      </c>
      <c r="H1499" s="86">
        <v>45970.399298923599</v>
      </c>
      <c r="I1499" s="86">
        <v>45970.5047974884</v>
      </c>
      <c r="J1499" s="87">
        <v>2.5319655555555598</v>
      </c>
      <c r="K1499" s="69" t="s">
        <v>274</v>
      </c>
      <c r="P1499" s="71" t="s">
        <v>275</v>
      </c>
      <c r="Q1499" s="88">
        <v>8.63690200328859E-3</v>
      </c>
      <c r="R1499" s="89" t="s">
        <v>276</v>
      </c>
      <c r="T1499">
        <v>7.2</v>
      </c>
      <c r="U1499" s="76">
        <v>0.2</v>
      </c>
      <c r="V1499">
        <v>10</v>
      </c>
      <c r="W1499" s="90">
        <v>0.1</v>
      </c>
      <c r="AG1499" s="91">
        <v>0</v>
      </c>
      <c r="AK1499" s="71">
        <v>0.15</v>
      </c>
      <c r="AL1499" s="88">
        <v>3.3446972957205001E-2</v>
      </c>
      <c r="AM1499" s="89">
        <f t="shared" si="23"/>
        <v>0.22297981971470002</v>
      </c>
    </row>
    <row r="1500" spans="1:39" x14ac:dyDescent="0.25">
      <c r="A1500" t="s">
        <v>44</v>
      </c>
      <c r="B1500" t="s">
        <v>52</v>
      </c>
      <c r="C1500" s="121" t="s">
        <v>174</v>
      </c>
      <c r="D1500" t="s">
        <v>206</v>
      </c>
      <c r="E1500" t="s">
        <v>57</v>
      </c>
      <c r="F1500">
        <v>2</v>
      </c>
      <c r="G1500">
        <v>38</v>
      </c>
      <c r="H1500" s="86">
        <v>45970.5047974884</v>
      </c>
      <c r="I1500" s="86">
        <v>45970.610295011596</v>
      </c>
      <c r="J1500" s="87">
        <v>2.5319405555555599</v>
      </c>
      <c r="K1500" s="69" t="s">
        <v>274</v>
      </c>
      <c r="P1500" s="71" t="s">
        <v>275</v>
      </c>
      <c r="Q1500" s="88">
        <v>1.6116857614974198E-2</v>
      </c>
      <c r="R1500" s="89" t="s">
        <v>276</v>
      </c>
      <c r="T1500">
        <v>7.7</v>
      </c>
      <c r="U1500" s="76">
        <v>0.2</v>
      </c>
      <c r="V1500">
        <v>10</v>
      </c>
      <c r="W1500" s="90">
        <v>0.1</v>
      </c>
      <c r="AG1500" s="91">
        <v>0</v>
      </c>
      <c r="AK1500" s="71">
        <v>0.15</v>
      </c>
      <c r="AL1500" s="88">
        <v>3.3446972957205001E-2</v>
      </c>
      <c r="AM1500" s="89">
        <f t="shared" si="23"/>
        <v>0.22297981971470002</v>
      </c>
    </row>
    <row r="1501" spans="1:39" x14ac:dyDescent="0.25">
      <c r="A1501" t="s">
        <v>44</v>
      </c>
      <c r="B1501" t="s">
        <v>52</v>
      </c>
      <c r="C1501" s="121" t="s">
        <v>174</v>
      </c>
      <c r="D1501" t="s">
        <v>206</v>
      </c>
      <c r="E1501" t="s">
        <v>57</v>
      </c>
      <c r="F1501">
        <v>2</v>
      </c>
      <c r="G1501">
        <v>39</v>
      </c>
      <c r="H1501" s="86">
        <v>45970.610295011596</v>
      </c>
      <c r="I1501" s="86">
        <v>45970.715798044002</v>
      </c>
      <c r="J1501" s="87">
        <v>2.5320727777777798</v>
      </c>
      <c r="K1501" s="69" t="s">
        <v>274</v>
      </c>
      <c r="P1501" s="71" t="s">
        <v>275</v>
      </c>
      <c r="Q1501" s="88">
        <v>1.1707741660961E-2</v>
      </c>
      <c r="R1501" s="89" t="s">
        <v>276</v>
      </c>
      <c r="T1501">
        <v>7.3</v>
      </c>
      <c r="U1501" s="76">
        <v>0.2</v>
      </c>
      <c r="V1501">
        <v>10.1</v>
      </c>
      <c r="W1501" s="90">
        <v>0.1</v>
      </c>
      <c r="AG1501" s="91">
        <v>0</v>
      </c>
      <c r="AK1501" s="71">
        <v>0.15</v>
      </c>
      <c r="AL1501" s="88">
        <v>3.3446972957205001E-2</v>
      </c>
      <c r="AM1501" s="89">
        <f t="shared" si="23"/>
        <v>0.22297981971470002</v>
      </c>
    </row>
    <row r="1502" spans="1:39" x14ac:dyDescent="0.25">
      <c r="A1502" t="s">
        <v>44</v>
      </c>
      <c r="B1502" t="s">
        <v>52</v>
      </c>
      <c r="C1502" s="121" t="s">
        <v>174</v>
      </c>
      <c r="D1502" t="s">
        <v>206</v>
      </c>
      <c r="E1502" t="s">
        <v>57</v>
      </c>
      <c r="F1502">
        <v>2</v>
      </c>
      <c r="G1502">
        <v>40</v>
      </c>
      <c r="H1502" s="86">
        <v>45970.715798044002</v>
      </c>
      <c r="I1502" s="86">
        <v>45970.821306956001</v>
      </c>
      <c r="J1502" s="87">
        <v>2.5322138888888901</v>
      </c>
      <c r="K1502" s="69" t="s">
        <v>274</v>
      </c>
      <c r="P1502" s="71" t="s">
        <v>275</v>
      </c>
      <c r="Q1502" s="88">
        <v>7.3384750993309702E-3</v>
      </c>
      <c r="R1502" s="89" t="s">
        <v>276</v>
      </c>
      <c r="T1502">
        <v>6.7</v>
      </c>
      <c r="U1502" s="76">
        <v>0.2</v>
      </c>
      <c r="V1502">
        <v>10.1</v>
      </c>
      <c r="W1502" s="90">
        <v>0.1</v>
      </c>
      <c r="AG1502" s="91">
        <v>0</v>
      </c>
      <c r="AK1502" s="71">
        <v>0.15</v>
      </c>
      <c r="AL1502" s="88">
        <v>3.3446972957205001E-2</v>
      </c>
      <c r="AM1502" s="89">
        <f t="shared" si="23"/>
        <v>0.22297981971470002</v>
      </c>
    </row>
    <row r="1503" spans="1:39" x14ac:dyDescent="0.25">
      <c r="A1503" t="s">
        <v>44</v>
      </c>
      <c r="B1503" t="s">
        <v>52</v>
      </c>
      <c r="C1503" s="121" t="s">
        <v>174</v>
      </c>
      <c r="D1503" t="s">
        <v>206</v>
      </c>
      <c r="E1503" t="s">
        <v>57</v>
      </c>
      <c r="F1503">
        <v>2</v>
      </c>
      <c r="G1503">
        <v>41</v>
      </c>
      <c r="H1503" s="86">
        <v>45970.821306956001</v>
      </c>
      <c r="I1503" s="86">
        <v>45970.926803333299</v>
      </c>
      <c r="J1503" s="87">
        <v>2.53191305555556</v>
      </c>
      <c r="K1503" s="69" t="s">
        <v>274</v>
      </c>
      <c r="P1503" s="71" t="s">
        <v>275</v>
      </c>
      <c r="Q1503" s="88">
        <v>5.8451489456732399E-3</v>
      </c>
      <c r="R1503" s="89" t="s">
        <v>276</v>
      </c>
      <c r="T1503">
        <v>6.2</v>
      </c>
      <c r="U1503" s="76">
        <v>0.2</v>
      </c>
      <c r="V1503">
        <v>10</v>
      </c>
      <c r="W1503" s="90">
        <v>0.1</v>
      </c>
      <c r="AG1503" s="91">
        <v>0</v>
      </c>
      <c r="AK1503" s="71">
        <v>0.15</v>
      </c>
      <c r="AL1503" s="88">
        <v>3.3446972957205001E-2</v>
      </c>
      <c r="AM1503" s="89">
        <f t="shared" si="23"/>
        <v>0.22297981971470002</v>
      </c>
    </row>
    <row r="1504" spans="1:39" x14ac:dyDescent="0.25">
      <c r="A1504" t="s">
        <v>44</v>
      </c>
      <c r="B1504" t="s">
        <v>52</v>
      </c>
      <c r="C1504" s="121" t="s">
        <v>174</v>
      </c>
      <c r="D1504" t="s">
        <v>206</v>
      </c>
      <c r="E1504" t="s">
        <v>57</v>
      </c>
      <c r="F1504">
        <v>2</v>
      </c>
      <c r="G1504">
        <v>42</v>
      </c>
      <c r="H1504" s="86">
        <v>45970.926803333299</v>
      </c>
      <c r="I1504" s="86">
        <v>45971.0323076852</v>
      </c>
      <c r="J1504" s="87">
        <v>2.5321044444444398</v>
      </c>
      <c r="K1504" s="69" t="s">
        <v>274</v>
      </c>
      <c r="P1504" s="71" t="s">
        <v>275</v>
      </c>
      <c r="Q1504" s="88">
        <v>6.5961016256708303E-3</v>
      </c>
      <c r="R1504" s="89" t="s">
        <v>276</v>
      </c>
      <c r="T1504">
        <v>6</v>
      </c>
      <c r="U1504" s="76">
        <v>0.2</v>
      </c>
      <c r="V1504">
        <v>9.9</v>
      </c>
      <c r="W1504" s="90">
        <v>0.1</v>
      </c>
      <c r="AG1504" s="91">
        <v>0</v>
      </c>
      <c r="AK1504" s="71">
        <v>0.15</v>
      </c>
      <c r="AL1504" s="88">
        <v>3.3446972957205001E-2</v>
      </c>
      <c r="AM1504" s="89">
        <f t="shared" si="23"/>
        <v>0.22297981971470002</v>
      </c>
    </row>
    <row r="1505" spans="1:39" x14ac:dyDescent="0.25">
      <c r="A1505" t="s">
        <v>44</v>
      </c>
      <c r="B1505" t="s">
        <v>52</v>
      </c>
      <c r="C1505" s="121" t="s">
        <v>174</v>
      </c>
      <c r="D1505" t="s">
        <v>206</v>
      </c>
      <c r="E1505" t="s">
        <v>57</v>
      </c>
      <c r="F1505">
        <v>2</v>
      </c>
      <c r="G1505">
        <v>43</v>
      </c>
      <c r="H1505" s="86">
        <v>45971.0323076852</v>
      </c>
      <c r="I1505" s="86">
        <v>45971.137812036999</v>
      </c>
      <c r="J1505" s="87">
        <v>2.5321044444444398</v>
      </c>
      <c r="K1505" s="69" t="s">
        <v>274</v>
      </c>
      <c r="P1505" s="71" t="s">
        <v>275</v>
      </c>
      <c r="Q1505" s="88">
        <v>6.4677021988392902E-3</v>
      </c>
      <c r="R1505" s="89" t="s">
        <v>276</v>
      </c>
      <c r="T1505">
        <v>6.1</v>
      </c>
      <c r="U1505" s="76">
        <v>0.2</v>
      </c>
      <c r="V1505">
        <v>9.8000000000000007</v>
      </c>
      <c r="W1505" s="90">
        <v>0.1</v>
      </c>
      <c r="AG1505" s="91">
        <v>0</v>
      </c>
      <c r="AK1505" s="71">
        <v>0.15</v>
      </c>
      <c r="AL1505" s="88">
        <v>3.3446972957205001E-2</v>
      </c>
      <c r="AM1505" s="89">
        <f t="shared" si="23"/>
        <v>0.22297981971470002</v>
      </c>
    </row>
    <row r="1506" spans="1:39" x14ac:dyDescent="0.25">
      <c r="A1506" t="s">
        <v>44</v>
      </c>
      <c r="B1506" t="s">
        <v>52</v>
      </c>
      <c r="C1506" s="121" t="s">
        <v>174</v>
      </c>
      <c r="D1506" t="s">
        <v>206</v>
      </c>
      <c r="E1506" t="s">
        <v>57</v>
      </c>
      <c r="F1506">
        <v>2</v>
      </c>
      <c r="G1506">
        <v>44</v>
      </c>
      <c r="H1506" s="86">
        <v>45971.137812036999</v>
      </c>
      <c r="I1506" s="86">
        <v>45971.243305775497</v>
      </c>
      <c r="J1506" s="87">
        <v>2.53184972222222</v>
      </c>
      <c r="K1506" s="69" t="s">
        <v>274</v>
      </c>
      <c r="P1506" s="71" t="s">
        <v>275</v>
      </c>
      <c r="Q1506" s="88">
        <v>8.1981806194450901E-3</v>
      </c>
      <c r="R1506" s="89" t="s">
        <v>276</v>
      </c>
      <c r="T1506">
        <v>6.3</v>
      </c>
      <c r="U1506" s="76">
        <v>0.2</v>
      </c>
      <c r="V1506">
        <v>9.6999999999999993</v>
      </c>
      <c r="W1506" s="90">
        <v>0.1</v>
      </c>
      <c r="AG1506" s="91">
        <v>0</v>
      </c>
      <c r="AK1506" s="71">
        <v>0.15</v>
      </c>
      <c r="AL1506" s="88">
        <v>3.3446972957205001E-2</v>
      </c>
      <c r="AM1506" s="89">
        <f t="shared" si="23"/>
        <v>0.22297981971470002</v>
      </c>
    </row>
    <row r="1507" spans="1:39" x14ac:dyDescent="0.25">
      <c r="A1507" t="s">
        <v>44</v>
      </c>
      <c r="B1507" t="s">
        <v>52</v>
      </c>
      <c r="C1507" s="121" t="s">
        <v>174</v>
      </c>
      <c r="D1507" t="s">
        <v>206</v>
      </c>
      <c r="E1507" t="s">
        <v>57</v>
      </c>
      <c r="F1507">
        <v>2</v>
      </c>
      <c r="G1507">
        <v>45</v>
      </c>
      <c r="H1507" s="86">
        <v>45971.243305775497</v>
      </c>
      <c r="I1507" s="86">
        <v>45971.348815370402</v>
      </c>
      <c r="J1507" s="87">
        <v>2.5322302777777801</v>
      </c>
      <c r="K1507" s="69" t="s">
        <v>274</v>
      </c>
      <c r="P1507" s="71" t="s">
        <v>275</v>
      </c>
      <c r="Q1507" s="88">
        <v>5.1754638876430501E-3</v>
      </c>
      <c r="R1507" s="89" t="s">
        <v>276</v>
      </c>
      <c r="T1507">
        <v>5.5</v>
      </c>
      <c r="U1507" s="76">
        <v>0.2</v>
      </c>
      <c r="V1507">
        <v>9.6</v>
      </c>
      <c r="W1507" s="90">
        <v>0.1</v>
      </c>
      <c r="AG1507" s="91">
        <v>0</v>
      </c>
      <c r="AK1507" s="71">
        <v>0.15</v>
      </c>
      <c r="AL1507" s="88">
        <v>3.3446972957205001E-2</v>
      </c>
      <c r="AM1507" s="89">
        <f t="shared" si="23"/>
        <v>0.22297981971470002</v>
      </c>
    </row>
    <row r="1508" spans="1:39" x14ac:dyDescent="0.25">
      <c r="A1508" t="s">
        <v>44</v>
      </c>
      <c r="B1508" t="s">
        <v>52</v>
      </c>
      <c r="C1508" s="121" t="s">
        <v>174</v>
      </c>
      <c r="D1508" t="s">
        <v>206</v>
      </c>
      <c r="E1508" t="s">
        <v>57</v>
      </c>
      <c r="F1508">
        <v>2</v>
      </c>
      <c r="G1508">
        <v>46</v>
      </c>
      <c r="H1508" s="86">
        <v>45971.348815370402</v>
      </c>
      <c r="I1508" s="86">
        <v>45971.4543206366</v>
      </c>
      <c r="J1508" s="87">
        <v>2.5321263888888899</v>
      </c>
      <c r="K1508" s="69" t="s">
        <v>274</v>
      </c>
      <c r="P1508" s="71" t="s">
        <v>275</v>
      </c>
      <c r="Q1508" s="88">
        <v>6.6492789765887801E-3</v>
      </c>
      <c r="R1508" s="89" t="s">
        <v>276</v>
      </c>
      <c r="T1508">
        <v>5.2</v>
      </c>
      <c r="U1508" s="76">
        <v>0.2</v>
      </c>
      <c r="V1508">
        <v>9.6</v>
      </c>
      <c r="W1508" s="90">
        <v>0.1</v>
      </c>
      <c r="AG1508" s="91">
        <v>0</v>
      </c>
      <c r="AK1508" s="71">
        <v>0.15</v>
      </c>
      <c r="AL1508" s="88">
        <v>3.3446972957205001E-2</v>
      </c>
      <c r="AM1508" s="89">
        <f t="shared" si="23"/>
        <v>0.22297981971470002</v>
      </c>
    </row>
    <row r="1509" spans="1:39" x14ac:dyDescent="0.25">
      <c r="A1509" t="s">
        <v>44</v>
      </c>
      <c r="B1509" t="s">
        <v>52</v>
      </c>
      <c r="C1509" s="121" t="s">
        <v>174</v>
      </c>
      <c r="D1509" t="s">
        <v>206</v>
      </c>
      <c r="E1509" t="s">
        <v>57</v>
      </c>
      <c r="F1509">
        <v>2</v>
      </c>
      <c r="G1509">
        <v>47</v>
      </c>
      <c r="H1509" s="86">
        <v>45971.4543206366</v>
      </c>
      <c r="I1509" s="86">
        <v>45971.559816631998</v>
      </c>
      <c r="J1509" s="87">
        <v>2.5319038888888898</v>
      </c>
      <c r="K1509" s="69" t="s">
        <v>274</v>
      </c>
      <c r="P1509" s="71" t="s">
        <v>275</v>
      </c>
      <c r="Q1509" s="88">
        <v>1.49965684616467E-2</v>
      </c>
      <c r="R1509" s="89" t="s">
        <v>276</v>
      </c>
      <c r="T1509">
        <v>8.1</v>
      </c>
      <c r="U1509" s="76">
        <v>0.2</v>
      </c>
      <c r="V1509">
        <v>9.5</v>
      </c>
      <c r="W1509" s="90">
        <v>0.1</v>
      </c>
      <c r="AG1509" s="91">
        <v>0</v>
      </c>
      <c r="AK1509" s="71">
        <v>0.15</v>
      </c>
      <c r="AL1509" s="88">
        <v>3.3446972957205001E-2</v>
      </c>
      <c r="AM1509" s="89">
        <f t="shared" si="23"/>
        <v>0.22297981971470002</v>
      </c>
    </row>
    <row r="1510" spans="1:39" x14ac:dyDescent="0.25">
      <c r="A1510" t="s">
        <v>44</v>
      </c>
      <c r="B1510" t="s">
        <v>52</v>
      </c>
      <c r="C1510" s="121" t="s">
        <v>174</v>
      </c>
      <c r="D1510" t="s">
        <v>206</v>
      </c>
      <c r="E1510" t="s">
        <v>57</v>
      </c>
      <c r="F1510">
        <v>2</v>
      </c>
      <c r="G1510">
        <v>48</v>
      </c>
      <c r="H1510" s="86">
        <v>45971.559816631998</v>
      </c>
      <c r="I1510" s="86">
        <v>45971.665322233799</v>
      </c>
      <c r="J1510" s="87">
        <v>2.53213444444444</v>
      </c>
      <c r="K1510" s="69" t="s">
        <v>274</v>
      </c>
      <c r="P1510" s="71" t="s">
        <v>275</v>
      </c>
      <c r="Q1510" s="88">
        <v>2.4290650579415301E-2</v>
      </c>
      <c r="R1510" s="89" t="s">
        <v>276</v>
      </c>
      <c r="T1510">
        <v>9.6999999999999993</v>
      </c>
      <c r="U1510" s="76">
        <v>0.2</v>
      </c>
      <c r="V1510">
        <v>9.6</v>
      </c>
      <c r="W1510" s="90">
        <v>0.1</v>
      </c>
      <c r="AG1510" s="91">
        <v>0</v>
      </c>
      <c r="AK1510" s="71">
        <v>0.15</v>
      </c>
      <c r="AL1510" s="88">
        <v>3.3446972957205001E-2</v>
      </c>
      <c r="AM1510" s="89">
        <f t="shared" si="23"/>
        <v>0.22297981971470002</v>
      </c>
    </row>
    <row r="1511" spans="1:39" x14ac:dyDescent="0.25">
      <c r="A1511" t="s">
        <v>44</v>
      </c>
      <c r="B1511" t="s">
        <v>52</v>
      </c>
      <c r="C1511" s="121" t="s">
        <v>174</v>
      </c>
      <c r="D1511" t="s">
        <v>206</v>
      </c>
      <c r="E1511" t="s">
        <v>57</v>
      </c>
      <c r="F1511">
        <v>2</v>
      </c>
      <c r="G1511">
        <v>49</v>
      </c>
      <c r="H1511" s="86">
        <v>45971.665322233799</v>
      </c>
      <c r="I1511" s="86">
        <v>45971.770842847203</v>
      </c>
      <c r="J1511" s="87">
        <v>2.5324947222222201</v>
      </c>
      <c r="K1511" s="69" t="s">
        <v>274</v>
      </c>
      <c r="P1511" s="71" t="s">
        <v>275</v>
      </c>
      <c r="Q1511" s="88">
        <v>1.2506965791978899E-2</v>
      </c>
      <c r="R1511" s="89" t="s">
        <v>276</v>
      </c>
      <c r="T1511">
        <v>8</v>
      </c>
      <c r="U1511" s="76">
        <v>0.2</v>
      </c>
      <c r="V1511">
        <v>9.8000000000000007</v>
      </c>
      <c r="W1511" s="90">
        <v>0.1</v>
      </c>
      <c r="AG1511" s="91">
        <v>0</v>
      </c>
      <c r="AK1511" s="71">
        <v>0.15</v>
      </c>
      <c r="AL1511" s="88">
        <v>3.3446972957205001E-2</v>
      </c>
      <c r="AM1511" s="89">
        <f t="shared" si="23"/>
        <v>0.22297981971470002</v>
      </c>
    </row>
    <row r="1512" spans="1:39" x14ac:dyDescent="0.25">
      <c r="A1512" t="s">
        <v>44</v>
      </c>
      <c r="B1512" t="s">
        <v>52</v>
      </c>
      <c r="C1512" s="121" t="s">
        <v>174</v>
      </c>
      <c r="D1512" t="s">
        <v>206</v>
      </c>
      <c r="E1512" t="s">
        <v>57</v>
      </c>
      <c r="F1512">
        <v>2</v>
      </c>
      <c r="G1512">
        <v>50</v>
      </c>
      <c r="H1512" s="86">
        <v>45971.770842847203</v>
      </c>
      <c r="I1512" s="86">
        <v>45971.876367256998</v>
      </c>
      <c r="J1512" s="87">
        <v>2.53258583333333</v>
      </c>
      <c r="K1512" s="69" t="s">
        <v>274</v>
      </c>
      <c r="P1512" s="71" t="s">
        <v>275</v>
      </c>
      <c r="Q1512" s="88">
        <v>1.0363380699727601E-2</v>
      </c>
      <c r="R1512" s="89" t="s">
        <v>276</v>
      </c>
      <c r="T1512">
        <v>7.8</v>
      </c>
      <c r="U1512" s="76">
        <v>0.2</v>
      </c>
      <c r="V1512">
        <v>9.8000000000000007</v>
      </c>
      <c r="W1512" s="90">
        <v>0.1</v>
      </c>
      <c r="AG1512" s="91">
        <v>0</v>
      </c>
      <c r="AK1512" s="71">
        <v>0.15</v>
      </c>
      <c r="AL1512" s="88">
        <v>3.3446972957205001E-2</v>
      </c>
      <c r="AM1512" s="89">
        <f t="shared" si="23"/>
        <v>0.22297981971470002</v>
      </c>
    </row>
    <row r="1513" spans="1:39" x14ac:dyDescent="0.25">
      <c r="A1513" t="s">
        <v>44</v>
      </c>
      <c r="B1513" t="s">
        <v>52</v>
      </c>
      <c r="C1513" s="121" t="s">
        <v>174</v>
      </c>
      <c r="D1513" t="s">
        <v>206</v>
      </c>
      <c r="E1513" t="s">
        <v>57</v>
      </c>
      <c r="F1513">
        <v>2</v>
      </c>
      <c r="G1513">
        <v>51</v>
      </c>
      <c r="H1513" s="86">
        <v>45971.876367256998</v>
      </c>
      <c r="I1513" s="86">
        <v>45971.9818853588</v>
      </c>
      <c r="J1513" s="87">
        <v>2.5324344444444402</v>
      </c>
      <c r="K1513" s="69" t="s">
        <v>274</v>
      </c>
      <c r="P1513" s="71" t="s">
        <v>275</v>
      </c>
      <c r="Q1513" s="88">
        <v>8.5683122815489697E-3</v>
      </c>
      <c r="R1513" s="89" t="s">
        <v>276</v>
      </c>
      <c r="T1513">
        <v>7.9</v>
      </c>
      <c r="U1513" s="76">
        <v>0.2</v>
      </c>
      <c r="V1513">
        <v>9.8000000000000007</v>
      </c>
      <c r="W1513" s="90">
        <v>0.1</v>
      </c>
      <c r="AG1513" s="91">
        <v>0</v>
      </c>
      <c r="AK1513" s="71">
        <v>0.15</v>
      </c>
      <c r="AL1513" s="88">
        <v>3.3446972957205001E-2</v>
      </c>
      <c r="AM1513" s="89">
        <f t="shared" si="23"/>
        <v>0.22297981971470002</v>
      </c>
    </row>
    <row r="1514" spans="1:39" x14ac:dyDescent="0.25">
      <c r="A1514" t="s">
        <v>44</v>
      </c>
      <c r="B1514" t="s">
        <v>52</v>
      </c>
      <c r="C1514" s="121" t="s">
        <v>174</v>
      </c>
      <c r="D1514" t="s">
        <v>206</v>
      </c>
      <c r="E1514" t="s">
        <v>57</v>
      </c>
      <c r="F1514">
        <v>2</v>
      </c>
      <c r="G1514">
        <v>52</v>
      </c>
      <c r="H1514" s="86">
        <v>45971.9818853588</v>
      </c>
      <c r="I1514" s="86">
        <v>45972.087406712999</v>
      </c>
      <c r="J1514" s="87">
        <v>2.5325125000000002</v>
      </c>
      <c r="K1514" s="69" t="s">
        <v>274</v>
      </c>
      <c r="P1514" s="71" t="s">
        <v>275</v>
      </c>
      <c r="Q1514" s="88">
        <v>8.3409750247451803E-3</v>
      </c>
      <c r="R1514" s="89" t="s">
        <v>276</v>
      </c>
      <c r="T1514">
        <v>6.6</v>
      </c>
      <c r="U1514" s="76">
        <v>0.2</v>
      </c>
      <c r="V1514">
        <v>9.6999999999999993</v>
      </c>
      <c r="W1514" s="90">
        <v>0.1</v>
      </c>
      <c r="AG1514" s="91">
        <v>0</v>
      </c>
      <c r="AK1514" s="71">
        <v>0.15</v>
      </c>
      <c r="AL1514" s="88">
        <v>3.3446972957205001E-2</v>
      </c>
      <c r="AM1514" s="89">
        <f t="shared" si="23"/>
        <v>0.22297981971470002</v>
      </c>
    </row>
    <row r="1515" spans="1:39" x14ac:dyDescent="0.25">
      <c r="A1515" t="s">
        <v>44</v>
      </c>
      <c r="B1515" t="s">
        <v>52</v>
      </c>
      <c r="C1515" s="121" t="s">
        <v>174</v>
      </c>
      <c r="D1515" t="s">
        <v>206</v>
      </c>
      <c r="E1515" t="s">
        <v>57</v>
      </c>
      <c r="F1515">
        <v>2</v>
      </c>
      <c r="G1515">
        <v>53</v>
      </c>
      <c r="H1515" s="86">
        <v>45972.087406712999</v>
      </c>
      <c r="I1515" s="86">
        <v>45972.192929791701</v>
      </c>
      <c r="J1515" s="87">
        <v>2.5325538888888901</v>
      </c>
      <c r="K1515" s="69" t="s">
        <v>274</v>
      </c>
      <c r="P1515" s="71" t="s">
        <v>275</v>
      </c>
      <c r="Q1515" s="88">
        <v>6.23756932388418E-3</v>
      </c>
      <c r="R1515" s="89" t="s">
        <v>276</v>
      </c>
      <c r="T1515">
        <v>6.1</v>
      </c>
      <c r="U1515" s="76">
        <v>0.2</v>
      </c>
      <c r="V1515">
        <v>9.6</v>
      </c>
      <c r="W1515" s="90">
        <v>0.1</v>
      </c>
      <c r="AG1515" s="91">
        <v>0</v>
      </c>
      <c r="AK1515" s="71">
        <v>0.15</v>
      </c>
      <c r="AL1515" s="88">
        <v>3.3446972957205001E-2</v>
      </c>
      <c r="AM1515" s="89">
        <f t="shared" si="23"/>
        <v>0.22297981971470002</v>
      </c>
    </row>
    <row r="1516" spans="1:39" x14ac:dyDescent="0.25">
      <c r="A1516" t="s">
        <v>44</v>
      </c>
      <c r="B1516" t="s">
        <v>52</v>
      </c>
      <c r="C1516" s="121" t="s">
        <v>174</v>
      </c>
      <c r="D1516" t="s">
        <v>206</v>
      </c>
      <c r="E1516" t="s">
        <v>57</v>
      </c>
      <c r="F1516">
        <v>2</v>
      </c>
      <c r="G1516">
        <v>54</v>
      </c>
      <c r="H1516" s="86">
        <v>45972.192929791701</v>
      </c>
      <c r="I1516" s="86">
        <v>45972.298454444499</v>
      </c>
      <c r="J1516" s="87">
        <v>2.5325916666666699</v>
      </c>
      <c r="K1516" s="69" t="s">
        <v>274</v>
      </c>
      <c r="P1516" s="71" t="s">
        <v>275</v>
      </c>
      <c r="Q1516" s="88">
        <v>5.0964512105806797E-3</v>
      </c>
      <c r="R1516" s="89" t="s">
        <v>276</v>
      </c>
      <c r="T1516">
        <v>6.2</v>
      </c>
      <c r="U1516" s="76">
        <v>0.2</v>
      </c>
      <c r="V1516">
        <v>9.4</v>
      </c>
      <c r="W1516" s="90">
        <v>0.1</v>
      </c>
      <c r="AG1516" s="91">
        <v>0</v>
      </c>
      <c r="AK1516" s="71">
        <v>0.15</v>
      </c>
      <c r="AL1516" s="88">
        <v>3.3446972957205001E-2</v>
      </c>
      <c r="AM1516" s="89">
        <f t="shared" si="23"/>
        <v>0.22297981971470002</v>
      </c>
    </row>
    <row r="1517" spans="1:39" x14ac:dyDescent="0.25">
      <c r="A1517" t="s">
        <v>44</v>
      </c>
      <c r="B1517" t="s">
        <v>52</v>
      </c>
      <c r="C1517" s="121" t="s">
        <v>174</v>
      </c>
      <c r="D1517" t="s">
        <v>206</v>
      </c>
      <c r="E1517" t="s">
        <v>57</v>
      </c>
      <c r="F1517">
        <v>2</v>
      </c>
      <c r="G1517">
        <v>55</v>
      </c>
      <c r="H1517" s="86">
        <v>45972.298454444499</v>
      </c>
      <c r="I1517" s="86">
        <v>45972.403979652801</v>
      </c>
      <c r="J1517" s="87">
        <v>2.5326050000000002</v>
      </c>
      <c r="K1517" s="69" t="s">
        <v>274</v>
      </c>
      <c r="P1517" s="71" t="s">
        <v>275</v>
      </c>
      <c r="Q1517" s="88">
        <v>9.9114918011377999E-3</v>
      </c>
      <c r="R1517" s="89" t="s">
        <v>276</v>
      </c>
      <c r="T1517">
        <v>6.9</v>
      </c>
      <c r="U1517" s="76">
        <v>0.2</v>
      </c>
      <c r="V1517">
        <v>9.3000000000000007</v>
      </c>
      <c r="W1517" s="90">
        <v>0.1</v>
      </c>
      <c r="AG1517" s="91">
        <v>0</v>
      </c>
      <c r="AK1517" s="71">
        <v>0.15</v>
      </c>
      <c r="AL1517" s="88">
        <v>3.3446972957205001E-2</v>
      </c>
      <c r="AM1517" s="89">
        <f t="shared" si="23"/>
        <v>0.22297981971470002</v>
      </c>
    </row>
    <row r="1518" spans="1:39" x14ac:dyDescent="0.25">
      <c r="A1518" t="s">
        <v>44</v>
      </c>
      <c r="B1518" t="s">
        <v>52</v>
      </c>
      <c r="C1518" s="121" t="s">
        <v>174</v>
      </c>
      <c r="D1518" t="s">
        <v>206</v>
      </c>
      <c r="E1518" t="s">
        <v>57</v>
      </c>
      <c r="F1518">
        <v>2</v>
      </c>
      <c r="G1518">
        <v>56</v>
      </c>
      <c r="H1518" s="86">
        <v>45972.403979652801</v>
      </c>
      <c r="I1518" s="86">
        <v>45972.5095069444</v>
      </c>
      <c r="J1518" s="87">
        <v>2.5326550000000001</v>
      </c>
      <c r="K1518" s="69" t="s">
        <v>274</v>
      </c>
      <c r="P1518" s="71" t="s">
        <v>275</v>
      </c>
      <c r="Q1518" s="88">
        <v>1.0735334450453901E-2</v>
      </c>
      <c r="R1518" s="89" t="s">
        <v>276</v>
      </c>
      <c r="T1518">
        <v>7.8</v>
      </c>
      <c r="U1518" s="76">
        <v>0.2</v>
      </c>
      <c r="V1518">
        <v>9.3000000000000007</v>
      </c>
      <c r="W1518" s="90">
        <v>0.1</v>
      </c>
      <c r="AG1518" s="91">
        <v>0</v>
      </c>
      <c r="AK1518" s="71">
        <v>0.15</v>
      </c>
      <c r="AL1518" s="88">
        <v>3.3446972957205001E-2</v>
      </c>
      <c r="AM1518" s="89">
        <f t="shared" si="23"/>
        <v>0.22297981971470002</v>
      </c>
    </row>
    <row r="1519" spans="1:39" x14ac:dyDescent="0.25">
      <c r="A1519" t="s">
        <v>44</v>
      </c>
      <c r="B1519" t="s">
        <v>52</v>
      </c>
      <c r="C1519" s="121" t="s">
        <v>174</v>
      </c>
      <c r="D1519" t="s">
        <v>206</v>
      </c>
      <c r="E1519" t="s">
        <v>57</v>
      </c>
      <c r="F1519">
        <v>2</v>
      </c>
      <c r="G1519">
        <v>57</v>
      </c>
      <c r="H1519" s="86">
        <v>45972.5095069444</v>
      </c>
      <c r="I1519" s="86">
        <v>45972.615032928203</v>
      </c>
      <c r="J1519" s="87">
        <v>2.5326236111111098</v>
      </c>
      <c r="K1519" s="69" t="s">
        <v>274</v>
      </c>
      <c r="P1519" s="71" t="s">
        <v>275</v>
      </c>
      <c r="Q1519" s="88">
        <v>1.3662231762771501E-2</v>
      </c>
      <c r="R1519" s="89" t="s">
        <v>276</v>
      </c>
      <c r="T1519">
        <v>8.5</v>
      </c>
      <c r="U1519" s="76">
        <v>0.2</v>
      </c>
      <c r="V1519">
        <v>9.3000000000000007</v>
      </c>
      <c r="W1519" s="90">
        <v>0.1</v>
      </c>
      <c r="AG1519" s="91">
        <v>0</v>
      </c>
      <c r="AK1519" s="71">
        <v>0.15</v>
      </c>
      <c r="AL1519" s="88">
        <v>3.3446972957205001E-2</v>
      </c>
      <c r="AM1519" s="89">
        <f t="shared" si="23"/>
        <v>0.22297981971470002</v>
      </c>
    </row>
    <row r="1520" spans="1:39" x14ac:dyDescent="0.25">
      <c r="A1520" t="s">
        <v>44</v>
      </c>
      <c r="B1520" t="s">
        <v>52</v>
      </c>
      <c r="C1520" s="121" t="s">
        <v>174</v>
      </c>
      <c r="D1520" t="s">
        <v>206</v>
      </c>
      <c r="E1520" t="s">
        <v>57</v>
      </c>
      <c r="F1520">
        <v>2</v>
      </c>
      <c r="G1520">
        <v>58</v>
      </c>
      <c r="H1520" s="86">
        <v>45972.615032928203</v>
      </c>
      <c r="I1520" s="86">
        <v>45972.720565104202</v>
      </c>
      <c r="J1520" s="87">
        <v>2.5327722222222202</v>
      </c>
      <c r="K1520" s="69" t="s">
        <v>274</v>
      </c>
      <c r="P1520" s="71" t="s">
        <v>275</v>
      </c>
      <c r="Q1520" s="88">
        <v>1.4387215531371501E-2</v>
      </c>
      <c r="R1520" s="89" t="s">
        <v>276</v>
      </c>
      <c r="T1520">
        <v>9.1999999999999993</v>
      </c>
      <c r="U1520" s="76">
        <v>0.2</v>
      </c>
      <c r="V1520">
        <v>9.4</v>
      </c>
      <c r="W1520" s="90">
        <v>0.1</v>
      </c>
      <c r="AG1520" s="91">
        <v>0</v>
      </c>
      <c r="AK1520" s="71">
        <v>0.15</v>
      </c>
      <c r="AL1520" s="88">
        <v>3.3446972957205001E-2</v>
      </c>
      <c r="AM1520" s="89">
        <f t="shared" si="23"/>
        <v>0.22297981971470002</v>
      </c>
    </row>
    <row r="1521" spans="1:39" x14ac:dyDescent="0.25">
      <c r="A1521" t="s">
        <v>44</v>
      </c>
      <c r="B1521" t="s">
        <v>52</v>
      </c>
      <c r="C1521" s="121" t="s">
        <v>174</v>
      </c>
      <c r="D1521" t="s">
        <v>206</v>
      </c>
      <c r="E1521" t="s">
        <v>57</v>
      </c>
      <c r="F1521">
        <v>2</v>
      </c>
      <c r="G1521">
        <v>59</v>
      </c>
      <c r="H1521" s="86">
        <v>45972.720565104202</v>
      </c>
      <c r="I1521" s="86">
        <v>45972.8260895602</v>
      </c>
      <c r="J1521" s="87">
        <v>2.53258694444445</v>
      </c>
      <c r="K1521" s="69" t="s">
        <v>274</v>
      </c>
      <c r="P1521" s="71" t="s">
        <v>275</v>
      </c>
      <c r="Q1521" s="88">
        <v>6.96064769278957E-3</v>
      </c>
      <c r="R1521" s="89" t="s">
        <v>276</v>
      </c>
      <c r="T1521">
        <v>7.8</v>
      </c>
      <c r="U1521" s="76">
        <v>0.2</v>
      </c>
      <c r="V1521">
        <v>9.5</v>
      </c>
      <c r="W1521" s="90">
        <v>0.1</v>
      </c>
      <c r="AG1521" s="91">
        <v>0</v>
      </c>
      <c r="AK1521" s="71">
        <v>0.15</v>
      </c>
      <c r="AL1521" s="88">
        <v>3.3446972957205001E-2</v>
      </c>
      <c r="AM1521" s="89">
        <f t="shared" si="23"/>
        <v>0.22297981971470002</v>
      </c>
    </row>
    <row r="1522" spans="1:39" x14ac:dyDescent="0.25">
      <c r="A1522" t="s">
        <v>44</v>
      </c>
      <c r="B1522" t="s">
        <v>52</v>
      </c>
      <c r="C1522" s="121" t="s">
        <v>174</v>
      </c>
      <c r="D1522" t="s">
        <v>206</v>
      </c>
      <c r="E1522" t="s">
        <v>57</v>
      </c>
      <c r="F1522">
        <v>2</v>
      </c>
      <c r="G1522">
        <v>60</v>
      </c>
      <c r="H1522" s="86">
        <v>45972.8260895602</v>
      </c>
      <c r="I1522" s="86">
        <v>45972.931607766201</v>
      </c>
      <c r="J1522" s="87">
        <v>2.5324369444444401</v>
      </c>
      <c r="K1522" s="69" t="s">
        <v>274</v>
      </c>
      <c r="P1522" s="71" t="s">
        <v>275</v>
      </c>
      <c r="Q1522" s="88">
        <v>5.1430697309184101E-3</v>
      </c>
      <c r="R1522" s="89" t="s">
        <v>276</v>
      </c>
      <c r="T1522">
        <v>6.6</v>
      </c>
      <c r="U1522" s="76">
        <v>0.2</v>
      </c>
      <c r="V1522">
        <v>9.5</v>
      </c>
      <c r="W1522" s="90">
        <v>0.1</v>
      </c>
      <c r="AG1522" s="91">
        <v>0</v>
      </c>
      <c r="AK1522" s="71">
        <v>0.15</v>
      </c>
      <c r="AL1522" s="88">
        <v>3.3446972957205001E-2</v>
      </c>
      <c r="AM1522" s="89">
        <f t="shared" si="23"/>
        <v>0.22297981971470002</v>
      </c>
    </row>
    <row r="1523" spans="1:39" x14ac:dyDescent="0.25">
      <c r="A1523" t="s">
        <v>44</v>
      </c>
      <c r="B1523" t="s">
        <v>52</v>
      </c>
      <c r="C1523" s="121" t="s">
        <v>174</v>
      </c>
      <c r="D1523" t="s">
        <v>206</v>
      </c>
      <c r="E1523" t="s">
        <v>57</v>
      </c>
      <c r="F1523">
        <v>2</v>
      </c>
      <c r="G1523">
        <v>61</v>
      </c>
      <c r="H1523" s="86">
        <v>45972.931607766201</v>
      </c>
      <c r="I1523" s="86">
        <v>45973.037127986099</v>
      </c>
      <c r="J1523" s="87">
        <v>2.5324852777777802</v>
      </c>
      <c r="K1523" s="69" t="s">
        <v>274</v>
      </c>
      <c r="P1523" s="71" t="s">
        <v>275</v>
      </c>
      <c r="Q1523" s="88">
        <v>4.60902992390551E-3</v>
      </c>
      <c r="R1523" s="89" t="s">
        <v>276</v>
      </c>
      <c r="T1523">
        <v>7.4</v>
      </c>
      <c r="U1523" s="76">
        <v>0.2</v>
      </c>
      <c r="V1523">
        <v>9.3000000000000007</v>
      </c>
      <c r="W1523" s="90">
        <v>0.1</v>
      </c>
      <c r="AG1523" s="91">
        <v>0</v>
      </c>
      <c r="AK1523" s="71">
        <v>0.15</v>
      </c>
      <c r="AL1523" s="88">
        <v>3.3446972957205001E-2</v>
      </c>
      <c r="AM1523" s="89">
        <f t="shared" si="23"/>
        <v>0.22297981971470002</v>
      </c>
    </row>
    <row r="1524" spans="1:39" x14ac:dyDescent="0.25">
      <c r="A1524" t="s">
        <v>44</v>
      </c>
      <c r="B1524" t="s">
        <v>52</v>
      </c>
      <c r="C1524" s="121" t="s">
        <v>174</v>
      </c>
      <c r="D1524" t="s">
        <v>206</v>
      </c>
      <c r="E1524" t="s">
        <v>57</v>
      </c>
      <c r="F1524">
        <v>2</v>
      </c>
      <c r="G1524">
        <v>62</v>
      </c>
      <c r="H1524" s="86">
        <v>45973.037127986099</v>
      </c>
      <c r="I1524" s="86">
        <v>45973.142654386596</v>
      </c>
      <c r="J1524" s="87">
        <v>2.5326336111111099</v>
      </c>
      <c r="K1524" s="69" t="s">
        <v>274</v>
      </c>
      <c r="P1524" s="71" t="s">
        <v>275</v>
      </c>
      <c r="Q1524" s="88">
        <v>1.0631644043434699E-2</v>
      </c>
      <c r="R1524" s="89" t="s">
        <v>276</v>
      </c>
      <c r="T1524">
        <v>9.5</v>
      </c>
      <c r="U1524" s="76">
        <v>0.2</v>
      </c>
      <c r="V1524">
        <v>9.3000000000000007</v>
      </c>
      <c r="W1524" s="90">
        <v>0.1</v>
      </c>
      <c r="AG1524" s="91">
        <v>0</v>
      </c>
      <c r="AK1524" s="71">
        <v>0.15</v>
      </c>
      <c r="AL1524" s="88">
        <v>3.3446972957205001E-2</v>
      </c>
      <c r="AM1524" s="89">
        <f t="shared" si="23"/>
        <v>0.22297981971470002</v>
      </c>
    </row>
    <row r="1525" spans="1:39" x14ac:dyDescent="0.25">
      <c r="A1525" t="s">
        <v>44</v>
      </c>
      <c r="B1525" t="s">
        <v>52</v>
      </c>
      <c r="C1525" s="121" t="s">
        <v>174</v>
      </c>
      <c r="D1525" t="s">
        <v>206</v>
      </c>
      <c r="E1525" t="s">
        <v>57</v>
      </c>
      <c r="F1525">
        <v>2</v>
      </c>
      <c r="G1525">
        <v>63</v>
      </c>
      <c r="H1525" s="86">
        <v>45973.142654386596</v>
      </c>
      <c r="I1525" s="86">
        <v>45973.248181921299</v>
      </c>
      <c r="J1525" s="87">
        <v>2.5326608333333298</v>
      </c>
      <c r="K1525" s="69" t="s">
        <v>274</v>
      </c>
      <c r="P1525" s="71" t="s">
        <v>275</v>
      </c>
      <c r="Q1525" s="88">
        <v>1.5090962440971399E-2</v>
      </c>
      <c r="R1525" s="89" t="s">
        <v>276</v>
      </c>
      <c r="T1525">
        <v>9.1999999999999993</v>
      </c>
      <c r="U1525" s="76">
        <v>0.2</v>
      </c>
      <c r="V1525">
        <v>9.3000000000000007</v>
      </c>
      <c r="W1525" s="90">
        <v>0.1</v>
      </c>
      <c r="AG1525" s="91">
        <v>0</v>
      </c>
      <c r="AK1525" s="71">
        <v>0.15</v>
      </c>
      <c r="AL1525" s="88">
        <v>3.3446972957205001E-2</v>
      </c>
      <c r="AM1525" s="89">
        <f t="shared" si="23"/>
        <v>0.22297981971470002</v>
      </c>
    </row>
    <row r="1526" spans="1:39" x14ac:dyDescent="0.25">
      <c r="A1526" t="s">
        <v>44</v>
      </c>
      <c r="B1526" t="s">
        <v>52</v>
      </c>
      <c r="C1526" s="121" t="s">
        <v>174</v>
      </c>
      <c r="D1526" t="s">
        <v>206</v>
      </c>
      <c r="E1526" t="s">
        <v>57</v>
      </c>
      <c r="F1526">
        <v>2</v>
      </c>
      <c r="G1526">
        <v>64</v>
      </c>
      <c r="H1526" s="86">
        <v>45973.248181921299</v>
      </c>
      <c r="I1526" s="86">
        <v>45973.353708877301</v>
      </c>
      <c r="J1526" s="87">
        <v>2.5326469444444499</v>
      </c>
      <c r="K1526" s="69" t="s">
        <v>274</v>
      </c>
      <c r="P1526" s="71" t="s">
        <v>275</v>
      </c>
      <c r="Q1526" s="88">
        <v>1.43707259641838E-2</v>
      </c>
      <c r="R1526" s="89" t="s">
        <v>276</v>
      </c>
      <c r="T1526">
        <v>8.9</v>
      </c>
      <c r="U1526" s="76">
        <v>0.2</v>
      </c>
      <c r="V1526">
        <v>9.4</v>
      </c>
      <c r="W1526" s="90">
        <v>0.1</v>
      </c>
      <c r="AG1526" s="91">
        <v>0</v>
      </c>
      <c r="AK1526" s="71">
        <v>0.15</v>
      </c>
      <c r="AL1526" s="88">
        <v>3.3446972957205001E-2</v>
      </c>
      <c r="AM1526" s="89">
        <f t="shared" si="23"/>
        <v>0.22297981971470002</v>
      </c>
    </row>
    <row r="1527" spans="1:39" x14ac:dyDescent="0.25">
      <c r="A1527" t="s">
        <v>44</v>
      </c>
      <c r="B1527" t="s">
        <v>52</v>
      </c>
      <c r="C1527" s="121" t="s">
        <v>174</v>
      </c>
      <c r="D1527" t="s">
        <v>207</v>
      </c>
      <c r="E1527" t="s">
        <v>59</v>
      </c>
      <c r="F1527">
        <v>2</v>
      </c>
      <c r="G1527">
        <v>1</v>
      </c>
      <c r="H1527" s="86">
        <v>45966.606365706</v>
      </c>
      <c r="I1527" s="86">
        <v>45966.711898101901</v>
      </c>
      <c r="J1527" s="87">
        <v>2.5327774999999999</v>
      </c>
      <c r="K1527" s="69" t="s">
        <v>274</v>
      </c>
      <c r="P1527" s="71" t="s">
        <v>275</v>
      </c>
      <c r="Q1527" s="88">
        <v>8.3471200123635993E-3</v>
      </c>
      <c r="R1527" s="89" t="s">
        <v>276</v>
      </c>
      <c r="T1527">
        <v>12.8</v>
      </c>
      <c r="U1527" s="76">
        <v>0.2</v>
      </c>
      <c r="V1527">
        <v>11</v>
      </c>
      <c r="W1527" s="90">
        <v>0.1</v>
      </c>
      <c r="AG1527" s="91">
        <v>0</v>
      </c>
      <c r="AK1527" s="71">
        <v>0.15</v>
      </c>
      <c r="AL1527" s="88">
        <v>3.3541019662496903E-2</v>
      </c>
      <c r="AM1527" s="89">
        <f t="shared" si="23"/>
        <v>0.22360679774997935</v>
      </c>
    </row>
    <row r="1528" spans="1:39" x14ac:dyDescent="0.25">
      <c r="A1528" t="s">
        <v>44</v>
      </c>
      <c r="B1528" t="s">
        <v>52</v>
      </c>
      <c r="C1528" s="121" t="s">
        <v>174</v>
      </c>
      <c r="D1528" t="s">
        <v>207</v>
      </c>
      <c r="E1528" t="s">
        <v>59</v>
      </c>
      <c r="F1528">
        <v>2</v>
      </c>
      <c r="G1528">
        <v>2</v>
      </c>
      <c r="H1528" s="86">
        <v>45966.711898101901</v>
      </c>
      <c r="I1528" s="86">
        <v>45966.817421794003</v>
      </c>
      <c r="J1528" s="87">
        <v>2.5325686111111101</v>
      </c>
      <c r="K1528" s="69" t="s">
        <v>274</v>
      </c>
      <c r="P1528" s="71" t="s">
        <v>275</v>
      </c>
      <c r="Q1528" s="88">
        <v>4.8162318213411798E-3</v>
      </c>
      <c r="R1528" s="89" t="s">
        <v>276</v>
      </c>
      <c r="T1528">
        <v>11.2</v>
      </c>
      <c r="U1528" s="76">
        <v>0.2</v>
      </c>
      <c r="V1528">
        <v>11.1</v>
      </c>
      <c r="W1528" s="90">
        <v>0.1</v>
      </c>
      <c r="AG1528" s="91">
        <v>0</v>
      </c>
      <c r="AK1528" s="71">
        <v>0.15</v>
      </c>
      <c r="AL1528" s="88">
        <v>3.3541019662496903E-2</v>
      </c>
      <c r="AM1528" s="89">
        <f t="shared" si="23"/>
        <v>0.22360679774997935</v>
      </c>
    </row>
    <row r="1529" spans="1:39" x14ac:dyDescent="0.25">
      <c r="A1529" t="s">
        <v>44</v>
      </c>
      <c r="B1529" t="s">
        <v>52</v>
      </c>
      <c r="C1529" s="121" t="s">
        <v>174</v>
      </c>
      <c r="D1529" t="s">
        <v>207</v>
      </c>
      <c r="E1529" t="s">
        <v>59</v>
      </c>
      <c r="F1529">
        <v>2</v>
      </c>
      <c r="G1529">
        <v>3</v>
      </c>
      <c r="H1529" s="86">
        <v>45966.817421794003</v>
      </c>
      <c r="I1529" s="86">
        <v>45966.9229524537</v>
      </c>
      <c r="J1529" s="87">
        <v>2.5327358333333301</v>
      </c>
      <c r="K1529" s="69" t="s">
        <v>274</v>
      </c>
      <c r="P1529" s="71" t="s">
        <v>275</v>
      </c>
      <c r="Q1529" s="88">
        <v>2.87040612115515E-3</v>
      </c>
      <c r="R1529" s="89" t="s">
        <v>276</v>
      </c>
      <c r="T1529">
        <v>10.7</v>
      </c>
      <c r="U1529" s="76">
        <v>0.2</v>
      </c>
      <c r="V1529">
        <v>11.1</v>
      </c>
      <c r="W1529" s="90">
        <v>0.1</v>
      </c>
      <c r="AG1529" s="91">
        <v>0</v>
      </c>
      <c r="AK1529" s="71">
        <v>0.15</v>
      </c>
      <c r="AL1529" s="88">
        <v>3.3541019662496903E-2</v>
      </c>
      <c r="AM1529" s="89">
        <f t="shared" si="23"/>
        <v>0.22360679774997935</v>
      </c>
    </row>
    <row r="1530" spans="1:39" x14ac:dyDescent="0.25">
      <c r="A1530" t="s">
        <v>44</v>
      </c>
      <c r="B1530" t="s">
        <v>52</v>
      </c>
      <c r="C1530" s="121" t="s">
        <v>174</v>
      </c>
      <c r="D1530" t="s">
        <v>207</v>
      </c>
      <c r="E1530" t="s">
        <v>59</v>
      </c>
      <c r="F1530">
        <v>2</v>
      </c>
      <c r="G1530">
        <v>4</v>
      </c>
      <c r="H1530" s="86">
        <v>45966.9229524537</v>
      </c>
      <c r="I1530" s="86">
        <v>45967.028473935199</v>
      </c>
      <c r="J1530" s="87">
        <v>2.5325155555555598</v>
      </c>
      <c r="K1530" s="69" t="s">
        <v>274</v>
      </c>
      <c r="P1530" s="71" t="s">
        <v>275</v>
      </c>
      <c r="Q1530" s="88">
        <v>6.1243833625345299E-3</v>
      </c>
      <c r="R1530" s="89" t="s">
        <v>276</v>
      </c>
      <c r="T1530">
        <v>10.7</v>
      </c>
      <c r="U1530" s="76">
        <v>0.2</v>
      </c>
      <c r="V1530">
        <v>11</v>
      </c>
      <c r="W1530" s="90">
        <v>0.1</v>
      </c>
      <c r="AG1530" s="91">
        <v>0</v>
      </c>
      <c r="AK1530" s="71">
        <v>0.15</v>
      </c>
      <c r="AL1530" s="88">
        <v>3.3541019662496903E-2</v>
      </c>
      <c r="AM1530" s="89">
        <f t="shared" si="23"/>
        <v>0.22360679774997935</v>
      </c>
    </row>
    <row r="1531" spans="1:39" x14ac:dyDescent="0.25">
      <c r="A1531" t="s">
        <v>44</v>
      </c>
      <c r="B1531" t="s">
        <v>52</v>
      </c>
      <c r="C1531" s="121" t="s">
        <v>174</v>
      </c>
      <c r="D1531" t="s">
        <v>207</v>
      </c>
      <c r="E1531" t="s">
        <v>59</v>
      </c>
      <c r="F1531">
        <v>2</v>
      </c>
      <c r="G1531">
        <v>5</v>
      </c>
      <c r="H1531" s="86">
        <v>45967.028473935199</v>
      </c>
      <c r="I1531" s="86">
        <v>45967.134008622699</v>
      </c>
      <c r="J1531" s="87">
        <v>2.5328325</v>
      </c>
      <c r="K1531" s="69" t="s">
        <v>274</v>
      </c>
      <c r="P1531" s="71" t="s">
        <v>275</v>
      </c>
      <c r="Q1531" s="88">
        <v>6.6119090322449897E-3</v>
      </c>
      <c r="R1531" s="89" t="s">
        <v>276</v>
      </c>
      <c r="T1531">
        <v>10.5</v>
      </c>
      <c r="U1531" s="76">
        <v>0.2</v>
      </c>
      <c r="V1531">
        <v>11</v>
      </c>
      <c r="W1531" s="90">
        <v>0.1</v>
      </c>
      <c r="AG1531" s="91">
        <v>0</v>
      </c>
      <c r="AK1531" s="71">
        <v>0.15</v>
      </c>
      <c r="AL1531" s="88">
        <v>3.3541019662496903E-2</v>
      </c>
      <c r="AM1531" s="89">
        <f t="shared" si="23"/>
        <v>0.22360679774997935</v>
      </c>
    </row>
    <row r="1532" spans="1:39" x14ac:dyDescent="0.25">
      <c r="A1532" t="s">
        <v>44</v>
      </c>
      <c r="B1532" t="s">
        <v>52</v>
      </c>
      <c r="C1532" s="121" t="s">
        <v>174</v>
      </c>
      <c r="D1532" t="s">
        <v>207</v>
      </c>
      <c r="E1532" t="s">
        <v>59</v>
      </c>
      <c r="F1532">
        <v>2</v>
      </c>
      <c r="G1532">
        <v>6</v>
      </c>
      <c r="H1532" s="86">
        <v>45967.134008622699</v>
      </c>
      <c r="I1532" s="86">
        <v>45967.239524004603</v>
      </c>
      <c r="J1532" s="87">
        <v>2.5323691666666699</v>
      </c>
      <c r="K1532" s="69" t="s">
        <v>274</v>
      </c>
      <c r="P1532" s="71" t="s">
        <v>275</v>
      </c>
      <c r="Q1532" s="88">
        <v>8.9788397441435599E-3</v>
      </c>
      <c r="R1532" s="89" t="s">
        <v>276</v>
      </c>
      <c r="T1532">
        <v>10.6</v>
      </c>
      <c r="U1532" s="76">
        <v>0.2</v>
      </c>
      <c r="V1532">
        <v>10.9</v>
      </c>
      <c r="W1532" s="90">
        <v>0.1</v>
      </c>
      <c r="AG1532" s="91">
        <v>0</v>
      </c>
      <c r="AK1532" s="71">
        <v>0.15</v>
      </c>
      <c r="AL1532" s="88">
        <v>3.3541019662496903E-2</v>
      </c>
      <c r="AM1532" s="89">
        <f t="shared" si="23"/>
        <v>0.22360679774997935</v>
      </c>
    </row>
    <row r="1533" spans="1:39" x14ac:dyDescent="0.25">
      <c r="A1533" t="s">
        <v>44</v>
      </c>
      <c r="B1533" t="s">
        <v>52</v>
      </c>
      <c r="C1533" s="121" t="s">
        <v>174</v>
      </c>
      <c r="D1533" t="s">
        <v>207</v>
      </c>
      <c r="E1533" t="s">
        <v>59</v>
      </c>
      <c r="F1533">
        <v>2</v>
      </c>
      <c r="G1533">
        <v>7</v>
      </c>
      <c r="H1533" s="86">
        <v>45967.239524004603</v>
      </c>
      <c r="I1533" s="86">
        <v>45967.345050486103</v>
      </c>
      <c r="J1533" s="87">
        <v>2.5326355555555602</v>
      </c>
      <c r="K1533" s="69" t="s">
        <v>274</v>
      </c>
      <c r="P1533" s="71" t="s">
        <v>275</v>
      </c>
      <c r="Q1533" s="88">
        <v>8.8709000432025502E-3</v>
      </c>
      <c r="R1533" s="89" t="s">
        <v>276</v>
      </c>
      <c r="T1533">
        <v>9.9</v>
      </c>
      <c r="U1533" s="76">
        <v>0.2</v>
      </c>
      <c r="V1533">
        <v>10.9</v>
      </c>
      <c r="W1533" s="90">
        <v>0.1</v>
      </c>
      <c r="AG1533" s="91">
        <v>0</v>
      </c>
      <c r="AK1533" s="71">
        <v>0.15</v>
      </c>
      <c r="AL1533" s="88">
        <v>3.3541019662496903E-2</v>
      </c>
      <c r="AM1533" s="89">
        <f t="shared" si="23"/>
        <v>0.22360679774997935</v>
      </c>
    </row>
    <row r="1534" spans="1:39" x14ac:dyDescent="0.25">
      <c r="A1534" t="s">
        <v>44</v>
      </c>
      <c r="B1534" t="s">
        <v>52</v>
      </c>
      <c r="C1534" s="121" t="s">
        <v>174</v>
      </c>
      <c r="D1534" t="s">
        <v>207</v>
      </c>
      <c r="E1534" t="s">
        <v>59</v>
      </c>
      <c r="F1534">
        <v>2</v>
      </c>
      <c r="G1534">
        <v>8</v>
      </c>
      <c r="H1534" s="86">
        <v>45967.345050486103</v>
      </c>
      <c r="I1534" s="86">
        <v>45967.450587974497</v>
      </c>
      <c r="J1534" s="87">
        <v>2.5328997222222198</v>
      </c>
      <c r="K1534" s="69" t="s">
        <v>274</v>
      </c>
      <c r="P1534" s="71" t="s">
        <v>275</v>
      </c>
      <c r="Q1534" s="88">
        <v>8.3229289379234805E-3</v>
      </c>
      <c r="R1534" s="89" t="s">
        <v>276</v>
      </c>
      <c r="T1534">
        <v>9.9</v>
      </c>
      <c r="U1534" s="76">
        <v>0.2</v>
      </c>
      <c r="V1534">
        <v>10.9</v>
      </c>
      <c r="W1534" s="90">
        <v>0.1</v>
      </c>
      <c r="AG1534" s="91">
        <v>0</v>
      </c>
      <c r="AK1534" s="71">
        <v>0.15</v>
      </c>
      <c r="AL1534" s="88">
        <v>3.3541019662496903E-2</v>
      </c>
      <c r="AM1534" s="89">
        <f t="shared" si="23"/>
        <v>0.22360679774997935</v>
      </c>
    </row>
    <row r="1535" spans="1:39" x14ac:dyDescent="0.25">
      <c r="A1535" t="s">
        <v>44</v>
      </c>
      <c r="B1535" t="s">
        <v>52</v>
      </c>
      <c r="C1535" s="121" t="s">
        <v>174</v>
      </c>
      <c r="D1535" t="s">
        <v>207</v>
      </c>
      <c r="E1535" t="s">
        <v>59</v>
      </c>
      <c r="F1535">
        <v>2</v>
      </c>
      <c r="G1535">
        <v>9</v>
      </c>
      <c r="H1535" s="86">
        <v>45967.450587974497</v>
      </c>
      <c r="I1535" s="86">
        <v>45967.556118298598</v>
      </c>
      <c r="J1535" s="87">
        <v>2.5327277777777799</v>
      </c>
      <c r="K1535" s="69" t="s">
        <v>274</v>
      </c>
      <c r="P1535" s="71" t="s">
        <v>275</v>
      </c>
      <c r="Q1535" s="88">
        <v>3.3807834019895601E-2</v>
      </c>
      <c r="R1535" s="89" t="s">
        <v>276</v>
      </c>
      <c r="T1535">
        <v>14</v>
      </c>
      <c r="U1535" s="76">
        <v>0.2</v>
      </c>
      <c r="V1535">
        <v>10.9</v>
      </c>
      <c r="W1535" s="90">
        <v>0.1</v>
      </c>
      <c r="AG1535" s="91">
        <v>0</v>
      </c>
      <c r="AK1535" s="71">
        <v>0.15</v>
      </c>
      <c r="AL1535" s="88">
        <v>3.3541019662496903E-2</v>
      </c>
      <c r="AM1535" s="89">
        <f t="shared" si="23"/>
        <v>0.22360679774997935</v>
      </c>
    </row>
    <row r="1536" spans="1:39" x14ac:dyDescent="0.25">
      <c r="A1536" t="s">
        <v>44</v>
      </c>
      <c r="B1536" t="s">
        <v>52</v>
      </c>
      <c r="C1536" s="121" t="s">
        <v>174</v>
      </c>
      <c r="D1536" t="s">
        <v>207</v>
      </c>
      <c r="E1536" t="s">
        <v>59</v>
      </c>
      <c r="F1536">
        <v>2</v>
      </c>
      <c r="G1536">
        <v>10</v>
      </c>
      <c r="H1536" s="86">
        <v>45967.556118298598</v>
      </c>
      <c r="I1536" s="86">
        <v>45967.6616286227</v>
      </c>
      <c r="J1536" s="87">
        <v>2.5322477777777799</v>
      </c>
      <c r="K1536" s="69" t="s">
        <v>274</v>
      </c>
      <c r="P1536" s="71" t="s">
        <v>275</v>
      </c>
      <c r="Q1536" s="88">
        <v>5.1388967804512201E-2</v>
      </c>
      <c r="R1536" s="89" t="s">
        <v>276</v>
      </c>
      <c r="T1536">
        <v>15.9</v>
      </c>
      <c r="U1536" s="76">
        <v>0.2</v>
      </c>
      <c r="V1536">
        <v>11</v>
      </c>
      <c r="W1536" s="90">
        <v>0.1</v>
      </c>
      <c r="AG1536" s="91">
        <v>0</v>
      </c>
      <c r="AK1536" s="71">
        <v>0.15</v>
      </c>
      <c r="AL1536" s="88">
        <v>3.3541019662496903E-2</v>
      </c>
      <c r="AM1536" s="89">
        <f t="shared" si="23"/>
        <v>0.22360679774997935</v>
      </c>
    </row>
    <row r="1537" spans="1:39" x14ac:dyDescent="0.25">
      <c r="A1537" t="s">
        <v>44</v>
      </c>
      <c r="B1537" t="s">
        <v>52</v>
      </c>
      <c r="C1537" s="121" t="s">
        <v>174</v>
      </c>
      <c r="D1537" t="s">
        <v>207</v>
      </c>
      <c r="E1537" t="s">
        <v>59</v>
      </c>
      <c r="F1537">
        <v>2</v>
      </c>
      <c r="G1537">
        <v>11</v>
      </c>
      <c r="H1537" s="86">
        <v>45967.6616286227</v>
      </c>
      <c r="I1537" s="86">
        <v>45967.767163344899</v>
      </c>
      <c r="J1537" s="87">
        <v>2.5328333333333299</v>
      </c>
      <c r="K1537" s="69" t="s">
        <v>274</v>
      </c>
      <c r="P1537" s="71" t="s">
        <v>275</v>
      </c>
      <c r="Q1537" s="88">
        <v>1.7092218816542399E-2</v>
      </c>
      <c r="R1537" s="89" t="s">
        <v>276</v>
      </c>
      <c r="T1537">
        <v>10.7</v>
      </c>
      <c r="U1537" s="76">
        <v>0.2</v>
      </c>
      <c r="V1537">
        <v>11.2</v>
      </c>
      <c r="W1537" s="90">
        <v>0.1</v>
      </c>
      <c r="AG1537" s="91">
        <v>0</v>
      </c>
      <c r="AK1537" s="71">
        <v>0.15</v>
      </c>
      <c r="AL1537" s="88">
        <v>3.3541019662496903E-2</v>
      </c>
      <c r="AM1537" s="89">
        <f t="shared" si="23"/>
        <v>0.22360679774997935</v>
      </c>
    </row>
    <row r="1538" spans="1:39" x14ac:dyDescent="0.25">
      <c r="A1538" t="s">
        <v>44</v>
      </c>
      <c r="B1538" t="s">
        <v>52</v>
      </c>
      <c r="C1538" s="121" t="s">
        <v>174</v>
      </c>
      <c r="D1538" t="s">
        <v>207</v>
      </c>
      <c r="E1538" t="s">
        <v>59</v>
      </c>
      <c r="F1538">
        <v>2</v>
      </c>
      <c r="G1538">
        <v>12</v>
      </c>
      <c r="H1538" s="86">
        <v>45967.767163344899</v>
      </c>
      <c r="I1538" s="86">
        <v>45967.872683541696</v>
      </c>
      <c r="J1538" s="87">
        <v>2.53248472222222</v>
      </c>
      <c r="K1538" s="69" t="s">
        <v>274</v>
      </c>
      <c r="P1538" s="71" t="s">
        <v>275</v>
      </c>
      <c r="Q1538" s="88">
        <v>5.1165143482364596E-3</v>
      </c>
      <c r="R1538" s="89" t="s">
        <v>276</v>
      </c>
      <c r="T1538">
        <v>7.9</v>
      </c>
      <c r="U1538" s="76">
        <v>0.2</v>
      </c>
      <c r="V1538">
        <v>11.2</v>
      </c>
      <c r="W1538" s="90">
        <v>0.1</v>
      </c>
      <c r="AG1538" s="91">
        <v>0</v>
      </c>
      <c r="AK1538" s="71">
        <v>0.15</v>
      </c>
      <c r="AL1538" s="88">
        <v>3.3541019662496903E-2</v>
      </c>
      <c r="AM1538" s="89">
        <f t="shared" si="23"/>
        <v>0.22360679774997935</v>
      </c>
    </row>
    <row r="1539" spans="1:39" x14ac:dyDescent="0.25">
      <c r="A1539" t="s">
        <v>44</v>
      </c>
      <c r="B1539" t="s">
        <v>52</v>
      </c>
      <c r="C1539" s="121" t="s">
        <v>174</v>
      </c>
      <c r="D1539" t="s">
        <v>207</v>
      </c>
      <c r="E1539" t="s">
        <v>59</v>
      </c>
      <c r="F1539">
        <v>2</v>
      </c>
      <c r="G1539">
        <v>13</v>
      </c>
      <c r="H1539" s="86">
        <v>45967.872683541696</v>
      </c>
      <c r="I1539" s="86">
        <v>45967.978199756901</v>
      </c>
      <c r="J1539" s="87">
        <v>2.53238916666667</v>
      </c>
      <c r="K1539" s="69" t="s">
        <v>274</v>
      </c>
      <c r="P1539" s="71" t="s">
        <v>275</v>
      </c>
      <c r="Q1539" s="88">
        <v>2.74749867593396E-3</v>
      </c>
      <c r="R1539" s="89" t="s">
        <v>276</v>
      </c>
      <c r="T1539">
        <v>6.8</v>
      </c>
      <c r="U1539" s="76">
        <v>0.2</v>
      </c>
      <c r="V1539">
        <v>10.9</v>
      </c>
      <c r="W1539" s="90">
        <v>0.1</v>
      </c>
      <c r="AG1539" s="91">
        <v>0</v>
      </c>
      <c r="AK1539" s="71">
        <v>0.15</v>
      </c>
      <c r="AL1539" s="88">
        <v>3.3541019662496903E-2</v>
      </c>
      <c r="AM1539" s="89">
        <f t="shared" si="23"/>
        <v>0.22360679774997935</v>
      </c>
    </row>
    <row r="1540" spans="1:39" x14ac:dyDescent="0.25">
      <c r="A1540" t="s">
        <v>44</v>
      </c>
      <c r="B1540" t="s">
        <v>52</v>
      </c>
      <c r="C1540" s="121" t="s">
        <v>174</v>
      </c>
      <c r="D1540" t="s">
        <v>207</v>
      </c>
      <c r="E1540" t="s">
        <v>59</v>
      </c>
      <c r="F1540">
        <v>2</v>
      </c>
      <c r="G1540">
        <v>14</v>
      </c>
      <c r="H1540" s="86">
        <v>45967.978199756901</v>
      </c>
      <c r="I1540" s="86">
        <v>45968.083730578699</v>
      </c>
      <c r="J1540" s="87">
        <v>2.5327397222222201</v>
      </c>
      <c r="K1540" s="69" t="s">
        <v>274</v>
      </c>
      <c r="P1540" s="71" t="s">
        <v>275</v>
      </c>
      <c r="Q1540" s="88">
        <v>4.6997839033834903E-3</v>
      </c>
      <c r="R1540" s="89" t="s">
        <v>276</v>
      </c>
      <c r="T1540">
        <v>7.1</v>
      </c>
      <c r="U1540" s="76">
        <v>0.2</v>
      </c>
      <c r="V1540">
        <v>10.7</v>
      </c>
      <c r="W1540" s="90">
        <v>0.1</v>
      </c>
      <c r="AG1540" s="91">
        <v>0</v>
      </c>
      <c r="AK1540" s="71">
        <v>0.15</v>
      </c>
      <c r="AL1540" s="88">
        <v>3.3541019662496903E-2</v>
      </c>
      <c r="AM1540" s="89">
        <f t="shared" si="23"/>
        <v>0.22360679774997935</v>
      </c>
    </row>
    <row r="1541" spans="1:39" x14ac:dyDescent="0.25">
      <c r="A1541" t="s">
        <v>44</v>
      </c>
      <c r="B1541" t="s">
        <v>52</v>
      </c>
      <c r="C1541" s="121" t="s">
        <v>174</v>
      </c>
      <c r="D1541" t="s">
        <v>207</v>
      </c>
      <c r="E1541" t="s">
        <v>59</v>
      </c>
      <c r="F1541">
        <v>2</v>
      </c>
      <c r="G1541">
        <v>15</v>
      </c>
      <c r="H1541" s="86">
        <v>45968.083730578699</v>
      </c>
      <c r="I1541" s="86">
        <v>45968.189252060198</v>
      </c>
      <c r="J1541" s="87">
        <v>2.5325155555555598</v>
      </c>
      <c r="K1541" s="69" t="s">
        <v>274</v>
      </c>
      <c r="P1541" s="71" t="s">
        <v>275</v>
      </c>
      <c r="Q1541" s="88">
        <v>2.9435450004891501E-3</v>
      </c>
      <c r="R1541" s="89" t="s">
        <v>276</v>
      </c>
      <c r="T1541">
        <v>4.8</v>
      </c>
      <c r="U1541" s="76">
        <v>0.2</v>
      </c>
      <c r="V1541">
        <v>10.5</v>
      </c>
      <c r="W1541" s="90">
        <v>0.1</v>
      </c>
      <c r="AG1541" s="91">
        <v>0</v>
      </c>
      <c r="AK1541" s="71">
        <v>0.15</v>
      </c>
      <c r="AL1541" s="88">
        <v>3.3541019662496903E-2</v>
      </c>
      <c r="AM1541" s="89">
        <f t="shared" ref="AM1541:AM1604" si="24">AL1541/AK1541</f>
        <v>0.22360679774997935</v>
      </c>
    </row>
    <row r="1542" spans="1:39" x14ac:dyDescent="0.25">
      <c r="A1542" t="s">
        <v>44</v>
      </c>
      <c r="B1542" t="s">
        <v>52</v>
      </c>
      <c r="C1542" s="121" t="s">
        <v>174</v>
      </c>
      <c r="D1542" t="s">
        <v>207</v>
      </c>
      <c r="E1542" t="s">
        <v>59</v>
      </c>
      <c r="F1542">
        <v>2</v>
      </c>
      <c r="G1542">
        <v>16</v>
      </c>
      <c r="H1542" s="86">
        <v>45968.189252060198</v>
      </c>
      <c r="I1542" s="86">
        <v>45968.294771516201</v>
      </c>
      <c r="J1542" s="87">
        <v>2.5324669444444399</v>
      </c>
      <c r="K1542" s="69" t="s">
        <v>274</v>
      </c>
      <c r="P1542" s="71" t="s">
        <v>275</v>
      </c>
      <c r="Q1542" s="88">
        <v>1.2110324901495799E-3</v>
      </c>
      <c r="R1542" s="89" t="s">
        <v>276</v>
      </c>
      <c r="T1542">
        <v>5.0999999999999996</v>
      </c>
      <c r="U1542" s="76">
        <v>0.2</v>
      </c>
      <c r="V1542">
        <v>10.1</v>
      </c>
      <c r="W1542" s="90">
        <v>0.1</v>
      </c>
      <c r="AG1542" s="91">
        <v>0</v>
      </c>
      <c r="AK1542" s="71">
        <v>0.15</v>
      </c>
      <c r="AL1542" s="88">
        <v>3.3541019662496903E-2</v>
      </c>
      <c r="AM1542" s="89">
        <f t="shared" si="24"/>
        <v>0.22360679774997935</v>
      </c>
    </row>
    <row r="1543" spans="1:39" x14ac:dyDescent="0.25">
      <c r="A1543" t="s">
        <v>44</v>
      </c>
      <c r="B1543" t="s">
        <v>52</v>
      </c>
      <c r="C1543" s="121" t="s">
        <v>174</v>
      </c>
      <c r="D1543" t="s">
        <v>207</v>
      </c>
      <c r="E1543" t="s">
        <v>59</v>
      </c>
      <c r="F1543">
        <v>2</v>
      </c>
      <c r="G1543">
        <v>17</v>
      </c>
      <c r="H1543" s="86">
        <v>45968.294771516201</v>
      </c>
      <c r="I1543" s="86">
        <v>45968.4003041088</v>
      </c>
      <c r="J1543" s="87">
        <v>2.5327822222222198</v>
      </c>
      <c r="K1543" s="69" t="s">
        <v>274</v>
      </c>
      <c r="P1543" s="71" t="s">
        <v>275</v>
      </c>
      <c r="Q1543" s="88">
        <v>1.1195140010821401E-3</v>
      </c>
      <c r="R1543" s="89" t="s">
        <v>276</v>
      </c>
      <c r="T1543">
        <v>6.3</v>
      </c>
      <c r="U1543" s="76">
        <v>0.2</v>
      </c>
      <c r="V1543">
        <v>9.9</v>
      </c>
      <c r="W1543" s="90">
        <v>0.1</v>
      </c>
      <c r="AG1543" s="91">
        <v>0</v>
      </c>
      <c r="AK1543" s="71">
        <v>0.15</v>
      </c>
      <c r="AL1543" s="88">
        <v>3.3541019662496903E-2</v>
      </c>
      <c r="AM1543" s="89">
        <f t="shared" si="24"/>
        <v>0.22360679774997935</v>
      </c>
    </row>
    <row r="1544" spans="1:39" x14ac:dyDescent="0.25">
      <c r="A1544" t="s">
        <v>44</v>
      </c>
      <c r="B1544" t="s">
        <v>52</v>
      </c>
      <c r="C1544" s="121" t="s">
        <v>174</v>
      </c>
      <c r="D1544" t="s">
        <v>207</v>
      </c>
      <c r="E1544" t="s">
        <v>59</v>
      </c>
      <c r="F1544">
        <v>2</v>
      </c>
      <c r="G1544">
        <v>18</v>
      </c>
      <c r="H1544" s="86">
        <v>45968.4003041088</v>
      </c>
      <c r="I1544" s="86">
        <v>45968.505825786997</v>
      </c>
      <c r="J1544" s="87">
        <v>2.5325202777777802</v>
      </c>
      <c r="K1544" s="69" t="s">
        <v>274</v>
      </c>
      <c r="P1544" s="71" t="s">
        <v>275</v>
      </c>
      <c r="Q1544" s="88">
        <v>3.53166748855032E-3</v>
      </c>
      <c r="R1544" s="89" t="s">
        <v>276</v>
      </c>
      <c r="T1544">
        <v>8.1</v>
      </c>
      <c r="U1544" s="76">
        <v>0.2</v>
      </c>
      <c r="V1544">
        <v>9.8000000000000007</v>
      </c>
      <c r="W1544" s="90">
        <v>0.1</v>
      </c>
      <c r="AG1544" s="91">
        <v>0</v>
      </c>
      <c r="AK1544" s="71">
        <v>0.15</v>
      </c>
      <c r="AL1544" s="88">
        <v>3.3541019662496903E-2</v>
      </c>
      <c r="AM1544" s="89">
        <f t="shared" si="24"/>
        <v>0.22360679774997935</v>
      </c>
    </row>
    <row r="1545" spans="1:39" x14ac:dyDescent="0.25">
      <c r="A1545" t="s">
        <v>44</v>
      </c>
      <c r="B1545" t="s">
        <v>52</v>
      </c>
      <c r="C1545" s="121" t="s">
        <v>174</v>
      </c>
      <c r="D1545" t="s">
        <v>207</v>
      </c>
      <c r="E1545" t="s">
        <v>59</v>
      </c>
      <c r="F1545">
        <v>2</v>
      </c>
      <c r="G1545">
        <v>19</v>
      </c>
      <c r="H1545" s="86">
        <v>45968.505825786997</v>
      </c>
      <c r="I1545" s="86">
        <v>45968.611336689799</v>
      </c>
      <c r="J1545" s="87">
        <v>2.53226166666667</v>
      </c>
      <c r="K1545" s="69" t="s">
        <v>274</v>
      </c>
      <c r="P1545" s="71" t="s">
        <v>275</v>
      </c>
      <c r="Q1545" s="88">
        <v>1.7956642804484099E-2</v>
      </c>
      <c r="R1545" s="89" t="s">
        <v>276</v>
      </c>
      <c r="T1545">
        <v>9.4</v>
      </c>
      <c r="U1545" s="76">
        <v>0.2</v>
      </c>
      <c r="V1545">
        <v>9.9</v>
      </c>
      <c r="W1545" s="90">
        <v>0.1</v>
      </c>
      <c r="AG1545" s="91">
        <v>0</v>
      </c>
      <c r="AK1545" s="71">
        <v>0.15</v>
      </c>
      <c r="AL1545" s="88">
        <v>3.3541019662496903E-2</v>
      </c>
      <c r="AM1545" s="89">
        <f t="shared" si="24"/>
        <v>0.22360679774997935</v>
      </c>
    </row>
    <row r="1546" spans="1:39" x14ac:dyDescent="0.25">
      <c r="A1546" t="s">
        <v>44</v>
      </c>
      <c r="B1546" t="s">
        <v>52</v>
      </c>
      <c r="C1546" s="121" t="s">
        <v>174</v>
      </c>
      <c r="D1546" t="s">
        <v>207</v>
      </c>
      <c r="E1546" t="s">
        <v>59</v>
      </c>
      <c r="F1546">
        <v>2</v>
      </c>
      <c r="G1546">
        <v>20</v>
      </c>
      <c r="H1546" s="86">
        <v>45968.611336689799</v>
      </c>
      <c r="I1546" s="86">
        <v>45968.716831388898</v>
      </c>
      <c r="J1546" s="87">
        <v>2.5318727777777799</v>
      </c>
      <c r="K1546" s="69" t="s">
        <v>274</v>
      </c>
      <c r="P1546" s="71" t="s">
        <v>275</v>
      </c>
      <c r="Q1546" s="88">
        <v>1.1067655597750799E-2</v>
      </c>
      <c r="R1546" s="89" t="s">
        <v>276</v>
      </c>
      <c r="T1546">
        <v>8.3000000000000007</v>
      </c>
      <c r="U1546" s="76">
        <v>0.2</v>
      </c>
      <c r="V1546">
        <v>10.1</v>
      </c>
      <c r="W1546" s="90">
        <v>0.1</v>
      </c>
      <c r="AG1546" s="91">
        <v>0</v>
      </c>
      <c r="AK1546" s="71">
        <v>0.15</v>
      </c>
      <c r="AL1546" s="88">
        <v>3.3541019662496903E-2</v>
      </c>
      <c r="AM1546" s="89">
        <f t="shared" si="24"/>
        <v>0.22360679774997935</v>
      </c>
    </row>
    <row r="1547" spans="1:39" x14ac:dyDescent="0.25">
      <c r="A1547" t="s">
        <v>44</v>
      </c>
      <c r="B1547" t="s">
        <v>52</v>
      </c>
      <c r="C1547" s="121" t="s">
        <v>174</v>
      </c>
      <c r="D1547" t="s">
        <v>207</v>
      </c>
      <c r="E1547" t="s">
        <v>59</v>
      </c>
      <c r="F1547">
        <v>2</v>
      </c>
      <c r="G1547">
        <v>21</v>
      </c>
      <c r="H1547" s="86">
        <v>45968.716831388898</v>
      </c>
      <c r="I1547" s="86">
        <v>45968.822325127301</v>
      </c>
      <c r="J1547" s="87">
        <v>2.53184972222222</v>
      </c>
      <c r="K1547" s="69" t="s">
        <v>274</v>
      </c>
      <c r="P1547" s="71" t="s">
        <v>275</v>
      </c>
      <c r="Q1547" s="88">
        <v>8.9240367275957508E-3</v>
      </c>
      <c r="R1547" s="89" t="s">
        <v>276</v>
      </c>
      <c r="T1547">
        <v>7.9</v>
      </c>
      <c r="U1547" s="76">
        <v>0.2</v>
      </c>
      <c r="V1547">
        <v>10.199999999999999</v>
      </c>
      <c r="W1547" s="90">
        <v>0.1</v>
      </c>
      <c r="AG1547" s="91">
        <v>0</v>
      </c>
      <c r="AK1547" s="71">
        <v>0.15</v>
      </c>
      <c r="AL1547" s="88">
        <v>3.3541019662496903E-2</v>
      </c>
      <c r="AM1547" s="89">
        <f t="shared" si="24"/>
        <v>0.22360679774997935</v>
      </c>
    </row>
    <row r="1548" spans="1:39" x14ac:dyDescent="0.25">
      <c r="A1548" t="s">
        <v>44</v>
      </c>
      <c r="B1548" t="s">
        <v>52</v>
      </c>
      <c r="C1548" s="121" t="s">
        <v>174</v>
      </c>
      <c r="D1548" t="s">
        <v>207</v>
      </c>
      <c r="E1548" t="s">
        <v>59</v>
      </c>
      <c r="F1548">
        <v>2</v>
      </c>
      <c r="G1548">
        <v>22</v>
      </c>
      <c r="H1548" s="86">
        <v>45968.822325127301</v>
      </c>
      <c r="I1548" s="86">
        <v>45968.927817488402</v>
      </c>
      <c r="J1548" s="87">
        <v>2.5318166666666699</v>
      </c>
      <c r="K1548" s="69" t="s">
        <v>274</v>
      </c>
      <c r="P1548" s="71" t="s">
        <v>275</v>
      </c>
      <c r="Q1548" s="88">
        <v>5.4882927064558102E-3</v>
      </c>
      <c r="R1548" s="89" t="s">
        <v>276</v>
      </c>
      <c r="T1548">
        <v>7.8</v>
      </c>
      <c r="U1548" s="76">
        <v>0.2</v>
      </c>
      <c r="V1548">
        <v>10.199999999999999</v>
      </c>
      <c r="W1548" s="90">
        <v>0.1</v>
      </c>
      <c r="AG1548" s="91">
        <v>0</v>
      </c>
      <c r="AK1548" s="71">
        <v>0.15</v>
      </c>
      <c r="AL1548" s="88">
        <v>3.3541019662496903E-2</v>
      </c>
      <c r="AM1548" s="89">
        <f t="shared" si="24"/>
        <v>0.22360679774997935</v>
      </c>
    </row>
    <row r="1549" spans="1:39" x14ac:dyDescent="0.25">
      <c r="A1549" t="s">
        <v>44</v>
      </c>
      <c r="B1549" t="s">
        <v>52</v>
      </c>
      <c r="C1549" s="121" t="s">
        <v>174</v>
      </c>
      <c r="D1549" t="s">
        <v>207</v>
      </c>
      <c r="E1549" t="s">
        <v>59</v>
      </c>
      <c r="F1549">
        <v>2</v>
      </c>
      <c r="G1549">
        <v>23</v>
      </c>
      <c r="H1549" s="86">
        <v>45968.927817488402</v>
      </c>
      <c r="I1549" s="86">
        <v>45969.033332754603</v>
      </c>
      <c r="J1549" s="87">
        <v>2.5323663888888901</v>
      </c>
      <c r="K1549" s="69" t="s">
        <v>274</v>
      </c>
      <c r="P1549" s="71" t="s">
        <v>275</v>
      </c>
      <c r="Q1549" s="88">
        <v>4.5001198186399999E-3</v>
      </c>
      <c r="R1549" s="89" t="s">
        <v>276</v>
      </c>
      <c r="T1549">
        <v>7.9</v>
      </c>
      <c r="U1549" s="76">
        <v>0.2</v>
      </c>
      <c r="V1549">
        <v>10.199999999999999</v>
      </c>
      <c r="W1549" s="90">
        <v>0.1</v>
      </c>
      <c r="AG1549" s="91">
        <v>0</v>
      </c>
      <c r="AK1549" s="71">
        <v>0.15</v>
      </c>
      <c r="AL1549" s="88">
        <v>3.3541019662496903E-2</v>
      </c>
      <c r="AM1549" s="89">
        <f t="shared" si="24"/>
        <v>0.22360679774997935</v>
      </c>
    </row>
    <row r="1550" spans="1:39" x14ac:dyDescent="0.25">
      <c r="A1550" t="s">
        <v>44</v>
      </c>
      <c r="B1550" t="s">
        <v>52</v>
      </c>
      <c r="C1550" s="121" t="s">
        <v>174</v>
      </c>
      <c r="D1550" t="s">
        <v>207</v>
      </c>
      <c r="E1550" t="s">
        <v>59</v>
      </c>
      <c r="F1550">
        <v>2</v>
      </c>
      <c r="G1550">
        <v>24</v>
      </c>
      <c r="H1550" s="86">
        <v>45969.033332754603</v>
      </c>
      <c r="I1550" s="86">
        <v>45969.138824537004</v>
      </c>
      <c r="J1550" s="87">
        <v>2.5318027777777798</v>
      </c>
      <c r="K1550" s="69" t="s">
        <v>274</v>
      </c>
      <c r="P1550" s="71" t="s">
        <v>275</v>
      </c>
      <c r="Q1550" s="88">
        <v>4.6177803120996796E-3</v>
      </c>
      <c r="R1550" s="89" t="s">
        <v>276</v>
      </c>
      <c r="T1550">
        <v>8.1999999999999993</v>
      </c>
      <c r="U1550" s="76">
        <v>0.2</v>
      </c>
      <c r="V1550">
        <v>10.1</v>
      </c>
      <c r="W1550" s="90">
        <v>0.1</v>
      </c>
      <c r="AG1550" s="91">
        <v>0</v>
      </c>
      <c r="AK1550" s="71">
        <v>0.15</v>
      </c>
      <c r="AL1550" s="88">
        <v>3.3541019662496903E-2</v>
      </c>
      <c r="AM1550" s="89">
        <f t="shared" si="24"/>
        <v>0.22360679774997935</v>
      </c>
    </row>
    <row r="1551" spans="1:39" x14ac:dyDescent="0.25">
      <c r="A1551" t="s">
        <v>44</v>
      </c>
      <c r="B1551" t="s">
        <v>52</v>
      </c>
      <c r="C1551" s="121" t="s">
        <v>174</v>
      </c>
      <c r="D1551" t="s">
        <v>207</v>
      </c>
      <c r="E1551" t="s">
        <v>59</v>
      </c>
      <c r="F1551">
        <v>2</v>
      </c>
      <c r="G1551">
        <v>25</v>
      </c>
      <c r="H1551" s="86">
        <v>45969.138824537004</v>
      </c>
      <c r="I1551" s="86">
        <v>45969.244326226901</v>
      </c>
      <c r="J1551" s="87">
        <v>2.5320405555555601</v>
      </c>
      <c r="K1551" s="69" t="s">
        <v>274</v>
      </c>
      <c r="P1551" s="71" t="s">
        <v>275</v>
      </c>
      <c r="Q1551" s="88">
        <v>5.6660961085272903E-3</v>
      </c>
      <c r="R1551" s="89" t="s">
        <v>276</v>
      </c>
      <c r="T1551">
        <v>8.1999999999999993</v>
      </c>
      <c r="U1551" s="76">
        <v>0.2</v>
      </c>
      <c r="V1551">
        <v>10.1</v>
      </c>
      <c r="W1551" s="90">
        <v>0.1</v>
      </c>
      <c r="AG1551" s="91">
        <v>0</v>
      </c>
      <c r="AK1551" s="71">
        <v>0.15</v>
      </c>
      <c r="AL1551" s="88">
        <v>3.3541019662496903E-2</v>
      </c>
      <c r="AM1551" s="89">
        <f t="shared" si="24"/>
        <v>0.22360679774997935</v>
      </c>
    </row>
    <row r="1552" spans="1:39" x14ac:dyDescent="0.25">
      <c r="A1552" t="s">
        <v>44</v>
      </c>
      <c r="B1552" t="s">
        <v>52</v>
      </c>
      <c r="C1552" s="121" t="s">
        <v>174</v>
      </c>
      <c r="D1552" t="s">
        <v>207</v>
      </c>
      <c r="E1552" t="s">
        <v>59</v>
      </c>
      <c r="F1552">
        <v>2</v>
      </c>
      <c r="G1552">
        <v>26</v>
      </c>
      <c r="H1552" s="86">
        <v>45969.244326226901</v>
      </c>
      <c r="I1552" s="86">
        <v>45969.349826921301</v>
      </c>
      <c r="J1552" s="87">
        <v>2.5320166666666699</v>
      </c>
      <c r="K1552" s="69" t="s">
        <v>274</v>
      </c>
      <c r="P1552" s="71" t="s">
        <v>275</v>
      </c>
      <c r="Q1552" s="88">
        <v>4.8575702179604304E-3</v>
      </c>
      <c r="R1552" s="89" t="s">
        <v>276</v>
      </c>
      <c r="T1552">
        <v>8</v>
      </c>
      <c r="U1552" s="76">
        <v>0.2</v>
      </c>
      <c r="V1552">
        <v>10.1</v>
      </c>
      <c r="W1552" s="90">
        <v>0.1</v>
      </c>
      <c r="AG1552" s="91">
        <v>0</v>
      </c>
      <c r="AK1552" s="71">
        <v>0.15</v>
      </c>
      <c r="AL1552" s="88">
        <v>3.3541019662496903E-2</v>
      </c>
      <c r="AM1552" s="89">
        <f t="shared" si="24"/>
        <v>0.22360679774997935</v>
      </c>
    </row>
    <row r="1553" spans="1:39" x14ac:dyDescent="0.25">
      <c r="A1553" t="s">
        <v>44</v>
      </c>
      <c r="B1553" t="s">
        <v>52</v>
      </c>
      <c r="C1553" s="121" t="s">
        <v>174</v>
      </c>
      <c r="D1553" t="s">
        <v>207</v>
      </c>
      <c r="E1553" t="s">
        <v>59</v>
      </c>
      <c r="F1553">
        <v>2</v>
      </c>
      <c r="G1553">
        <v>27</v>
      </c>
      <c r="H1553" s="86">
        <v>45969.349826921301</v>
      </c>
      <c r="I1553" s="86">
        <v>45969.455340254601</v>
      </c>
      <c r="J1553" s="87">
        <v>2.5323199999999999</v>
      </c>
      <c r="K1553" s="69" t="s">
        <v>274</v>
      </c>
      <c r="P1553" s="71" t="s">
        <v>275</v>
      </c>
      <c r="Q1553" s="88">
        <v>5.3375563096538497E-3</v>
      </c>
      <c r="R1553" s="89" t="s">
        <v>276</v>
      </c>
      <c r="T1553">
        <v>8.1</v>
      </c>
      <c r="U1553" s="76">
        <v>0.2</v>
      </c>
      <c r="V1553">
        <v>10.1</v>
      </c>
      <c r="W1553" s="90">
        <v>0.1</v>
      </c>
      <c r="AG1553" s="91">
        <v>0</v>
      </c>
      <c r="AK1553" s="71">
        <v>0.15</v>
      </c>
      <c r="AL1553" s="88">
        <v>3.3541019662496903E-2</v>
      </c>
      <c r="AM1553" s="89">
        <f t="shared" si="24"/>
        <v>0.22360679774997935</v>
      </c>
    </row>
    <row r="1554" spans="1:39" x14ac:dyDescent="0.25">
      <c r="A1554" t="s">
        <v>44</v>
      </c>
      <c r="B1554" t="s">
        <v>52</v>
      </c>
      <c r="C1554" s="121" t="s">
        <v>174</v>
      </c>
      <c r="D1554" t="s">
        <v>207</v>
      </c>
      <c r="E1554" t="s">
        <v>59</v>
      </c>
      <c r="F1554">
        <v>2</v>
      </c>
      <c r="G1554">
        <v>28</v>
      </c>
      <c r="H1554" s="86">
        <v>45969.455340254601</v>
      </c>
      <c r="I1554" s="86">
        <v>45969.560835231503</v>
      </c>
      <c r="J1554" s="87">
        <v>2.5318794444444399</v>
      </c>
      <c r="K1554" s="69" t="s">
        <v>274</v>
      </c>
      <c r="P1554" s="71" t="s">
        <v>275</v>
      </c>
      <c r="Q1554" s="88">
        <v>7.2191192202383297E-3</v>
      </c>
      <c r="R1554" s="89" t="s">
        <v>276</v>
      </c>
      <c r="T1554">
        <v>8.5</v>
      </c>
      <c r="U1554" s="76">
        <v>0.2</v>
      </c>
      <c r="V1554">
        <v>10.1</v>
      </c>
      <c r="W1554" s="90">
        <v>0.1</v>
      </c>
      <c r="AG1554" s="91">
        <v>0</v>
      </c>
      <c r="AK1554" s="71">
        <v>0.15</v>
      </c>
      <c r="AL1554" s="88">
        <v>3.3541019662496903E-2</v>
      </c>
      <c r="AM1554" s="89">
        <f t="shared" si="24"/>
        <v>0.22360679774997935</v>
      </c>
    </row>
    <row r="1555" spans="1:39" x14ac:dyDescent="0.25">
      <c r="A1555" t="s">
        <v>44</v>
      </c>
      <c r="B1555" t="s">
        <v>52</v>
      </c>
      <c r="C1555" s="121" t="s">
        <v>174</v>
      </c>
      <c r="D1555" t="s">
        <v>207</v>
      </c>
      <c r="E1555" t="s">
        <v>59</v>
      </c>
      <c r="F1555">
        <v>2</v>
      </c>
      <c r="G1555">
        <v>29</v>
      </c>
      <c r="H1555" s="86">
        <v>45969.560835231503</v>
      </c>
      <c r="I1555" s="86">
        <v>45969.6663372685</v>
      </c>
      <c r="J1555" s="87">
        <v>2.5320488888888901</v>
      </c>
      <c r="K1555" s="69" t="s">
        <v>274</v>
      </c>
      <c r="P1555" s="71" t="s">
        <v>275</v>
      </c>
      <c r="Q1555" s="88">
        <v>6.4698672600521298E-3</v>
      </c>
      <c r="R1555" s="89" t="s">
        <v>276</v>
      </c>
      <c r="T1555">
        <v>8.6999999999999993</v>
      </c>
      <c r="U1555" s="76">
        <v>0.2</v>
      </c>
      <c r="V1555">
        <v>10.199999999999999</v>
      </c>
      <c r="W1555" s="90">
        <v>0.1</v>
      </c>
      <c r="AG1555" s="91">
        <v>0</v>
      </c>
      <c r="AK1555" s="71">
        <v>0.15</v>
      </c>
      <c r="AL1555" s="88">
        <v>3.3541019662496903E-2</v>
      </c>
      <c r="AM1555" s="89">
        <f t="shared" si="24"/>
        <v>0.22360679774997935</v>
      </c>
    </row>
    <row r="1556" spans="1:39" x14ac:dyDescent="0.25">
      <c r="A1556" t="s">
        <v>44</v>
      </c>
      <c r="B1556" t="s">
        <v>52</v>
      </c>
      <c r="C1556" s="121" t="s">
        <v>174</v>
      </c>
      <c r="D1556" t="s">
        <v>207</v>
      </c>
      <c r="E1556" t="s">
        <v>59</v>
      </c>
      <c r="F1556">
        <v>2</v>
      </c>
      <c r="G1556">
        <v>30</v>
      </c>
      <c r="H1556" s="86">
        <v>45969.6663372685</v>
      </c>
      <c r="I1556" s="86">
        <v>45969.771837951397</v>
      </c>
      <c r="J1556" s="87">
        <v>2.53201638888889</v>
      </c>
      <c r="K1556" s="69" t="s">
        <v>274</v>
      </c>
      <c r="P1556" s="71" t="s">
        <v>275</v>
      </c>
      <c r="Q1556" s="88">
        <v>4.7950331503647499E-3</v>
      </c>
      <c r="R1556" s="89" t="s">
        <v>276</v>
      </c>
      <c r="T1556">
        <v>8.1999999999999993</v>
      </c>
      <c r="U1556" s="76">
        <v>0.2</v>
      </c>
      <c r="V1556">
        <v>10.199999999999999</v>
      </c>
      <c r="W1556" s="90">
        <v>0.1</v>
      </c>
      <c r="AG1556" s="91">
        <v>0</v>
      </c>
      <c r="AK1556" s="71">
        <v>0.15</v>
      </c>
      <c r="AL1556" s="88">
        <v>3.3541019662496903E-2</v>
      </c>
      <c r="AM1556" s="89">
        <f t="shared" si="24"/>
        <v>0.22360679774997935</v>
      </c>
    </row>
    <row r="1557" spans="1:39" x14ac:dyDescent="0.25">
      <c r="A1557" t="s">
        <v>44</v>
      </c>
      <c r="B1557" t="s">
        <v>52</v>
      </c>
      <c r="C1557" s="121" t="s">
        <v>174</v>
      </c>
      <c r="D1557" t="s">
        <v>207</v>
      </c>
      <c r="E1557" t="s">
        <v>59</v>
      </c>
      <c r="F1557">
        <v>2</v>
      </c>
      <c r="G1557">
        <v>31</v>
      </c>
      <c r="H1557" s="86">
        <v>45969.771837951397</v>
      </c>
      <c r="I1557" s="86">
        <v>45969.877344664397</v>
      </c>
      <c r="J1557" s="87">
        <v>2.53216111111111</v>
      </c>
      <c r="K1557" s="69" t="s">
        <v>274</v>
      </c>
      <c r="P1557" s="71" t="s">
        <v>275</v>
      </c>
      <c r="Q1557" s="88">
        <v>4.4268839933032699E-3</v>
      </c>
      <c r="R1557" s="89" t="s">
        <v>276</v>
      </c>
      <c r="T1557">
        <v>7.9</v>
      </c>
      <c r="U1557" s="76">
        <v>0.2</v>
      </c>
      <c r="V1557">
        <v>10.199999999999999</v>
      </c>
      <c r="W1557" s="90">
        <v>0.1</v>
      </c>
      <c r="AG1557" s="91">
        <v>0</v>
      </c>
      <c r="AK1557" s="71">
        <v>0.15</v>
      </c>
      <c r="AL1557" s="88">
        <v>3.3541019662496903E-2</v>
      </c>
      <c r="AM1557" s="89">
        <f t="shared" si="24"/>
        <v>0.22360679774997935</v>
      </c>
    </row>
    <row r="1558" spans="1:39" x14ac:dyDescent="0.25">
      <c r="A1558" t="s">
        <v>44</v>
      </c>
      <c r="B1558" t="s">
        <v>52</v>
      </c>
      <c r="C1558" s="121" t="s">
        <v>174</v>
      </c>
      <c r="D1558" t="s">
        <v>207</v>
      </c>
      <c r="E1558" t="s">
        <v>59</v>
      </c>
      <c r="F1558">
        <v>2</v>
      </c>
      <c r="G1558">
        <v>32</v>
      </c>
      <c r="H1558" s="86">
        <v>45969.877344664397</v>
      </c>
      <c r="I1558" s="86">
        <v>45969.982834085698</v>
      </c>
      <c r="J1558" s="87">
        <v>2.5317461111111101</v>
      </c>
      <c r="K1558" s="69" t="s">
        <v>274</v>
      </c>
      <c r="P1558" s="71" t="s">
        <v>275</v>
      </c>
      <c r="Q1558" s="88">
        <v>5.3487342910367597E-3</v>
      </c>
      <c r="R1558" s="89" t="s">
        <v>276</v>
      </c>
      <c r="T1558">
        <v>7.8</v>
      </c>
      <c r="U1558" s="76">
        <v>0.2</v>
      </c>
      <c r="V1558">
        <v>10.199999999999999</v>
      </c>
      <c r="W1558" s="90">
        <v>0.1</v>
      </c>
      <c r="AG1558" s="91">
        <v>0</v>
      </c>
      <c r="AK1558" s="71">
        <v>0.15</v>
      </c>
      <c r="AL1558" s="88">
        <v>3.3541019662496903E-2</v>
      </c>
      <c r="AM1558" s="89">
        <f t="shared" si="24"/>
        <v>0.22360679774997935</v>
      </c>
    </row>
    <row r="1559" spans="1:39" x14ac:dyDescent="0.25">
      <c r="A1559" t="s">
        <v>44</v>
      </c>
      <c r="B1559" t="s">
        <v>52</v>
      </c>
      <c r="C1559" s="121" t="s">
        <v>174</v>
      </c>
      <c r="D1559" t="s">
        <v>207</v>
      </c>
      <c r="E1559" t="s">
        <v>59</v>
      </c>
      <c r="F1559">
        <v>2</v>
      </c>
      <c r="G1559">
        <v>33</v>
      </c>
      <c r="H1559" s="86">
        <v>45969.982834085698</v>
      </c>
      <c r="I1559" s="86">
        <v>45970.088335775501</v>
      </c>
      <c r="J1559" s="87">
        <v>2.5320405555555601</v>
      </c>
      <c r="K1559" s="69" t="s">
        <v>274</v>
      </c>
      <c r="P1559" s="71" t="s">
        <v>275</v>
      </c>
      <c r="Q1559" s="88">
        <v>4.7187799990673898E-3</v>
      </c>
      <c r="R1559" s="89" t="s">
        <v>276</v>
      </c>
      <c r="T1559">
        <v>7.5</v>
      </c>
      <c r="U1559" s="76">
        <v>0.2</v>
      </c>
      <c r="V1559">
        <v>10.1</v>
      </c>
      <c r="W1559" s="90">
        <v>0.1</v>
      </c>
      <c r="AG1559" s="91">
        <v>0</v>
      </c>
      <c r="AK1559" s="71">
        <v>0.15</v>
      </c>
      <c r="AL1559" s="88">
        <v>3.3541019662496903E-2</v>
      </c>
      <c r="AM1559" s="89">
        <f t="shared" si="24"/>
        <v>0.22360679774997935</v>
      </c>
    </row>
    <row r="1560" spans="1:39" x14ac:dyDescent="0.25">
      <c r="A1560" t="s">
        <v>44</v>
      </c>
      <c r="B1560" t="s">
        <v>52</v>
      </c>
      <c r="C1560" s="121" t="s">
        <v>174</v>
      </c>
      <c r="D1560" t="s">
        <v>207</v>
      </c>
      <c r="E1560" t="s">
        <v>59</v>
      </c>
      <c r="F1560">
        <v>2</v>
      </c>
      <c r="G1560">
        <v>34</v>
      </c>
      <c r="H1560" s="86">
        <v>45970.088335775501</v>
      </c>
      <c r="I1560" s="86">
        <v>45970.193846574097</v>
      </c>
      <c r="J1560" s="87">
        <v>2.5322591666666701</v>
      </c>
      <c r="K1560" s="69" t="s">
        <v>274</v>
      </c>
      <c r="P1560" s="71" t="s">
        <v>275</v>
      </c>
      <c r="Q1560" s="88">
        <v>4.1518568628914898E-3</v>
      </c>
      <c r="R1560" s="89" t="s">
        <v>276</v>
      </c>
      <c r="T1560">
        <v>7.2</v>
      </c>
      <c r="U1560" s="76">
        <v>0.2</v>
      </c>
      <c r="V1560">
        <v>10.1</v>
      </c>
      <c r="W1560" s="90">
        <v>0.1</v>
      </c>
      <c r="AG1560" s="91">
        <v>0.1</v>
      </c>
      <c r="AK1560" s="71">
        <v>0.15</v>
      </c>
      <c r="AL1560" s="88">
        <v>3.3541019662496903E-2</v>
      </c>
      <c r="AM1560" s="89">
        <f t="shared" si="24"/>
        <v>0.22360679774997935</v>
      </c>
    </row>
    <row r="1561" spans="1:39" x14ac:dyDescent="0.25">
      <c r="A1561" t="s">
        <v>44</v>
      </c>
      <c r="B1561" t="s">
        <v>52</v>
      </c>
      <c r="C1561" s="121" t="s">
        <v>174</v>
      </c>
      <c r="D1561" t="s">
        <v>207</v>
      </c>
      <c r="E1561" t="s">
        <v>59</v>
      </c>
      <c r="F1561">
        <v>2</v>
      </c>
      <c r="G1561">
        <v>35</v>
      </c>
      <c r="H1561" s="86">
        <v>45970.193846574097</v>
      </c>
      <c r="I1561" s="86">
        <v>45970.299347430599</v>
      </c>
      <c r="J1561" s="87">
        <v>2.5320205555555599</v>
      </c>
      <c r="K1561" s="69" t="s">
        <v>274</v>
      </c>
      <c r="P1561" s="71" t="s">
        <v>275</v>
      </c>
      <c r="Q1561" s="88">
        <v>4.3631712233507796E-3</v>
      </c>
      <c r="R1561" s="89" t="s">
        <v>276</v>
      </c>
      <c r="T1561">
        <v>6.9</v>
      </c>
      <c r="U1561" s="76">
        <v>0.2</v>
      </c>
      <c r="V1561">
        <v>10.1</v>
      </c>
      <c r="W1561" s="90">
        <v>0.1</v>
      </c>
      <c r="AG1561" s="91">
        <v>0</v>
      </c>
      <c r="AK1561" s="71">
        <v>0.15</v>
      </c>
      <c r="AL1561" s="88">
        <v>3.3541019662496903E-2</v>
      </c>
      <c r="AM1561" s="89">
        <f t="shared" si="24"/>
        <v>0.22360679774997935</v>
      </c>
    </row>
    <row r="1562" spans="1:39" x14ac:dyDescent="0.25">
      <c r="A1562" t="s">
        <v>44</v>
      </c>
      <c r="B1562" t="s">
        <v>52</v>
      </c>
      <c r="C1562" s="121" t="s">
        <v>174</v>
      </c>
      <c r="D1562" t="s">
        <v>207</v>
      </c>
      <c r="E1562" t="s">
        <v>59</v>
      </c>
      <c r="F1562">
        <v>2</v>
      </c>
      <c r="G1562">
        <v>36</v>
      </c>
      <c r="H1562" s="86">
        <v>45970.299347430599</v>
      </c>
      <c r="I1562" s="86">
        <v>45970.404853449101</v>
      </c>
      <c r="J1562" s="87">
        <v>2.5321444444444401</v>
      </c>
      <c r="K1562" s="69" t="s">
        <v>274</v>
      </c>
      <c r="P1562" s="71" t="s">
        <v>275</v>
      </c>
      <c r="Q1562" s="88">
        <v>3.9411993493768298E-3</v>
      </c>
      <c r="R1562" s="89" t="s">
        <v>276</v>
      </c>
      <c r="T1562">
        <v>6.8</v>
      </c>
      <c r="U1562" s="76">
        <v>0.2</v>
      </c>
      <c r="V1562">
        <v>10</v>
      </c>
      <c r="W1562" s="90">
        <v>0.1</v>
      </c>
      <c r="AG1562" s="91">
        <v>0</v>
      </c>
      <c r="AK1562" s="71">
        <v>0.15</v>
      </c>
      <c r="AL1562" s="88">
        <v>3.3541019662496903E-2</v>
      </c>
      <c r="AM1562" s="89">
        <f t="shared" si="24"/>
        <v>0.22360679774997935</v>
      </c>
    </row>
    <row r="1563" spans="1:39" x14ac:dyDescent="0.25">
      <c r="A1563" t="s">
        <v>44</v>
      </c>
      <c r="B1563" t="s">
        <v>52</v>
      </c>
      <c r="C1563" s="121" t="s">
        <v>174</v>
      </c>
      <c r="D1563" t="s">
        <v>207</v>
      </c>
      <c r="E1563" t="s">
        <v>59</v>
      </c>
      <c r="F1563">
        <v>2</v>
      </c>
      <c r="G1563">
        <v>37</v>
      </c>
      <c r="H1563" s="86">
        <v>45970.404853449101</v>
      </c>
      <c r="I1563" s="86">
        <v>45970.510339756998</v>
      </c>
      <c r="J1563" s="87">
        <v>2.5316713888888902</v>
      </c>
      <c r="K1563" s="69" t="s">
        <v>274</v>
      </c>
      <c r="P1563" s="71" t="s">
        <v>275</v>
      </c>
      <c r="Q1563" s="88">
        <v>5.1613614368633699E-3</v>
      </c>
      <c r="R1563" s="89" t="s">
        <v>276</v>
      </c>
      <c r="T1563">
        <v>7.2</v>
      </c>
      <c r="U1563" s="76">
        <v>0.2</v>
      </c>
      <c r="V1563">
        <v>10</v>
      </c>
      <c r="W1563" s="90">
        <v>0.1</v>
      </c>
      <c r="AG1563" s="91">
        <v>0</v>
      </c>
      <c r="AK1563" s="71">
        <v>0.15</v>
      </c>
      <c r="AL1563" s="88">
        <v>3.3541019662496903E-2</v>
      </c>
      <c r="AM1563" s="89">
        <f t="shared" si="24"/>
        <v>0.22360679774997935</v>
      </c>
    </row>
    <row r="1564" spans="1:39" x14ac:dyDescent="0.25">
      <c r="A1564" t="s">
        <v>44</v>
      </c>
      <c r="B1564" t="s">
        <v>52</v>
      </c>
      <c r="C1564" s="121" t="s">
        <v>174</v>
      </c>
      <c r="D1564" t="s">
        <v>207</v>
      </c>
      <c r="E1564" t="s">
        <v>59</v>
      </c>
      <c r="F1564">
        <v>2</v>
      </c>
      <c r="G1564">
        <v>38</v>
      </c>
      <c r="H1564" s="86">
        <v>45970.510339756998</v>
      </c>
      <c r="I1564" s="86">
        <v>45970.615842303203</v>
      </c>
      <c r="J1564" s="87">
        <v>2.5320611111111102</v>
      </c>
      <c r="K1564" s="69" t="s">
        <v>274</v>
      </c>
      <c r="P1564" s="71" t="s">
        <v>275</v>
      </c>
      <c r="Q1564" s="88">
        <v>1.0084606763435099E-2</v>
      </c>
      <c r="R1564" s="89" t="s">
        <v>276</v>
      </c>
      <c r="T1564">
        <v>7.7</v>
      </c>
      <c r="U1564" s="76">
        <v>0.2</v>
      </c>
      <c r="V1564">
        <v>10</v>
      </c>
      <c r="W1564" s="90">
        <v>0.1</v>
      </c>
      <c r="AG1564" s="91">
        <v>0</v>
      </c>
      <c r="AK1564" s="71">
        <v>0.15</v>
      </c>
      <c r="AL1564" s="88">
        <v>3.3541019662496903E-2</v>
      </c>
      <c r="AM1564" s="89">
        <f t="shared" si="24"/>
        <v>0.22360679774997935</v>
      </c>
    </row>
    <row r="1565" spans="1:39" x14ac:dyDescent="0.25">
      <c r="A1565" t="s">
        <v>44</v>
      </c>
      <c r="B1565" t="s">
        <v>52</v>
      </c>
      <c r="C1565" s="121" t="s">
        <v>174</v>
      </c>
      <c r="D1565" t="s">
        <v>207</v>
      </c>
      <c r="E1565" t="s">
        <v>59</v>
      </c>
      <c r="F1565">
        <v>2</v>
      </c>
      <c r="G1565">
        <v>39</v>
      </c>
      <c r="H1565" s="86">
        <v>45970.615842303203</v>
      </c>
      <c r="I1565" s="86">
        <v>45970.721359224503</v>
      </c>
      <c r="J1565" s="87">
        <v>2.53240611111111</v>
      </c>
      <c r="K1565" s="69" t="s">
        <v>274</v>
      </c>
      <c r="P1565" s="71" t="s">
        <v>275</v>
      </c>
      <c r="Q1565" s="88">
        <v>7.0388905280345301E-3</v>
      </c>
      <c r="R1565" s="89" t="s">
        <v>276</v>
      </c>
      <c r="T1565">
        <v>7.3</v>
      </c>
      <c r="U1565" s="76">
        <v>0.2</v>
      </c>
      <c r="V1565">
        <v>10.1</v>
      </c>
      <c r="W1565" s="90">
        <v>0.1</v>
      </c>
      <c r="AG1565" s="91">
        <v>0</v>
      </c>
      <c r="AK1565" s="71">
        <v>0.15</v>
      </c>
      <c r="AL1565" s="88">
        <v>3.3541019662496903E-2</v>
      </c>
      <c r="AM1565" s="89">
        <f t="shared" si="24"/>
        <v>0.22360679774997935</v>
      </c>
    </row>
    <row r="1566" spans="1:39" x14ac:dyDescent="0.25">
      <c r="A1566" t="s">
        <v>44</v>
      </c>
      <c r="B1566" t="s">
        <v>52</v>
      </c>
      <c r="C1566" s="121" t="s">
        <v>174</v>
      </c>
      <c r="D1566" t="s">
        <v>207</v>
      </c>
      <c r="E1566" t="s">
        <v>59</v>
      </c>
      <c r="F1566">
        <v>2</v>
      </c>
      <c r="G1566">
        <v>40</v>
      </c>
      <c r="H1566" s="86">
        <v>45970.721359224503</v>
      </c>
      <c r="I1566" s="86">
        <v>45970.826858541703</v>
      </c>
      <c r="J1566" s="87">
        <v>2.53198361111111</v>
      </c>
      <c r="K1566" s="69" t="s">
        <v>274</v>
      </c>
      <c r="P1566" s="71" t="s">
        <v>275</v>
      </c>
      <c r="Q1566" s="88">
        <v>3.8462617011155499E-3</v>
      </c>
      <c r="R1566" s="89" t="s">
        <v>276</v>
      </c>
      <c r="T1566">
        <v>6.7</v>
      </c>
      <c r="U1566" s="76">
        <v>0.2</v>
      </c>
      <c r="V1566">
        <v>10.1</v>
      </c>
      <c r="W1566" s="90">
        <v>0.1</v>
      </c>
      <c r="AG1566" s="91">
        <v>0</v>
      </c>
      <c r="AK1566" s="71">
        <v>0.15</v>
      </c>
      <c r="AL1566" s="88">
        <v>3.3541019662496903E-2</v>
      </c>
      <c r="AM1566" s="89">
        <f t="shared" si="24"/>
        <v>0.22360679774997935</v>
      </c>
    </row>
    <row r="1567" spans="1:39" x14ac:dyDescent="0.25">
      <c r="A1567" t="s">
        <v>44</v>
      </c>
      <c r="B1567" t="s">
        <v>52</v>
      </c>
      <c r="C1567" s="121" t="s">
        <v>174</v>
      </c>
      <c r="D1567" t="s">
        <v>207</v>
      </c>
      <c r="E1567" t="s">
        <v>59</v>
      </c>
      <c r="F1567">
        <v>2</v>
      </c>
      <c r="G1567">
        <v>41</v>
      </c>
      <c r="H1567" s="86">
        <v>45970.826858541703</v>
      </c>
      <c r="I1567" s="86">
        <v>45970.932357870399</v>
      </c>
      <c r="J1567" s="87">
        <v>2.5319838888888899</v>
      </c>
      <c r="K1567" s="69" t="s">
        <v>274</v>
      </c>
      <c r="P1567" s="71" t="s">
        <v>275</v>
      </c>
      <c r="Q1567" s="88">
        <v>2.82493593488273E-3</v>
      </c>
      <c r="R1567" s="89" t="s">
        <v>276</v>
      </c>
      <c r="T1567">
        <v>6.2</v>
      </c>
      <c r="U1567" s="76">
        <v>0.2</v>
      </c>
      <c r="V1567">
        <v>10</v>
      </c>
      <c r="W1567" s="90">
        <v>0.1</v>
      </c>
      <c r="AG1567" s="91">
        <v>0</v>
      </c>
      <c r="AK1567" s="71">
        <v>0.15</v>
      </c>
      <c r="AL1567" s="88">
        <v>3.3541019662496903E-2</v>
      </c>
      <c r="AM1567" s="89">
        <f t="shared" si="24"/>
        <v>0.22360679774997935</v>
      </c>
    </row>
    <row r="1568" spans="1:39" x14ac:dyDescent="0.25">
      <c r="A1568" t="s">
        <v>44</v>
      </c>
      <c r="B1568" t="s">
        <v>52</v>
      </c>
      <c r="C1568" s="121" t="s">
        <v>174</v>
      </c>
      <c r="D1568" t="s">
        <v>207</v>
      </c>
      <c r="E1568" t="s">
        <v>59</v>
      </c>
      <c r="F1568">
        <v>2</v>
      </c>
      <c r="G1568">
        <v>42</v>
      </c>
      <c r="H1568" s="86">
        <v>45970.932357870399</v>
      </c>
      <c r="I1568" s="86">
        <v>45971.037856608797</v>
      </c>
      <c r="J1568" s="87">
        <v>2.5319697222222199</v>
      </c>
      <c r="K1568" s="69" t="s">
        <v>274</v>
      </c>
      <c r="P1568" s="71" t="s">
        <v>275</v>
      </c>
      <c r="Q1568" s="88">
        <v>3.3883176510847799E-3</v>
      </c>
      <c r="R1568" s="89" t="s">
        <v>276</v>
      </c>
      <c r="T1568">
        <v>6</v>
      </c>
      <c r="U1568" s="76">
        <v>0.2</v>
      </c>
      <c r="V1568">
        <v>9.9</v>
      </c>
      <c r="W1568" s="90">
        <v>0.1</v>
      </c>
      <c r="AG1568" s="91">
        <v>0</v>
      </c>
      <c r="AK1568" s="71">
        <v>0.15</v>
      </c>
      <c r="AL1568" s="88">
        <v>3.3541019662496903E-2</v>
      </c>
      <c r="AM1568" s="89">
        <f t="shared" si="24"/>
        <v>0.22360679774997935</v>
      </c>
    </row>
    <row r="1569" spans="1:39" x14ac:dyDescent="0.25">
      <c r="A1569" t="s">
        <v>44</v>
      </c>
      <c r="B1569" t="s">
        <v>52</v>
      </c>
      <c r="C1569" s="121" t="s">
        <v>174</v>
      </c>
      <c r="D1569" t="s">
        <v>207</v>
      </c>
      <c r="E1569" t="s">
        <v>59</v>
      </c>
      <c r="F1569">
        <v>2</v>
      </c>
      <c r="G1569">
        <v>43</v>
      </c>
      <c r="H1569" s="86">
        <v>45971.037856608797</v>
      </c>
      <c r="I1569" s="86">
        <v>45971.143365393502</v>
      </c>
      <c r="J1569" s="87">
        <v>2.53221083333333</v>
      </c>
      <c r="K1569" s="69" t="s">
        <v>274</v>
      </c>
      <c r="P1569" s="71" t="s">
        <v>275</v>
      </c>
      <c r="Q1569" s="88">
        <v>2.8250250655836601E-3</v>
      </c>
      <c r="R1569" s="89" t="s">
        <v>276</v>
      </c>
      <c r="T1569">
        <v>6.1</v>
      </c>
      <c r="U1569" s="76">
        <v>0.2</v>
      </c>
      <c r="V1569">
        <v>9.8000000000000007</v>
      </c>
      <c r="W1569" s="90">
        <v>0.1</v>
      </c>
      <c r="AG1569" s="91">
        <v>0</v>
      </c>
      <c r="AK1569" s="71">
        <v>0.15</v>
      </c>
      <c r="AL1569" s="88">
        <v>3.3541019662496903E-2</v>
      </c>
      <c r="AM1569" s="89">
        <f t="shared" si="24"/>
        <v>0.22360679774997935</v>
      </c>
    </row>
    <row r="1570" spans="1:39" x14ac:dyDescent="0.25">
      <c r="A1570" t="s">
        <v>44</v>
      </c>
      <c r="B1570" t="s">
        <v>52</v>
      </c>
      <c r="C1570" s="121" t="s">
        <v>174</v>
      </c>
      <c r="D1570" t="s">
        <v>207</v>
      </c>
      <c r="E1570" t="s">
        <v>59</v>
      </c>
      <c r="F1570">
        <v>2</v>
      </c>
      <c r="G1570">
        <v>44</v>
      </c>
      <c r="H1570" s="86">
        <v>45971.143365393502</v>
      </c>
      <c r="I1570" s="86">
        <v>45971.248858298597</v>
      </c>
      <c r="J1570" s="87">
        <v>2.5318297222222199</v>
      </c>
      <c r="K1570" s="69" t="s">
        <v>274</v>
      </c>
      <c r="P1570" s="71" t="s">
        <v>275</v>
      </c>
      <c r="Q1570" s="88">
        <v>4.1702638524277798E-3</v>
      </c>
      <c r="R1570" s="89" t="s">
        <v>276</v>
      </c>
      <c r="T1570">
        <v>6.3</v>
      </c>
      <c r="U1570" s="76">
        <v>0.2</v>
      </c>
      <c r="V1570">
        <v>9.6999999999999993</v>
      </c>
      <c r="W1570" s="90">
        <v>0.1</v>
      </c>
      <c r="AG1570" s="91">
        <v>0</v>
      </c>
      <c r="AK1570" s="71">
        <v>0.15</v>
      </c>
      <c r="AL1570" s="88">
        <v>3.3541019662496903E-2</v>
      </c>
      <c r="AM1570" s="89">
        <f t="shared" si="24"/>
        <v>0.22360679774997935</v>
      </c>
    </row>
    <row r="1571" spans="1:39" x14ac:dyDescent="0.25">
      <c r="A1571" t="s">
        <v>44</v>
      </c>
      <c r="B1571" t="s">
        <v>52</v>
      </c>
      <c r="C1571" s="121" t="s">
        <v>174</v>
      </c>
      <c r="D1571" t="s">
        <v>207</v>
      </c>
      <c r="E1571" t="s">
        <v>59</v>
      </c>
      <c r="F1571">
        <v>2</v>
      </c>
      <c r="G1571">
        <v>45</v>
      </c>
      <c r="H1571" s="86">
        <v>45971.248858298597</v>
      </c>
      <c r="I1571" s="86">
        <v>45971.354366805601</v>
      </c>
      <c r="J1571" s="87">
        <v>2.5322041666666699</v>
      </c>
      <c r="K1571" s="69" t="s">
        <v>274</v>
      </c>
      <c r="P1571" s="71" t="s">
        <v>275</v>
      </c>
      <c r="Q1571" s="88">
        <v>1.84997990840902E-3</v>
      </c>
      <c r="R1571" s="89" t="s">
        <v>276</v>
      </c>
      <c r="T1571">
        <v>5.5</v>
      </c>
      <c r="U1571" s="76">
        <v>0.2</v>
      </c>
      <c r="V1571">
        <v>9.6</v>
      </c>
      <c r="W1571" s="90">
        <v>0.1</v>
      </c>
      <c r="AG1571" s="91">
        <v>0</v>
      </c>
      <c r="AK1571" s="71">
        <v>0.15</v>
      </c>
      <c r="AL1571" s="88">
        <v>3.3541019662496903E-2</v>
      </c>
      <c r="AM1571" s="89">
        <f t="shared" si="24"/>
        <v>0.22360679774997935</v>
      </c>
    </row>
    <row r="1572" spans="1:39" x14ac:dyDescent="0.25">
      <c r="A1572" t="s">
        <v>44</v>
      </c>
      <c r="B1572" t="s">
        <v>52</v>
      </c>
      <c r="C1572" s="121" t="s">
        <v>174</v>
      </c>
      <c r="D1572" t="s">
        <v>207</v>
      </c>
      <c r="E1572" t="s">
        <v>59</v>
      </c>
      <c r="F1572">
        <v>2</v>
      </c>
      <c r="G1572">
        <v>46</v>
      </c>
      <c r="H1572" s="86">
        <v>45971.354366805601</v>
      </c>
      <c r="I1572" s="86">
        <v>45971.459857951399</v>
      </c>
      <c r="J1572" s="87">
        <v>2.5317875000000001</v>
      </c>
      <c r="K1572" s="69" t="s">
        <v>274</v>
      </c>
      <c r="P1572" s="71" t="s">
        <v>275</v>
      </c>
      <c r="Q1572" s="88">
        <v>2.85141935326608E-3</v>
      </c>
      <c r="R1572" s="89" t="s">
        <v>276</v>
      </c>
      <c r="T1572">
        <v>5.7</v>
      </c>
      <c r="U1572" s="76">
        <v>0.2</v>
      </c>
      <c r="V1572">
        <v>9.5</v>
      </c>
      <c r="W1572" s="90">
        <v>0.1</v>
      </c>
      <c r="AG1572" s="91">
        <v>0</v>
      </c>
      <c r="AK1572" s="71">
        <v>0.15</v>
      </c>
      <c r="AL1572" s="88">
        <v>3.3541019662496903E-2</v>
      </c>
      <c r="AM1572" s="89">
        <f t="shared" si="24"/>
        <v>0.22360679774997935</v>
      </c>
    </row>
    <row r="1573" spans="1:39" x14ac:dyDescent="0.25">
      <c r="A1573" t="s">
        <v>44</v>
      </c>
      <c r="B1573" t="s">
        <v>52</v>
      </c>
      <c r="C1573" s="121" t="s">
        <v>174</v>
      </c>
      <c r="D1573" t="s">
        <v>207</v>
      </c>
      <c r="E1573" t="s">
        <v>59</v>
      </c>
      <c r="F1573">
        <v>2</v>
      </c>
      <c r="G1573">
        <v>47</v>
      </c>
      <c r="H1573" s="86">
        <v>45971.459857951399</v>
      </c>
      <c r="I1573" s="86">
        <v>45971.565369189797</v>
      </c>
      <c r="J1573" s="87">
        <v>2.5322697222222201</v>
      </c>
      <c r="K1573" s="69" t="s">
        <v>274</v>
      </c>
      <c r="P1573" s="71" t="s">
        <v>275</v>
      </c>
      <c r="Q1573" s="88">
        <v>9.1422573648881292E-3</v>
      </c>
      <c r="R1573" s="89" t="s">
        <v>276</v>
      </c>
      <c r="T1573">
        <v>8.1</v>
      </c>
      <c r="U1573" s="76">
        <v>0.2</v>
      </c>
      <c r="V1573">
        <v>9.5</v>
      </c>
      <c r="W1573" s="90">
        <v>0.1</v>
      </c>
      <c r="AG1573" s="91">
        <v>0</v>
      </c>
      <c r="AK1573" s="71">
        <v>0.15</v>
      </c>
      <c r="AL1573" s="88">
        <v>3.3541019662496903E-2</v>
      </c>
      <c r="AM1573" s="89">
        <f t="shared" si="24"/>
        <v>0.22360679774997935</v>
      </c>
    </row>
    <row r="1574" spans="1:39" x14ac:dyDescent="0.25">
      <c r="A1574" t="s">
        <v>44</v>
      </c>
      <c r="B1574" t="s">
        <v>52</v>
      </c>
      <c r="C1574" s="121" t="s">
        <v>174</v>
      </c>
      <c r="D1574" t="s">
        <v>207</v>
      </c>
      <c r="E1574" t="s">
        <v>59</v>
      </c>
      <c r="F1574">
        <v>2</v>
      </c>
      <c r="G1574">
        <v>48</v>
      </c>
      <c r="H1574" s="86">
        <v>45971.565369189797</v>
      </c>
      <c r="I1574" s="86">
        <v>45971.670880914397</v>
      </c>
      <c r="J1574" s="87">
        <v>2.5322813888888902</v>
      </c>
      <c r="K1574" s="69" t="s">
        <v>274</v>
      </c>
      <c r="P1574" s="71" t="s">
        <v>275</v>
      </c>
      <c r="Q1574" s="88">
        <v>1.6278319966522799E-2</v>
      </c>
      <c r="R1574" s="89" t="s">
        <v>276</v>
      </c>
      <c r="T1574">
        <v>9</v>
      </c>
      <c r="U1574" s="76">
        <v>0.2</v>
      </c>
      <c r="V1574">
        <v>9.6999999999999993</v>
      </c>
      <c r="W1574" s="90">
        <v>0.1</v>
      </c>
      <c r="AG1574" s="91">
        <v>0</v>
      </c>
      <c r="AK1574" s="71">
        <v>0.15</v>
      </c>
      <c r="AL1574" s="88">
        <v>3.3541019662496903E-2</v>
      </c>
      <c r="AM1574" s="89">
        <f t="shared" si="24"/>
        <v>0.22360679774997935</v>
      </c>
    </row>
    <row r="1575" spans="1:39" x14ac:dyDescent="0.25">
      <c r="A1575" t="s">
        <v>44</v>
      </c>
      <c r="B1575" t="s">
        <v>52</v>
      </c>
      <c r="C1575" s="121" t="s">
        <v>174</v>
      </c>
      <c r="D1575" t="s">
        <v>207</v>
      </c>
      <c r="E1575" t="s">
        <v>59</v>
      </c>
      <c r="F1575">
        <v>2</v>
      </c>
      <c r="G1575">
        <v>49</v>
      </c>
      <c r="H1575" s="86">
        <v>45971.670880914397</v>
      </c>
      <c r="I1575" s="86">
        <v>45971.776380659699</v>
      </c>
      <c r="J1575" s="87">
        <v>2.53199388888889</v>
      </c>
      <c r="K1575" s="69" t="s">
        <v>274</v>
      </c>
      <c r="P1575" s="71" t="s">
        <v>275</v>
      </c>
      <c r="Q1575" s="88">
        <v>6.9259048695751498E-3</v>
      </c>
      <c r="R1575" s="89" t="s">
        <v>276</v>
      </c>
      <c r="T1575">
        <v>8</v>
      </c>
      <c r="U1575" s="76">
        <v>0.2</v>
      </c>
      <c r="V1575">
        <v>9.8000000000000007</v>
      </c>
      <c r="W1575" s="90">
        <v>0.1</v>
      </c>
      <c r="AG1575" s="91">
        <v>0</v>
      </c>
      <c r="AK1575" s="71">
        <v>0.15</v>
      </c>
      <c r="AL1575" s="88">
        <v>3.3541019662496903E-2</v>
      </c>
      <c r="AM1575" s="89">
        <f t="shared" si="24"/>
        <v>0.22360679774997935</v>
      </c>
    </row>
    <row r="1576" spans="1:39" x14ac:dyDescent="0.25">
      <c r="A1576" t="s">
        <v>44</v>
      </c>
      <c r="B1576" t="s">
        <v>52</v>
      </c>
      <c r="C1576" s="121" t="s">
        <v>174</v>
      </c>
      <c r="D1576" t="s">
        <v>207</v>
      </c>
      <c r="E1576" t="s">
        <v>59</v>
      </c>
      <c r="F1576">
        <v>2</v>
      </c>
      <c r="G1576">
        <v>50</v>
      </c>
      <c r="H1576" s="86">
        <v>45971.776380659699</v>
      </c>
      <c r="I1576" s="86">
        <v>45971.881919050902</v>
      </c>
      <c r="J1576" s="87">
        <v>2.53292138888889</v>
      </c>
      <c r="K1576" s="69" t="s">
        <v>274</v>
      </c>
      <c r="P1576" s="71" t="s">
        <v>275</v>
      </c>
      <c r="Q1576" s="88">
        <v>5.9072548155910303E-3</v>
      </c>
      <c r="R1576" s="89" t="s">
        <v>276</v>
      </c>
      <c r="T1576">
        <v>7.8</v>
      </c>
      <c r="U1576" s="76">
        <v>0.2</v>
      </c>
      <c r="V1576">
        <v>9.8000000000000007</v>
      </c>
      <c r="W1576" s="90">
        <v>0.1</v>
      </c>
      <c r="AG1576" s="91">
        <v>0</v>
      </c>
      <c r="AK1576" s="71">
        <v>0.15</v>
      </c>
      <c r="AL1576" s="88">
        <v>3.3541019662496903E-2</v>
      </c>
      <c r="AM1576" s="89">
        <f t="shared" si="24"/>
        <v>0.22360679774997935</v>
      </c>
    </row>
    <row r="1577" spans="1:39" x14ac:dyDescent="0.25">
      <c r="A1577" t="s">
        <v>44</v>
      </c>
      <c r="B1577" t="s">
        <v>52</v>
      </c>
      <c r="C1577" s="121" t="s">
        <v>174</v>
      </c>
      <c r="D1577" t="s">
        <v>207</v>
      </c>
      <c r="E1577" t="s">
        <v>59</v>
      </c>
      <c r="F1577">
        <v>2</v>
      </c>
      <c r="G1577">
        <v>51</v>
      </c>
      <c r="H1577" s="86">
        <v>45971.881919050902</v>
      </c>
      <c r="I1577" s="86">
        <v>45971.987433506998</v>
      </c>
      <c r="J1577" s="87">
        <v>2.53234694444444</v>
      </c>
      <c r="K1577" s="69" t="s">
        <v>274</v>
      </c>
      <c r="P1577" s="71" t="s">
        <v>275</v>
      </c>
      <c r="Q1577" s="88">
        <v>4.6320303753375897E-3</v>
      </c>
      <c r="R1577" s="89" t="s">
        <v>276</v>
      </c>
      <c r="T1577">
        <v>7.9</v>
      </c>
      <c r="U1577" s="76">
        <v>0.2</v>
      </c>
      <c r="V1577">
        <v>9.8000000000000007</v>
      </c>
      <c r="W1577" s="90">
        <v>0.1</v>
      </c>
      <c r="AG1577" s="91">
        <v>0</v>
      </c>
      <c r="AK1577" s="71">
        <v>0.15</v>
      </c>
      <c r="AL1577" s="88">
        <v>3.3541019662496903E-2</v>
      </c>
      <c r="AM1577" s="89">
        <f t="shared" si="24"/>
        <v>0.22360679774997935</v>
      </c>
    </row>
    <row r="1578" spans="1:39" x14ac:dyDescent="0.25">
      <c r="A1578" t="s">
        <v>44</v>
      </c>
      <c r="B1578" t="s">
        <v>52</v>
      </c>
      <c r="C1578" s="121" t="s">
        <v>174</v>
      </c>
      <c r="D1578" t="s">
        <v>207</v>
      </c>
      <c r="E1578" t="s">
        <v>59</v>
      </c>
      <c r="F1578">
        <v>2</v>
      </c>
      <c r="G1578">
        <v>52</v>
      </c>
      <c r="H1578" s="86">
        <v>45971.987433506998</v>
      </c>
      <c r="I1578" s="86">
        <v>45972.0929652778</v>
      </c>
      <c r="J1578" s="87">
        <v>2.5327625</v>
      </c>
      <c r="K1578" s="69" t="s">
        <v>274</v>
      </c>
      <c r="P1578" s="71" t="s">
        <v>275</v>
      </c>
      <c r="Q1578" s="88">
        <v>4.52995567069638E-3</v>
      </c>
      <c r="R1578" s="89" t="s">
        <v>276</v>
      </c>
      <c r="T1578">
        <v>6.6</v>
      </c>
      <c r="U1578" s="76">
        <v>0.2</v>
      </c>
      <c r="V1578">
        <v>9.6999999999999993</v>
      </c>
      <c r="W1578" s="90">
        <v>0.1</v>
      </c>
      <c r="AG1578" s="91">
        <v>0</v>
      </c>
      <c r="AK1578" s="71">
        <v>0.15</v>
      </c>
      <c r="AL1578" s="88">
        <v>3.3541019662496903E-2</v>
      </c>
      <c r="AM1578" s="89">
        <f t="shared" si="24"/>
        <v>0.22360679774997935</v>
      </c>
    </row>
    <row r="1579" spans="1:39" x14ac:dyDescent="0.25">
      <c r="A1579" t="s">
        <v>44</v>
      </c>
      <c r="B1579" t="s">
        <v>52</v>
      </c>
      <c r="C1579" s="121" t="s">
        <v>174</v>
      </c>
      <c r="D1579" t="s">
        <v>207</v>
      </c>
      <c r="E1579" t="s">
        <v>59</v>
      </c>
      <c r="F1579">
        <v>2</v>
      </c>
      <c r="G1579">
        <v>53</v>
      </c>
      <c r="H1579" s="86">
        <v>45972.0929652778</v>
      </c>
      <c r="I1579" s="86">
        <v>45972.198479722203</v>
      </c>
      <c r="J1579" s="87">
        <v>2.5323466666666699</v>
      </c>
      <c r="K1579" s="69" t="s">
        <v>274</v>
      </c>
      <c r="P1579" s="71" t="s">
        <v>275</v>
      </c>
      <c r="Q1579" s="88">
        <v>2.9443603080874302E-3</v>
      </c>
      <c r="R1579" s="89" t="s">
        <v>276</v>
      </c>
      <c r="T1579">
        <v>6.1</v>
      </c>
      <c r="U1579" s="76">
        <v>0.2</v>
      </c>
      <c r="V1579">
        <v>9.6</v>
      </c>
      <c r="W1579" s="90">
        <v>0.1</v>
      </c>
      <c r="AG1579" s="91">
        <v>0</v>
      </c>
      <c r="AK1579" s="71">
        <v>0.15</v>
      </c>
      <c r="AL1579" s="88">
        <v>3.3541019662496903E-2</v>
      </c>
      <c r="AM1579" s="89">
        <f t="shared" si="24"/>
        <v>0.22360679774997935</v>
      </c>
    </row>
    <row r="1580" spans="1:39" x14ac:dyDescent="0.25">
      <c r="A1580" t="s">
        <v>44</v>
      </c>
      <c r="B1580" t="s">
        <v>52</v>
      </c>
      <c r="C1580" s="121" t="s">
        <v>174</v>
      </c>
      <c r="D1580" t="s">
        <v>207</v>
      </c>
      <c r="E1580" t="s">
        <v>59</v>
      </c>
      <c r="F1580">
        <v>2</v>
      </c>
      <c r="G1580">
        <v>54</v>
      </c>
      <c r="H1580" s="86">
        <v>45972.198479722203</v>
      </c>
      <c r="I1580" s="86">
        <v>45972.304004965299</v>
      </c>
      <c r="J1580" s="87">
        <v>2.5326058333333301</v>
      </c>
      <c r="K1580" s="69" t="s">
        <v>274</v>
      </c>
      <c r="P1580" s="71" t="s">
        <v>275</v>
      </c>
      <c r="Q1580" s="88">
        <v>2.14149807017528E-3</v>
      </c>
      <c r="R1580" s="89" t="s">
        <v>276</v>
      </c>
      <c r="T1580">
        <v>6.2</v>
      </c>
      <c r="U1580" s="76">
        <v>0.2</v>
      </c>
      <c r="V1580">
        <v>9.4</v>
      </c>
      <c r="W1580" s="90">
        <v>0.1</v>
      </c>
      <c r="AG1580" s="91">
        <v>0</v>
      </c>
      <c r="AK1580" s="71">
        <v>0.15</v>
      </c>
      <c r="AL1580" s="88">
        <v>3.3541019662496903E-2</v>
      </c>
      <c r="AM1580" s="89">
        <f t="shared" si="24"/>
        <v>0.22360679774997935</v>
      </c>
    </row>
    <row r="1581" spans="1:39" x14ac:dyDescent="0.25">
      <c r="A1581" t="s">
        <v>44</v>
      </c>
      <c r="B1581" t="s">
        <v>52</v>
      </c>
      <c r="C1581" s="121" t="s">
        <v>174</v>
      </c>
      <c r="D1581" t="s">
        <v>207</v>
      </c>
      <c r="E1581" t="s">
        <v>59</v>
      </c>
      <c r="F1581">
        <v>2</v>
      </c>
      <c r="G1581">
        <v>55</v>
      </c>
      <c r="H1581" s="86">
        <v>45972.304004965299</v>
      </c>
      <c r="I1581" s="86">
        <v>45972.409528460601</v>
      </c>
      <c r="J1581" s="87">
        <v>2.5325638888888902</v>
      </c>
      <c r="K1581" s="69" t="s">
        <v>274</v>
      </c>
      <c r="P1581" s="71" t="s">
        <v>275</v>
      </c>
      <c r="Q1581" s="88">
        <v>5.2819583036970196E-3</v>
      </c>
      <c r="R1581" s="89" t="s">
        <v>276</v>
      </c>
      <c r="T1581">
        <v>6.9</v>
      </c>
      <c r="U1581" s="76">
        <v>0.2</v>
      </c>
      <c r="V1581">
        <v>9.3000000000000007</v>
      </c>
      <c r="W1581" s="90">
        <v>0.1</v>
      </c>
      <c r="AG1581" s="91">
        <v>0</v>
      </c>
      <c r="AK1581" s="71">
        <v>0.15</v>
      </c>
      <c r="AL1581" s="88">
        <v>3.3541019662496903E-2</v>
      </c>
      <c r="AM1581" s="89">
        <f t="shared" si="24"/>
        <v>0.22360679774997935</v>
      </c>
    </row>
    <row r="1582" spans="1:39" x14ac:dyDescent="0.25">
      <c r="A1582" t="s">
        <v>44</v>
      </c>
      <c r="B1582" t="s">
        <v>52</v>
      </c>
      <c r="C1582" s="121" t="s">
        <v>174</v>
      </c>
      <c r="D1582" t="s">
        <v>207</v>
      </c>
      <c r="E1582" t="s">
        <v>59</v>
      </c>
      <c r="F1582">
        <v>2</v>
      </c>
      <c r="G1582">
        <v>56</v>
      </c>
      <c r="H1582" s="86">
        <v>45972.409528460601</v>
      </c>
      <c r="I1582" s="86">
        <v>45972.515057928198</v>
      </c>
      <c r="J1582" s="87">
        <v>2.53270722222222</v>
      </c>
      <c r="K1582" s="69" t="s">
        <v>274</v>
      </c>
      <c r="P1582" s="71" t="s">
        <v>275</v>
      </c>
      <c r="Q1582" s="88">
        <v>5.9704355247270696E-3</v>
      </c>
      <c r="R1582" s="89" t="s">
        <v>276</v>
      </c>
      <c r="T1582">
        <v>7.8</v>
      </c>
      <c r="U1582" s="76">
        <v>0.2</v>
      </c>
      <c r="V1582">
        <v>9.3000000000000007</v>
      </c>
      <c r="W1582" s="90">
        <v>0.1</v>
      </c>
      <c r="AG1582" s="91">
        <v>0</v>
      </c>
      <c r="AK1582" s="71">
        <v>0.15</v>
      </c>
      <c r="AL1582" s="88">
        <v>3.3541019662496903E-2</v>
      </c>
      <c r="AM1582" s="89">
        <f t="shared" si="24"/>
        <v>0.22360679774997935</v>
      </c>
    </row>
    <row r="1583" spans="1:39" x14ac:dyDescent="0.25">
      <c r="A1583" t="s">
        <v>44</v>
      </c>
      <c r="B1583" t="s">
        <v>52</v>
      </c>
      <c r="C1583" s="121" t="s">
        <v>174</v>
      </c>
      <c r="D1583" t="s">
        <v>207</v>
      </c>
      <c r="E1583" t="s">
        <v>59</v>
      </c>
      <c r="F1583">
        <v>2</v>
      </c>
      <c r="G1583">
        <v>57</v>
      </c>
      <c r="H1583" s="86">
        <v>45972.515057928198</v>
      </c>
      <c r="I1583" s="86">
        <v>45972.620593310203</v>
      </c>
      <c r="J1583" s="87">
        <v>2.5328491666666699</v>
      </c>
      <c r="K1583" s="69" t="s">
        <v>274</v>
      </c>
      <c r="P1583" s="71" t="s">
        <v>275</v>
      </c>
      <c r="Q1583" s="88">
        <v>8.2822202929171505E-3</v>
      </c>
      <c r="R1583" s="89" t="s">
        <v>276</v>
      </c>
      <c r="T1583">
        <v>8.5</v>
      </c>
      <c r="U1583" s="76">
        <v>0.2</v>
      </c>
      <c r="V1583">
        <v>9.3000000000000007</v>
      </c>
      <c r="W1583" s="90">
        <v>0.1</v>
      </c>
      <c r="AG1583" s="91">
        <v>0</v>
      </c>
      <c r="AK1583" s="71">
        <v>0.15</v>
      </c>
      <c r="AL1583" s="88">
        <v>3.3541019662496903E-2</v>
      </c>
      <c r="AM1583" s="89">
        <f t="shared" si="24"/>
        <v>0.22360679774997935</v>
      </c>
    </row>
    <row r="1584" spans="1:39" x14ac:dyDescent="0.25">
      <c r="A1584" t="s">
        <v>44</v>
      </c>
      <c r="B1584" t="s">
        <v>52</v>
      </c>
      <c r="C1584" s="121" t="s">
        <v>174</v>
      </c>
      <c r="D1584" t="s">
        <v>207</v>
      </c>
      <c r="E1584" t="s">
        <v>59</v>
      </c>
      <c r="F1584">
        <v>2</v>
      </c>
      <c r="G1584">
        <v>58</v>
      </c>
      <c r="H1584" s="86">
        <v>45972.620593310203</v>
      </c>
      <c r="I1584" s="86">
        <v>45972.726114999998</v>
      </c>
      <c r="J1584" s="87">
        <v>2.5325205555555601</v>
      </c>
      <c r="K1584" s="69" t="s">
        <v>274</v>
      </c>
      <c r="P1584" s="71" t="s">
        <v>275</v>
      </c>
      <c r="Q1584" s="88">
        <v>8.8204577715584303E-3</v>
      </c>
      <c r="R1584" s="89" t="s">
        <v>276</v>
      </c>
      <c r="T1584">
        <v>9.1999999999999993</v>
      </c>
      <c r="U1584" s="76">
        <v>0.2</v>
      </c>
      <c r="V1584">
        <v>9.4</v>
      </c>
      <c r="W1584" s="90">
        <v>0.1</v>
      </c>
      <c r="AG1584" s="91">
        <v>0</v>
      </c>
      <c r="AK1584" s="71">
        <v>0.15</v>
      </c>
      <c r="AL1584" s="88">
        <v>3.3541019662496903E-2</v>
      </c>
      <c r="AM1584" s="89">
        <f t="shared" si="24"/>
        <v>0.22360679774997935</v>
      </c>
    </row>
    <row r="1585" spans="1:39" x14ac:dyDescent="0.25">
      <c r="A1585" t="s">
        <v>44</v>
      </c>
      <c r="B1585" t="s">
        <v>52</v>
      </c>
      <c r="C1585" s="121" t="s">
        <v>174</v>
      </c>
      <c r="D1585" t="s">
        <v>207</v>
      </c>
      <c r="E1585" t="s">
        <v>59</v>
      </c>
      <c r="F1585">
        <v>2</v>
      </c>
      <c r="G1585">
        <v>59</v>
      </c>
      <c r="H1585" s="86">
        <v>45972.726114999998</v>
      </c>
      <c r="I1585" s="86">
        <v>45972.831644965299</v>
      </c>
      <c r="J1585" s="87">
        <v>2.53271916666667</v>
      </c>
      <c r="K1585" s="69" t="s">
        <v>274</v>
      </c>
      <c r="P1585" s="71" t="s">
        <v>275</v>
      </c>
      <c r="Q1585" s="88">
        <v>3.4747570098380299E-3</v>
      </c>
      <c r="R1585" s="89" t="s">
        <v>276</v>
      </c>
      <c r="T1585">
        <v>7.8</v>
      </c>
      <c r="U1585" s="76">
        <v>0.2</v>
      </c>
      <c r="V1585">
        <v>9.5</v>
      </c>
      <c r="W1585" s="90">
        <v>0.1</v>
      </c>
      <c r="AG1585" s="91">
        <v>0</v>
      </c>
      <c r="AK1585" s="71">
        <v>0.15</v>
      </c>
      <c r="AL1585" s="88">
        <v>3.3541019662496903E-2</v>
      </c>
      <c r="AM1585" s="89">
        <f t="shared" si="24"/>
        <v>0.22360679774997935</v>
      </c>
    </row>
    <row r="1586" spans="1:39" x14ac:dyDescent="0.25">
      <c r="A1586" t="s">
        <v>44</v>
      </c>
      <c r="B1586" t="s">
        <v>52</v>
      </c>
      <c r="C1586" s="121" t="s">
        <v>174</v>
      </c>
      <c r="D1586" t="s">
        <v>207</v>
      </c>
      <c r="E1586" t="s">
        <v>59</v>
      </c>
      <c r="F1586">
        <v>2</v>
      </c>
      <c r="G1586">
        <v>60</v>
      </c>
      <c r="H1586" s="86">
        <v>45972.831644965299</v>
      </c>
      <c r="I1586" s="86">
        <v>45972.937163055598</v>
      </c>
      <c r="J1586" s="87">
        <v>2.5324341666666701</v>
      </c>
      <c r="K1586" s="69" t="s">
        <v>274</v>
      </c>
      <c r="P1586" s="71" t="s">
        <v>275</v>
      </c>
      <c r="Q1586" s="88">
        <v>2.4570045387732001E-3</v>
      </c>
      <c r="R1586" s="89" t="s">
        <v>276</v>
      </c>
      <c r="T1586">
        <v>6.6</v>
      </c>
      <c r="U1586" s="76">
        <v>0.2</v>
      </c>
      <c r="V1586">
        <v>9.5</v>
      </c>
      <c r="W1586" s="90">
        <v>0.1</v>
      </c>
      <c r="AG1586" s="91">
        <v>0</v>
      </c>
      <c r="AK1586" s="71">
        <v>0.15</v>
      </c>
      <c r="AL1586" s="88">
        <v>3.3541019662496903E-2</v>
      </c>
      <c r="AM1586" s="89">
        <f t="shared" si="24"/>
        <v>0.22360679774997935</v>
      </c>
    </row>
    <row r="1587" spans="1:39" x14ac:dyDescent="0.25">
      <c r="A1587" t="s">
        <v>44</v>
      </c>
      <c r="B1587" t="s">
        <v>52</v>
      </c>
      <c r="C1587" s="121" t="s">
        <v>174</v>
      </c>
      <c r="D1587" t="s">
        <v>207</v>
      </c>
      <c r="E1587" t="s">
        <v>59</v>
      </c>
      <c r="F1587">
        <v>2</v>
      </c>
      <c r="G1587">
        <v>61</v>
      </c>
      <c r="H1587" s="86">
        <v>45972.937163055598</v>
      </c>
      <c r="I1587" s="86">
        <v>45973.0426789005</v>
      </c>
      <c r="J1587" s="87">
        <v>2.5323802777777802</v>
      </c>
      <c r="K1587" s="69" t="s">
        <v>274</v>
      </c>
      <c r="P1587" s="71" t="s">
        <v>275</v>
      </c>
      <c r="Q1587" s="88">
        <v>1.8081681997502101E-3</v>
      </c>
      <c r="R1587" s="89" t="s">
        <v>276</v>
      </c>
      <c r="T1587">
        <v>7.4</v>
      </c>
      <c r="U1587" s="76">
        <v>0.2</v>
      </c>
      <c r="V1587">
        <v>9.3000000000000007</v>
      </c>
      <c r="W1587" s="90">
        <v>0.1</v>
      </c>
      <c r="AG1587" s="91">
        <v>0</v>
      </c>
      <c r="AK1587" s="71">
        <v>0.15</v>
      </c>
      <c r="AL1587" s="88">
        <v>3.3541019662496903E-2</v>
      </c>
      <c r="AM1587" s="89">
        <f t="shared" si="24"/>
        <v>0.22360679774997935</v>
      </c>
    </row>
    <row r="1588" spans="1:39" x14ac:dyDescent="0.25">
      <c r="A1588" t="s">
        <v>44</v>
      </c>
      <c r="B1588" t="s">
        <v>52</v>
      </c>
      <c r="C1588" s="121" t="s">
        <v>174</v>
      </c>
      <c r="D1588" t="s">
        <v>207</v>
      </c>
      <c r="E1588" t="s">
        <v>59</v>
      </c>
      <c r="F1588">
        <v>2</v>
      </c>
      <c r="G1588">
        <v>62</v>
      </c>
      <c r="H1588" s="86">
        <v>45973.0426789005</v>
      </c>
      <c r="I1588" s="86">
        <v>45973.148204224497</v>
      </c>
      <c r="J1588" s="87">
        <v>2.53260777777778</v>
      </c>
      <c r="K1588" s="69" t="s">
        <v>274</v>
      </c>
      <c r="P1588" s="71" t="s">
        <v>275</v>
      </c>
      <c r="Q1588" s="88">
        <v>6.8804523750702297E-3</v>
      </c>
      <c r="R1588" s="89" t="s">
        <v>276</v>
      </c>
      <c r="T1588">
        <v>9.5</v>
      </c>
      <c r="U1588" s="76">
        <v>0.2</v>
      </c>
      <c r="V1588">
        <v>9.3000000000000007</v>
      </c>
      <c r="W1588" s="90">
        <v>0.1</v>
      </c>
      <c r="AG1588" s="91">
        <v>0</v>
      </c>
      <c r="AK1588" s="71">
        <v>0.15</v>
      </c>
      <c r="AL1588" s="88">
        <v>3.3541019662496903E-2</v>
      </c>
      <c r="AM1588" s="89">
        <f t="shared" si="24"/>
        <v>0.22360679774997935</v>
      </c>
    </row>
    <row r="1589" spans="1:39" x14ac:dyDescent="0.25">
      <c r="A1589" t="s">
        <v>44</v>
      </c>
      <c r="B1589" t="s">
        <v>52</v>
      </c>
      <c r="C1589" s="121" t="s">
        <v>174</v>
      </c>
      <c r="D1589" t="s">
        <v>207</v>
      </c>
      <c r="E1589" t="s">
        <v>59</v>
      </c>
      <c r="F1589">
        <v>2</v>
      </c>
      <c r="G1589">
        <v>63</v>
      </c>
      <c r="H1589" s="86">
        <v>45973.148204224497</v>
      </c>
      <c r="I1589" s="86">
        <v>45973.253743090303</v>
      </c>
      <c r="J1589" s="87">
        <v>2.5329327777777801</v>
      </c>
      <c r="K1589" s="69" t="s">
        <v>274</v>
      </c>
      <c r="P1589" s="71" t="s">
        <v>275</v>
      </c>
      <c r="Q1589" s="88">
        <v>1.11399284891435E-2</v>
      </c>
      <c r="R1589" s="89" t="s">
        <v>276</v>
      </c>
      <c r="T1589">
        <v>9.1999999999999993</v>
      </c>
      <c r="U1589" s="76">
        <v>0.2</v>
      </c>
      <c r="V1589">
        <v>9.4</v>
      </c>
      <c r="W1589" s="90">
        <v>0.1</v>
      </c>
      <c r="AG1589" s="91">
        <v>0</v>
      </c>
      <c r="AK1589" s="71">
        <v>0.15</v>
      </c>
      <c r="AL1589" s="88">
        <v>3.3541019662496903E-2</v>
      </c>
      <c r="AM1589" s="89">
        <f t="shared" si="24"/>
        <v>0.22360679774997935</v>
      </c>
    </row>
    <row r="1590" spans="1:39" x14ac:dyDescent="0.25">
      <c r="A1590" t="s">
        <v>44</v>
      </c>
      <c r="B1590" t="s">
        <v>52</v>
      </c>
      <c r="C1590" s="121" t="s">
        <v>174</v>
      </c>
      <c r="D1590" t="s">
        <v>207</v>
      </c>
      <c r="E1590" t="s">
        <v>59</v>
      </c>
      <c r="F1590">
        <v>2</v>
      </c>
      <c r="G1590">
        <v>64</v>
      </c>
      <c r="H1590" s="86">
        <v>45973.253743090303</v>
      </c>
      <c r="I1590" s="86">
        <v>45973.3592615741</v>
      </c>
      <c r="J1590" s="87">
        <v>2.5324436111111099</v>
      </c>
      <c r="K1590" s="69" t="s">
        <v>274</v>
      </c>
      <c r="P1590" s="71" t="s">
        <v>275</v>
      </c>
      <c r="Q1590" s="88">
        <v>1.08434137684332E-2</v>
      </c>
      <c r="R1590" s="89" t="s">
        <v>276</v>
      </c>
      <c r="T1590">
        <v>8.9</v>
      </c>
      <c r="U1590" s="76">
        <v>0.2</v>
      </c>
      <c r="V1590">
        <v>9.4</v>
      </c>
      <c r="W1590" s="90">
        <v>0.1</v>
      </c>
      <c r="AG1590" s="91">
        <v>0</v>
      </c>
      <c r="AK1590" s="71">
        <v>0.15</v>
      </c>
      <c r="AL1590" s="88">
        <v>3.3541019662496903E-2</v>
      </c>
      <c r="AM1590" s="89">
        <f t="shared" si="24"/>
        <v>0.22360679774997935</v>
      </c>
    </row>
    <row r="1591" spans="1:39" x14ac:dyDescent="0.25">
      <c r="A1591" t="s">
        <v>44</v>
      </c>
      <c r="B1591" t="s">
        <v>52</v>
      </c>
      <c r="C1591" s="121" t="s">
        <v>174</v>
      </c>
      <c r="D1591" t="s">
        <v>209</v>
      </c>
      <c r="E1591" t="s">
        <v>61</v>
      </c>
      <c r="F1591">
        <v>2</v>
      </c>
      <c r="G1591">
        <v>1</v>
      </c>
      <c r="H1591" s="86">
        <v>45966.611921446798</v>
      </c>
      <c r="I1591" s="86">
        <v>45966.717445370399</v>
      </c>
      <c r="J1591" s="87">
        <v>2.5325741666666701</v>
      </c>
      <c r="K1591" s="69" t="s">
        <v>274</v>
      </c>
      <c r="P1591" s="71" t="s">
        <v>275</v>
      </c>
      <c r="Q1591" s="88">
        <v>9.1105296159095794E-3</v>
      </c>
      <c r="R1591" s="89" t="s">
        <v>276</v>
      </c>
      <c r="T1591">
        <v>12.8</v>
      </c>
      <c r="U1591" s="76">
        <v>0.2</v>
      </c>
      <c r="V1591">
        <v>11</v>
      </c>
      <c r="W1591" s="90">
        <v>0.1</v>
      </c>
      <c r="AG1591" s="91">
        <v>0</v>
      </c>
      <c r="AK1591" s="71">
        <v>0.15</v>
      </c>
      <c r="AL1591" s="88">
        <v>3.3741665637606E-2</v>
      </c>
      <c r="AM1591" s="89">
        <f t="shared" si="24"/>
        <v>0.22494443758404001</v>
      </c>
    </row>
    <row r="1592" spans="1:39" x14ac:dyDescent="0.25">
      <c r="A1592" t="s">
        <v>44</v>
      </c>
      <c r="B1592" t="s">
        <v>52</v>
      </c>
      <c r="C1592" s="121" t="s">
        <v>174</v>
      </c>
      <c r="D1592" t="s">
        <v>209</v>
      </c>
      <c r="E1592" t="s">
        <v>61</v>
      </c>
      <c r="F1592">
        <v>2</v>
      </c>
      <c r="G1592">
        <v>2</v>
      </c>
      <c r="H1592" s="86">
        <v>45966.717445370399</v>
      </c>
      <c r="I1592" s="86">
        <v>45966.822964548599</v>
      </c>
      <c r="J1592" s="87">
        <v>2.5324602777777798</v>
      </c>
      <c r="K1592" s="69" t="s">
        <v>274</v>
      </c>
      <c r="P1592" s="71" t="s">
        <v>275</v>
      </c>
      <c r="Q1592" s="88">
        <v>9.7545870036604108E-3</v>
      </c>
      <c r="R1592" s="89" t="s">
        <v>276</v>
      </c>
      <c r="T1592">
        <v>11.2</v>
      </c>
      <c r="U1592" s="76">
        <v>0.2</v>
      </c>
      <c r="V1592">
        <v>11.1</v>
      </c>
      <c r="W1592" s="90">
        <v>0.1</v>
      </c>
      <c r="AG1592" s="91">
        <v>0</v>
      </c>
      <c r="AK1592" s="71">
        <v>0.15</v>
      </c>
      <c r="AL1592" s="88">
        <v>3.3741665637606E-2</v>
      </c>
      <c r="AM1592" s="89">
        <f t="shared" si="24"/>
        <v>0.22494443758404001</v>
      </c>
    </row>
    <row r="1593" spans="1:39" x14ac:dyDescent="0.25">
      <c r="A1593" t="s">
        <v>44</v>
      </c>
      <c r="B1593" t="s">
        <v>52</v>
      </c>
      <c r="C1593" s="121" t="s">
        <v>174</v>
      </c>
      <c r="D1593" t="s">
        <v>209</v>
      </c>
      <c r="E1593" t="s">
        <v>61</v>
      </c>
      <c r="F1593">
        <v>2</v>
      </c>
      <c r="G1593">
        <v>3</v>
      </c>
      <c r="H1593" s="86">
        <v>45966.822964548599</v>
      </c>
      <c r="I1593" s="86">
        <v>45967.034025520799</v>
      </c>
      <c r="J1593" s="87">
        <v>5.0654633333333301</v>
      </c>
      <c r="K1593" s="69" t="s">
        <v>274</v>
      </c>
      <c r="P1593" s="71" t="s">
        <v>275</v>
      </c>
      <c r="Q1593" s="88">
        <v>1.3699127557104901E-2</v>
      </c>
      <c r="R1593" s="89" t="s">
        <v>276</v>
      </c>
      <c r="T1593">
        <v>10.7</v>
      </c>
      <c r="U1593" s="76">
        <v>0.2</v>
      </c>
      <c r="V1593">
        <v>11.1</v>
      </c>
      <c r="W1593" s="90">
        <v>0.1</v>
      </c>
      <c r="AG1593" s="91">
        <v>0</v>
      </c>
      <c r="AK1593" s="71">
        <v>0.15</v>
      </c>
      <c r="AL1593" s="88">
        <v>3.3741665637606E-2</v>
      </c>
      <c r="AM1593" s="89">
        <f t="shared" si="24"/>
        <v>0.22494443758404001</v>
      </c>
    </row>
    <row r="1594" spans="1:39" x14ac:dyDescent="0.25">
      <c r="A1594" t="s">
        <v>44</v>
      </c>
      <c r="B1594" t="s">
        <v>52</v>
      </c>
      <c r="C1594" s="121" t="s">
        <v>174</v>
      </c>
      <c r="D1594" t="s">
        <v>209</v>
      </c>
      <c r="E1594" t="s">
        <v>61</v>
      </c>
      <c r="F1594">
        <v>2</v>
      </c>
      <c r="G1594">
        <v>4</v>
      </c>
      <c r="H1594" s="86">
        <v>45967.034025520799</v>
      </c>
      <c r="I1594" s="86">
        <v>45967.139568483799</v>
      </c>
      <c r="J1594" s="87">
        <v>2.5330311111111099</v>
      </c>
      <c r="K1594" s="69" t="s">
        <v>274</v>
      </c>
      <c r="P1594" s="71" t="s">
        <v>275</v>
      </c>
      <c r="Q1594" s="88">
        <v>1.81360799303775E-2</v>
      </c>
      <c r="R1594" s="89" t="s">
        <v>276</v>
      </c>
      <c r="T1594">
        <v>10.5</v>
      </c>
      <c r="U1594" s="76">
        <v>0.2</v>
      </c>
      <c r="V1594">
        <v>11</v>
      </c>
      <c r="W1594" s="90">
        <v>0.1</v>
      </c>
      <c r="AG1594" s="91">
        <v>0</v>
      </c>
      <c r="AK1594" s="71">
        <v>0.15</v>
      </c>
      <c r="AL1594" s="88">
        <v>3.3741665637606E-2</v>
      </c>
      <c r="AM1594" s="89">
        <f t="shared" si="24"/>
        <v>0.22494443758404001</v>
      </c>
    </row>
    <row r="1595" spans="1:39" x14ac:dyDescent="0.25">
      <c r="A1595" t="s">
        <v>44</v>
      </c>
      <c r="B1595" t="s">
        <v>52</v>
      </c>
      <c r="C1595" s="121" t="s">
        <v>174</v>
      </c>
      <c r="D1595" t="s">
        <v>209</v>
      </c>
      <c r="E1595" t="s">
        <v>61</v>
      </c>
      <c r="F1595">
        <v>2</v>
      </c>
      <c r="G1595">
        <v>5</v>
      </c>
      <c r="H1595" s="86">
        <v>45967.139568483799</v>
      </c>
      <c r="I1595" s="86">
        <v>45967.245074884297</v>
      </c>
      <c r="J1595" s="87">
        <v>2.5321536111111098</v>
      </c>
      <c r="K1595" s="69" t="s">
        <v>274</v>
      </c>
      <c r="P1595" s="71" t="s">
        <v>275</v>
      </c>
      <c r="Q1595" s="88">
        <v>1.98629836583991E-2</v>
      </c>
      <c r="R1595" s="89" t="s">
        <v>276</v>
      </c>
      <c r="T1595">
        <v>10.6</v>
      </c>
      <c r="U1595" s="76">
        <v>0.2</v>
      </c>
      <c r="V1595">
        <v>10.9</v>
      </c>
      <c r="W1595" s="90">
        <v>0.1</v>
      </c>
      <c r="AG1595" s="91">
        <v>0</v>
      </c>
      <c r="AK1595" s="71">
        <v>0.15</v>
      </c>
      <c r="AL1595" s="88">
        <v>3.3741665637606E-2</v>
      </c>
      <c r="AM1595" s="89">
        <f t="shared" si="24"/>
        <v>0.22494443758404001</v>
      </c>
    </row>
    <row r="1596" spans="1:39" x14ac:dyDescent="0.25">
      <c r="A1596" t="s">
        <v>44</v>
      </c>
      <c r="B1596" t="s">
        <v>52</v>
      </c>
      <c r="C1596" s="121" t="s">
        <v>174</v>
      </c>
      <c r="D1596" t="s">
        <v>209</v>
      </c>
      <c r="E1596" t="s">
        <v>61</v>
      </c>
      <c r="F1596">
        <v>2</v>
      </c>
      <c r="G1596">
        <v>6</v>
      </c>
      <c r="H1596" s="86">
        <v>45967.245074884297</v>
      </c>
      <c r="I1596" s="86">
        <v>45967.350612569498</v>
      </c>
      <c r="J1596" s="87">
        <v>2.53290444444445</v>
      </c>
      <c r="K1596" s="69" t="s">
        <v>274</v>
      </c>
      <c r="P1596" s="71" t="s">
        <v>275</v>
      </c>
      <c r="Q1596" s="88">
        <v>1.84829459220766E-2</v>
      </c>
      <c r="R1596" s="89" t="s">
        <v>276</v>
      </c>
      <c r="T1596">
        <v>9.9</v>
      </c>
      <c r="U1596" s="76">
        <v>0.2</v>
      </c>
      <c r="V1596">
        <v>10.9</v>
      </c>
      <c r="W1596" s="90">
        <v>0.1</v>
      </c>
      <c r="AG1596" s="91">
        <v>0</v>
      </c>
      <c r="AK1596" s="71">
        <v>0.15</v>
      </c>
      <c r="AL1596" s="88">
        <v>3.3741665637606E-2</v>
      </c>
      <c r="AM1596" s="89">
        <f t="shared" si="24"/>
        <v>0.22494443758404001</v>
      </c>
    </row>
    <row r="1597" spans="1:39" x14ac:dyDescent="0.25">
      <c r="A1597" t="s">
        <v>44</v>
      </c>
      <c r="B1597" t="s">
        <v>52</v>
      </c>
      <c r="C1597" s="121" t="s">
        <v>174</v>
      </c>
      <c r="D1597" t="s">
        <v>209</v>
      </c>
      <c r="E1597" t="s">
        <v>61</v>
      </c>
      <c r="F1597">
        <v>2</v>
      </c>
      <c r="G1597">
        <v>7</v>
      </c>
      <c r="H1597" s="86">
        <v>45967.350612569498</v>
      </c>
      <c r="I1597" s="86">
        <v>45967.456142962998</v>
      </c>
      <c r="J1597" s="87">
        <v>2.5327294444444401</v>
      </c>
      <c r="K1597" s="69" t="s">
        <v>274</v>
      </c>
      <c r="P1597" s="71" t="s">
        <v>275</v>
      </c>
      <c r="Q1597" s="88">
        <v>1.6262758861121E-2</v>
      </c>
      <c r="R1597" s="89" t="s">
        <v>276</v>
      </c>
      <c r="T1597">
        <v>9.9</v>
      </c>
      <c r="U1597" s="76">
        <v>0.2</v>
      </c>
      <c r="V1597">
        <v>10.9</v>
      </c>
      <c r="W1597" s="90">
        <v>0.1</v>
      </c>
      <c r="AG1597" s="91">
        <v>0</v>
      </c>
      <c r="AK1597" s="71">
        <v>0.15</v>
      </c>
      <c r="AL1597" s="88">
        <v>3.3741665637606E-2</v>
      </c>
      <c r="AM1597" s="89">
        <f t="shared" si="24"/>
        <v>0.22494443758404001</v>
      </c>
    </row>
    <row r="1598" spans="1:39" x14ac:dyDescent="0.25">
      <c r="A1598" t="s">
        <v>44</v>
      </c>
      <c r="B1598" t="s">
        <v>52</v>
      </c>
      <c r="C1598" s="121" t="s">
        <v>174</v>
      </c>
      <c r="D1598" t="s">
        <v>209</v>
      </c>
      <c r="E1598" t="s">
        <v>61</v>
      </c>
      <c r="F1598">
        <v>2</v>
      </c>
      <c r="G1598">
        <v>8</v>
      </c>
      <c r="H1598" s="86">
        <v>45967.456142962998</v>
      </c>
      <c r="I1598" s="86">
        <v>45967.561663946799</v>
      </c>
      <c r="J1598" s="87">
        <v>2.5325036111111099</v>
      </c>
      <c r="K1598" s="69" t="s">
        <v>274</v>
      </c>
      <c r="P1598" s="71" t="s">
        <v>275</v>
      </c>
      <c r="Q1598" s="88">
        <v>4.7259043389296103E-2</v>
      </c>
      <c r="R1598" s="89" t="s">
        <v>276</v>
      </c>
      <c r="T1598">
        <v>14</v>
      </c>
      <c r="U1598" s="76">
        <v>0.2</v>
      </c>
      <c r="V1598">
        <v>10.9</v>
      </c>
      <c r="W1598" s="90">
        <v>0.1</v>
      </c>
      <c r="AG1598" s="91">
        <v>0</v>
      </c>
      <c r="AK1598" s="71">
        <v>0.15</v>
      </c>
      <c r="AL1598" s="88">
        <v>3.3741665637606E-2</v>
      </c>
      <c r="AM1598" s="89">
        <f t="shared" si="24"/>
        <v>0.22494443758404001</v>
      </c>
    </row>
    <row r="1599" spans="1:39" x14ac:dyDescent="0.25">
      <c r="A1599" t="s">
        <v>44</v>
      </c>
      <c r="B1599" t="s">
        <v>52</v>
      </c>
      <c r="C1599" s="121" t="s">
        <v>174</v>
      </c>
      <c r="D1599" t="s">
        <v>209</v>
      </c>
      <c r="E1599" t="s">
        <v>61</v>
      </c>
      <c r="F1599">
        <v>2</v>
      </c>
      <c r="G1599">
        <v>9</v>
      </c>
      <c r="H1599" s="86">
        <v>45967.561663946799</v>
      </c>
      <c r="I1599" s="86">
        <v>45967.667186851897</v>
      </c>
      <c r="J1599" s="87">
        <v>2.5325497222222202</v>
      </c>
      <c r="K1599" s="69" t="s">
        <v>274</v>
      </c>
      <c r="P1599" s="71" t="s">
        <v>275</v>
      </c>
      <c r="Q1599" s="88">
        <v>4.9154560795945497E-2</v>
      </c>
      <c r="R1599" s="89" t="s">
        <v>276</v>
      </c>
      <c r="T1599">
        <v>15.9</v>
      </c>
      <c r="U1599" s="76">
        <v>0.2</v>
      </c>
      <c r="V1599">
        <v>11</v>
      </c>
      <c r="W1599" s="90">
        <v>0.1</v>
      </c>
      <c r="AG1599" s="91">
        <v>0</v>
      </c>
      <c r="AK1599" s="71">
        <v>0.15</v>
      </c>
      <c r="AL1599" s="88">
        <v>3.3741665637606E-2</v>
      </c>
      <c r="AM1599" s="89">
        <f t="shared" si="24"/>
        <v>0.22494443758404001</v>
      </c>
    </row>
    <row r="1600" spans="1:39" x14ac:dyDescent="0.25">
      <c r="A1600" t="s">
        <v>44</v>
      </c>
      <c r="B1600" t="s">
        <v>52</v>
      </c>
      <c r="C1600" s="121" t="s">
        <v>174</v>
      </c>
      <c r="D1600" t="s">
        <v>209</v>
      </c>
      <c r="E1600" t="s">
        <v>61</v>
      </c>
      <c r="F1600">
        <v>2</v>
      </c>
      <c r="G1600">
        <v>10</v>
      </c>
      <c r="H1600" s="86">
        <v>45967.667186851897</v>
      </c>
      <c r="I1600" s="86">
        <v>45967.772713877297</v>
      </c>
      <c r="J1600" s="87">
        <v>2.5326486111111102</v>
      </c>
      <c r="K1600" s="69" t="s">
        <v>274</v>
      </c>
      <c r="P1600" s="71" t="s">
        <v>275</v>
      </c>
      <c r="Q1600" s="88">
        <v>2.2439473846821701E-2</v>
      </c>
      <c r="R1600" s="89" t="s">
        <v>276</v>
      </c>
      <c r="T1600">
        <v>10.7</v>
      </c>
      <c r="U1600" s="76">
        <v>0.2</v>
      </c>
      <c r="V1600">
        <v>11.2</v>
      </c>
      <c r="W1600" s="90">
        <v>0.1</v>
      </c>
      <c r="AG1600" s="91">
        <v>0</v>
      </c>
      <c r="AK1600" s="71">
        <v>0.15</v>
      </c>
      <c r="AL1600" s="88">
        <v>3.3741665637606E-2</v>
      </c>
      <c r="AM1600" s="89">
        <f t="shared" si="24"/>
        <v>0.22494443758404001</v>
      </c>
    </row>
    <row r="1601" spans="1:39" x14ac:dyDescent="0.25">
      <c r="A1601" t="s">
        <v>44</v>
      </c>
      <c r="B1601" t="s">
        <v>52</v>
      </c>
      <c r="C1601" s="121" t="s">
        <v>174</v>
      </c>
      <c r="D1601" t="s">
        <v>209</v>
      </c>
      <c r="E1601" t="s">
        <v>61</v>
      </c>
      <c r="F1601">
        <v>2</v>
      </c>
      <c r="G1601">
        <v>11</v>
      </c>
      <c r="H1601" s="86">
        <v>45967.772713877297</v>
      </c>
      <c r="I1601" s="86">
        <v>45967.878236504599</v>
      </c>
      <c r="J1601" s="87">
        <v>2.5325430555555601</v>
      </c>
      <c r="K1601" s="69" t="s">
        <v>274</v>
      </c>
      <c r="P1601" s="71" t="s">
        <v>275</v>
      </c>
      <c r="Q1601" s="88">
        <v>8.9544148586003704E-3</v>
      </c>
      <c r="R1601" s="89" t="s">
        <v>276</v>
      </c>
      <c r="T1601">
        <v>7</v>
      </c>
      <c r="U1601" s="76">
        <v>0.2</v>
      </c>
      <c r="V1601">
        <v>11.1</v>
      </c>
      <c r="W1601" s="90">
        <v>0.1</v>
      </c>
      <c r="AG1601" s="91">
        <v>0</v>
      </c>
      <c r="AK1601" s="71">
        <v>0.15</v>
      </c>
      <c r="AL1601" s="88">
        <v>3.3741665637606E-2</v>
      </c>
      <c r="AM1601" s="89">
        <f t="shared" si="24"/>
        <v>0.22494443758404001</v>
      </c>
    </row>
    <row r="1602" spans="1:39" x14ac:dyDescent="0.25">
      <c r="A1602" t="s">
        <v>44</v>
      </c>
      <c r="B1602" t="s">
        <v>52</v>
      </c>
      <c r="C1602" s="121" t="s">
        <v>174</v>
      </c>
      <c r="D1602" t="s">
        <v>209</v>
      </c>
      <c r="E1602" t="s">
        <v>61</v>
      </c>
      <c r="F1602">
        <v>2</v>
      </c>
      <c r="G1602">
        <v>12</v>
      </c>
      <c r="H1602" s="86">
        <v>45967.878236504599</v>
      </c>
      <c r="I1602" s="86">
        <v>45967.983762407399</v>
      </c>
      <c r="J1602" s="87">
        <v>2.5326216666666701</v>
      </c>
      <c r="K1602" s="69" t="s">
        <v>274</v>
      </c>
      <c r="P1602" s="71" t="s">
        <v>275</v>
      </c>
      <c r="Q1602" s="88">
        <v>5.2139002967986504E-3</v>
      </c>
      <c r="R1602" s="89" t="s">
        <v>276</v>
      </c>
      <c r="T1602">
        <v>6.8</v>
      </c>
      <c r="U1602" s="76">
        <v>0.2</v>
      </c>
      <c r="V1602">
        <v>10.9</v>
      </c>
      <c r="W1602" s="90">
        <v>0.1</v>
      </c>
      <c r="AG1602" s="91">
        <v>0</v>
      </c>
      <c r="AK1602" s="71">
        <v>0.15</v>
      </c>
      <c r="AL1602" s="88">
        <v>3.3741665637606E-2</v>
      </c>
      <c r="AM1602" s="89">
        <f t="shared" si="24"/>
        <v>0.22494443758404001</v>
      </c>
    </row>
    <row r="1603" spans="1:39" x14ac:dyDescent="0.25">
      <c r="A1603" t="s">
        <v>44</v>
      </c>
      <c r="B1603" t="s">
        <v>52</v>
      </c>
      <c r="C1603" s="121" t="s">
        <v>174</v>
      </c>
      <c r="D1603" t="s">
        <v>209</v>
      </c>
      <c r="E1603" t="s">
        <v>61</v>
      </c>
      <c r="F1603">
        <v>2</v>
      </c>
      <c r="G1603">
        <v>13</v>
      </c>
      <c r="H1603" s="86">
        <v>45967.983762407399</v>
      </c>
      <c r="I1603" s="86">
        <v>45968.089279097199</v>
      </c>
      <c r="J1603" s="87">
        <v>2.5324005555555602</v>
      </c>
      <c r="K1603" s="69" t="s">
        <v>274</v>
      </c>
      <c r="P1603" s="71" t="s">
        <v>275</v>
      </c>
      <c r="Q1603" s="88">
        <v>6.7916995825361296E-3</v>
      </c>
      <c r="R1603" s="89" t="s">
        <v>276</v>
      </c>
      <c r="T1603">
        <v>6.8</v>
      </c>
      <c r="U1603" s="76">
        <v>0.2</v>
      </c>
      <c r="V1603">
        <v>10.6</v>
      </c>
      <c r="W1603" s="90">
        <v>0.1</v>
      </c>
      <c r="AG1603" s="91">
        <v>0</v>
      </c>
      <c r="AK1603" s="71">
        <v>0.15</v>
      </c>
      <c r="AL1603" s="88">
        <v>3.3741665637606E-2</v>
      </c>
      <c r="AM1603" s="89">
        <f t="shared" si="24"/>
        <v>0.22494443758404001</v>
      </c>
    </row>
    <row r="1604" spans="1:39" x14ac:dyDescent="0.25">
      <c r="A1604" t="s">
        <v>44</v>
      </c>
      <c r="B1604" t="s">
        <v>52</v>
      </c>
      <c r="C1604" s="121" t="s">
        <v>174</v>
      </c>
      <c r="D1604" t="s">
        <v>209</v>
      </c>
      <c r="E1604" t="s">
        <v>61</v>
      </c>
      <c r="F1604">
        <v>2</v>
      </c>
      <c r="G1604">
        <v>14</v>
      </c>
      <c r="H1604" s="86">
        <v>45968.089279097199</v>
      </c>
      <c r="I1604" s="86">
        <v>45968.194806099498</v>
      </c>
      <c r="J1604" s="87">
        <v>2.5326480555555602</v>
      </c>
      <c r="K1604" s="69" t="s">
        <v>274</v>
      </c>
      <c r="P1604" s="71" t="s">
        <v>275</v>
      </c>
      <c r="Q1604" s="88">
        <v>5.3736338955241497E-3</v>
      </c>
      <c r="R1604" s="89" t="s">
        <v>276</v>
      </c>
      <c r="T1604">
        <v>4.8</v>
      </c>
      <c r="U1604" s="76">
        <v>0.2</v>
      </c>
      <c r="V1604">
        <v>10.5</v>
      </c>
      <c r="W1604" s="90">
        <v>0.1</v>
      </c>
      <c r="AG1604" s="91">
        <v>0</v>
      </c>
      <c r="AK1604" s="71">
        <v>0.15</v>
      </c>
      <c r="AL1604" s="88">
        <v>3.3741665637606E-2</v>
      </c>
      <c r="AM1604" s="89">
        <f t="shared" si="24"/>
        <v>0.22494443758404001</v>
      </c>
    </row>
    <row r="1605" spans="1:39" x14ac:dyDescent="0.25">
      <c r="A1605" t="s">
        <v>44</v>
      </c>
      <c r="B1605" t="s">
        <v>52</v>
      </c>
      <c r="C1605" s="121" t="s">
        <v>174</v>
      </c>
      <c r="D1605" t="s">
        <v>209</v>
      </c>
      <c r="E1605" t="s">
        <v>61</v>
      </c>
      <c r="F1605">
        <v>2</v>
      </c>
      <c r="G1605">
        <v>15</v>
      </c>
      <c r="H1605" s="86">
        <v>45968.194806099498</v>
      </c>
      <c r="I1605" s="86">
        <v>45968.300328518497</v>
      </c>
      <c r="J1605" s="87">
        <v>2.5325380555555599</v>
      </c>
      <c r="K1605" s="69" t="s">
        <v>274</v>
      </c>
      <c r="P1605" s="71" t="s">
        <v>275</v>
      </c>
      <c r="Q1605" s="88">
        <v>3.3791236244738198E-3</v>
      </c>
      <c r="R1605" s="89" t="s">
        <v>276</v>
      </c>
      <c r="T1605">
        <v>5.0999999999999996</v>
      </c>
      <c r="U1605" s="76">
        <v>0.2</v>
      </c>
      <c r="V1605">
        <v>10.1</v>
      </c>
      <c r="W1605" s="90">
        <v>0.1</v>
      </c>
      <c r="AG1605" s="91">
        <v>0</v>
      </c>
      <c r="AK1605" s="71">
        <v>0.15</v>
      </c>
      <c r="AL1605" s="88">
        <v>3.3741665637606E-2</v>
      </c>
      <c r="AM1605" s="89">
        <f t="shared" ref="AM1605:AM1668" si="25">AL1605/AK1605</f>
        <v>0.22494443758404001</v>
      </c>
    </row>
    <row r="1606" spans="1:39" x14ac:dyDescent="0.25">
      <c r="A1606" t="s">
        <v>44</v>
      </c>
      <c r="B1606" t="s">
        <v>52</v>
      </c>
      <c r="C1606" s="121" t="s">
        <v>174</v>
      </c>
      <c r="D1606" t="s">
        <v>209</v>
      </c>
      <c r="E1606" t="s">
        <v>61</v>
      </c>
      <c r="F1606">
        <v>2</v>
      </c>
      <c r="G1606">
        <v>16</v>
      </c>
      <c r="H1606" s="86">
        <v>45968.300328518497</v>
      </c>
      <c r="I1606" s="86">
        <v>45968.4058578357</v>
      </c>
      <c r="J1606" s="87">
        <v>2.5327036111111099</v>
      </c>
      <c r="K1606" s="69" t="s">
        <v>274</v>
      </c>
      <c r="P1606" s="71" t="s">
        <v>275</v>
      </c>
      <c r="Q1606" s="88">
        <v>2.2303250646002601E-3</v>
      </c>
      <c r="R1606" s="89" t="s">
        <v>276</v>
      </c>
      <c r="T1606">
        <v>6.3</v>
      </c>
      <c r="U1606" s="76">
        <v>0.2</v>
      </c>
      <c r="V1606">
        <v>9.9</v>
      </c>
      <c r="W1606" s="90">
        <v>0.1</v>
      </c>
      <c r="AG1606" s="91">
        <v>0</v>
      </c>
      <c r="AK1606" s="71">
        <v>0.15</v>
      </c>
      <c r="AL1606" s="88">
        <v>3.3741665637606E-2</v>
      </c>
      <c r="AM1606" s="89">
        <f t="shared" si="25"/>
        <v>0.22494443758404001</v>
      </c>
    </row>
    <row r="1607" spans="1:39" x14ac:dyDescent="0.25">
      <c r="A1607" t="s">
        <v>44</v>
      </c>
      <c r="B1607" t="s">
        <v>52</v>
      </c>
      <c r="C1607" s="121" t="s">
        <v>174</v>
      </c>
      <c r="D1607" t="s">
        <v>209</v>
      </c>
      <c r="E1607" t="s">
        <v>61</v>
      </c>
      <c r="F1607">
        <v>2</v>
      </c>
      <c r="G1607">
        <v>17</v>
      </c>
      <c r="H1607" s="86">
        <v>45968.4058578357</v>
      </c>
      <c r="I1607" s="86">
        <v>45968.5113783333</v>
      </c>
      <c r="J1607" s="87">
        <v>2.5324919444444398</v>
      </c>
      <c r="K1607" s="69" t="s">
        <v>274</v>
      </c>
      <c r="P1607" s="71" t="s">
        <v>275</v>
      </c>
      <c r="Q1607" s="88">
        <v>4.4786868051578501E-3</v>
      </c>
      <c r="R1607" s="89" t="s">
        <v>276</v>
      </c>
      <c r="T1607">
        <v>8.1</v>
      </c>
      <c r="U1607" s="76">
        <v>0.2</v>
      </c>
      <c r="V1607">
        <v>9.8000000000000007</v>
      </c>
      <c r="W1607" s="90">
        <v>0.1</v>
      </c>
      <c r="AG1607" s="91">
        <v>0</v>
      </c>
      <c r="AK1607" s="71">
        <v>0.15</v>
      </c>
      <c r="AL1607" s="88">
        <v>3.3741665637606E-2</v>
      </c>
      <c r="AM1607" s="89">
        <f t="shared" si="25"/>
        <v>0.22494443758404001</v>
      </c>
    </row>
    <row r="1608" spans="1:39" x14ac:dyDescent="0.25">
      <c r="A1608" t="s">
        <v>44</v>
      </c>
      <c r="B1608" t="s">
        <v>52</v>
      </c>
      <c r="C1608" s="121" t="s">
        <v>174</v>
      </c>
      <c r="D1608" t="s">
        <v>209</v>
      </c>
      <c r="E1608" t="s">
        <v>61</v>
      </c>
      <c r="F1608">
        <v>2</v>
      </c>
      <c r="G1608">
        <v>18</v>
      </c>
      <c r="H1608" s="86">
        <v>45968.5113783333</v>
      </c>
      <c r="I1608" s="86">
        <v>45968.616884745403</v>
      </c>
      <c r="J1608" s="87">
        <v>2.5321538888888901</v>
      </c>
      <c r="K1608" s="69" t="s">
        <v>274</v>
      </c>
      <c r="P1608" s="71" t="s">
        <v>275</v>
      </c>
      <c r="Q1608" s="88">
        <v>1.9944994102776399E-2</v>
      </c>
      <c r="R1608" s="89" t="s">
        <v>276</v>
      </c>
      <c r="T1608">
        <v>9.4</v>
      </c>
      <c r="U1608" s="76">
        <v>0.2</v>
      </c>
      <c r="V1608">
        <v>9.9</v>
      </c>
      <c r="W1608" s="90">
        <v>0.1</v>
      </c>
      <c r="AG1608" s="91">
        <v>0</v>
      </c>
      <c r="AK1608" s="71">
        <v>0.15</v>
      </c>
      <c r="AL1608" s="88">
        <v>3.3741665637606E-2</v>
      </c>
      <c r="AM1608" s="89">
        <f t="shared" si="25"/>
        <v>0.22494443758404001</v>
      </c>
    </row>
    <row r="1609" spans="1:39" x14ac:dyDescent="0.25">
      <c r="A1609" t="s">
        <v>44</v>
      </c>
      <c r="B1609" t="s">
        <v>52</v>
      </c>
      <c r="C1609" s="121" t="s">
        <v>174</v>
      </c>
      <c r="D1609" t="s">
        <v>209</v>
      </c>
      <c r="E1609" t="s">
        <v>61</v>
      </c>
      <c r="F1609">
        <v>2</v>
      </c>
      <c r="G1609">
        <v>19</v>
      </c>
      <c r="H1609" s="86">
        <v>45968.616884745403</v>
      </c>
      <c r="I1609" s="86">
        <v>45968.722369132003</v>
      </c>
      <c r="J1609" s="87">
        <v>2.5316252777777799</v>
      </c>
      <c r="K1609" s="69" t="s">
        <v>274</v>
      </c>
      <c r="P1609" s="71" t="s">
        <v>275</v>
      </c>
      <c r="Q1609" s="88">
        <v>1.5983564383523899E-2</v>
      </c>
      <c r="R1609" s="89" t="s">
        <v>276</v>
      </c>
      <c r="T1609">
        <v>8.3000000000000007</v>
      </c>
      <c r="U1609" s="76">
        <v>0.2</v>
      </c>
      <c r="V1609">
        <v>10.1</v>
      </c>
      <c r="W1609" s="90">
        <v>0.1</v>
      </c>
      <c r="AG1609" s="91">
        <v>0</v>
      </c>
      <c r="AK1609" s="71">
        <v>0.15</v>
      </c>
      <c r="AL1609" s="88">
        <v>3.3741665637606E-2</v>
      </c>
      <c r="AM1609" s="89">
        <f t="shared" si="25"/>
        <v>0.22494443758404001</v>
      </c>
    </row>
    <row r="1610" spans="1:39" x14ac:dyDescent="0.25">
      <c r="A1610" t="s">
        <v>44</v>
      </c>
      <c r="B1610" t="s">
        <v>52</v>
      </c>
      <c r="C1610" s="121" t="s">
        <v>174</v>
      </c>
      <c r="D1610" t="s">
        <v>209</v>
      </c>
      <c r="E1610" t="s">
        <v>61</v>
      </c>
      <c r="F1610">
        <v>2</v>
      </c>
      <c r="G1610">
        <v>20</v>
      </c>
      <c r="H1610" s="86">
        <v>45968.722369132003</v>
      </c>
      <c r="I1610" s="86">
        <v>45968.8278786343</v>
      </c>
      <c r="J1610" s="87">
        <v>2.5322280555555601</v>
      </c>
      <c r="K1610" s="69" t="s">
        <v>274</v>
      </c>
      <c r="P1610" s="71" t="s">
        <v>275</v>
      </c>
      <c r="Q1610" s="88">
        <v>1.21519674472691E-2</v>
      </c>
      <c r="R1610" s="89" t="s">
        <v>276</v>
      </c>
      <c r="T1610">
        <v>7.9</v>
      </c>
      <c r="U1610" s="76">
        <v>0.2</v>
      </c>
      <c r="V1610">
        <v>10.199999999999999</v>
      </c>
      <c r="W1610" s="90">
        <v>0.1</v>
      </c>
      <c r="AG1610" s="91">
        <v>0</v>
      </c>
      <c r="AK1610" s="71">
        <v>0.15</v>
      </c>
      <c r="AL1610" s="88">
        <v>3.3741665637606E-2</v>
      </c>
      <c r="AM1610" s="89">
        <f t="shared" si="25"/>
        <v>0.22494443758404001</v>
      </c>
    </row>
    <row r="1611" spans="1:39" x14ac:dyDescent="0.25">
      <c r="A1611" t="s">
        <v>44</v>
      </c>
      <c r="B1611" t="s">
        <v>52</v>
      </c>
      <c r="C1611" s="121" t="s">
        <v>174</v>
      </c>
      <c r="D1611" t="s">
        <v>209</v>
      </c>
      <c r="E1611" t="s">
        <v>61</v>
      </c>
      <c r="F1611">
        <v>2</v>
      </c>
      <c r="G1611">
        <v>21</v>
      </c>
      <c r="H1611" s="86">
        <v>45968.8278786343</v>
      </c>
      <c r="I1611" s="86">
        <v>45968.933371273197</v>
      </c>
      <c r="J1611" s="87">
        <v>2.53182333333333</v>
      </c>
      <c r="K1611" s="69" t="s">
        <v>274</v>
      </c>
      <c r="P1611" s="71" t="s">
        <v>275</v>
      </c>
      <c r="Q1611" s="88">
        <v>8.3993535222676198E-3</v>
      </c>
      <c r="R1611" s="89" t="s">
        <v>276</v>
      </c>
      <c r="T1611">
        <v>7.8</v>
      </c>
      <c r="U1611" s="76">
        <v>0.2</v>
      </c>
      <c r="V1611">
        <v>10.199999999999999</v>
      </c>
      <c r="W1611" s="90">
        <v>0.1</v>
      </c>
      <c r="AG1611" s="91">
        <v>0</v>
      </c>
      <c r="AK1611" s="71">
        <v>0.15</v>
      </c>
      <c r="AL1611" s="88">
        <v>3.3741665637606E-2</v>
      </c>
      <c r="AM1611" s="89">
        <f t="shared" si="25"/>
        <v>0.22494443758404001</v>
      </c>
    </row>
    <row r="1612" spans="1:39" x14ac:dyDescent="0.25">
      <c r="A1612" t="s">
        <v>44</v>
      </c>
      <c r="B1612" t="s">
        <v>52</v>
      </c>
      <c r="C1612" s="121" t="s">
        <v>174</v>
      </c>
      <c r="D1612" t="s">
        <v>209</v>
      </c>
      <c r="E1612" t="s">
        <v>61</v>
      </c>
      <c r="F1612">
        <v>2</v>
      </c>
      <c r="G1612">
        <v>22</v>
      </c>
      <c r="H1612" s="86">
        <v>45968.933371273197</v>
      </c>
      <c r="I1612" s="86">
        <v>45969.038878425898</v>
      </c>
      <c r="J1612" s="87">
        <v>2.5321716666666698</v>
      </c>
      <c r="K1612" s="69" t="s">
        <v>274</v>
      </c>
      <c r="P1612" s="71" t="s">
        <v>275</v>
      </c>
      <c r="Q1612" s="88">
        <v>7.1432646721724903E-3</v>
      </c>
      <c r="R1612" s="89" t="s">
        <v>276</v>
      </c>
      <c r="T1612">
        <v>7.9</v>
      </c>
      <c r="U1612" s="76">
        <v>0.2</v>
      </c>
      <c r="V1612">
        <v>10.199999999999999</v>
      </c>
      <c r="W1612" s="90">
        <v>0.1</v>
      </c>
      <c r="AG1612" s="91">
        <v>0</v>
      </c>
      <c r="AK1612" s="71">
        <v>0.15</v>
      </c>
      <c r="AL1612" s="88">
        <v>3.3741665637606E-2</v>
      </c>
      <c r="AM1612" s="89">
        <f t="shared" si="25"/>
        <v>0.22494443758404001</v>
      </c>
    </row>
    <row r="1613" spans="1:39" x14ac:dyDescent="0.25">
      <c r="A1613" t="s">
        <v>44</v>
      </c>
      <c r="B1613" t="s">
        <v>52</v>
      </c>
      <c r="C1613" s="121" t="s">
        <v>174</v>
      </c>
      <c r="D1613" t="s">
        <v>209</v>
      </c>
      <c r="E1613" t="s">
        <v>61</v>
      </c>
      <c r="F1613">
        <v>2</v>
      </c>
      <c r="G1613">
        <v>23</v>
      </c>
      <c r="H1613" s="86">
        <v>45969.038878425898</v>
      </c>
      <c r="I1613" s="86">
        <v>45969.144381655096</v>
      </c>
      <c r="J1613" s="87">
        <v>2.5320775000000002</v>
      </c>
      <c r="K1613" s="69" t="s">
        <v>274</v>
      </c>
      <c r="P1613" s="71" t="s">
        <v>275</v>
      </c>
      <c r="Q1613" s="88">
        <v>7.9211091112218399E-3</v>
      </c>
      <c r="R1613" s="89" t="s">
        <v>276</v>
      </c>
      <c r="T1613">
        <v>8.1999999999999993</v>
      </c>
      <c r="U1613" s="76">
        <v>0.2</v>
      </c>
      <c r="V1613">
        <v>10.1</v>
      </c>
      <c r="W1613" s="90">
        <v>0.1</v>
      </c>
      <c r="AG1613" s="91">
        <v>0</v>
      </c>
      <c r="AK1613" s="71">
        <v>0.15</v>
      </c>
      <c r="AL1613" s="88">
        <v>3.3741665637606E-2</v>
      </c>
      <c r="AM1613" s="89">
        <f t="shared" si="25"/>
        <v>0.22494443758404001</v>
      </c>
    </row>
    <row r="1614" spans="1:39" x14ac:dyDescent="0.25">
      <c r="A1614" t="s">
        <v>44</v>
      </c>
      <c r="B1614" t="s">
        <v>52</v>
      </c>
      <c r="C1614" s="121" t="s">
        <v>174</v>
      </c>
      <c r="D1614" t="s">
        <v>209</v>
      </c>
      <c r="E1614" t="s">
        <v>61</v>
      </c>
      <c r="F1614">
        <v>2</v>
      </c>
      <c r="G1614">
        <v>24</v>
      </c>
      <c r="H1614" s="86">
        <v>45969.144381655096</v>
      </c>
      <c r="I1614" s="86">
        <v>45969.249874467598</v>
      </c>
      <c r="J1614" s="87">
        <v>2.5318274999999999</v>
      </c>
      <c r="K1614" s="69" t="s">
        <v>274</v>
      </c>
      <c r="P1614" s="71" t="s">
        <v>275</v>
      </c>
      <c r="Q1614" s="88">
        <v>8.4395430901013594E-3</v>
      </c>
      <c r="R1614" s="89" t="s">
        <v>276</v>
      </c>
      <c r="T1614">
        <v>8.1999999999999993</v>
      </c>
      <c r="U1614" s="76">
        <v>0.2</v>
      </c>
      <c r="V1614">
        <v>10.1</v>
      </c>
      <c r="W1614" s="90">
        <v>0.1</v>
      </c>
      <c r="AG1614" s="91">
        <v>0</v>
      </c>
      <c r="AK1614" s="71">
        <v>0.15</v>
      </c>
      <c r="AL1614" s="88">
        <v>3.3741665637606E-2</v>
      </c>
      <c r="AM1614" s="89">
        <f t="shared" si="25"/>
        <v>0.22494443758404001</v>
      </c>
    </row>
    <row r="1615" spans="1:39" x14ac:dyDescent="0.25">
      <c r="A1615" t="s">
        <v>44</v>
      </c>
      <c r="B1615" t="s">
        <v>52</v>
      </c>
      <c r="C1615" s="121" t="s">
        <v>174</v>
      </c>
      <c r="D1615" t="s">
        <v>209</v>
      </c>
      <c r="E1615" t="s">
        <v>61</v>
      </c>
      <c r="F1615">
        <v>2</v>
      </c>
      <c r="G1615">
        <v>25</v>
      </c>
      <c r="H1615" s="86">
        <v>45969.249874467598</v>
      </c>
      <c r="I1615" s="86">
        <v>45969.355375590298</v>
      </c>
      <c r="J1615" s="87">
        <v>2.5320269444444499</v>
      </c>
      <c r="K1615" s="69" t="s">
        <v>274</v>
      </c>
      <c r="P1615" s="71" t="s">
        <v>275</v>
      </c>
      <c r="Q1615" s="88">
        <v>7.5452923081277198E-3</v>
      </c>
      <c r="R1615" s="89" t="s">
        <v>276</v>
      </c>
      <c r="T1615">
        <v>8</v>
      </c>
      <c r="U1615" s="76">
        <v>0.2</v>
      </c>
      <c r="V1615">
        <v>10.1</v>
      </c>
      <c r="W1615" s="90">
        <v>0.1</v>
      </c>
      <c r="AG1615" s="91">
        <v>0</v>
      </c>
      <c r="AK1615" s="71">
        <v>0.15</v>
      </c>
      <c r="AL1615" s="88">
        <v>3.3741665637606E-2</v>
      </c>
      <c r="AM1615" s="89">
        <f t="shared" si="25"/>
        <v>0.22494443758404001</v>
      </c>
    </row>
    <row r="1616" spans="1:39" x14ac:dyDescent="0.25">
      <c r="A1616" t="s">
        <v>44</v>
      </c>
      <c r="B1616" t="s">
        <v>52</v>
      </c>
      <c r="C1616" s="121" t="s">
        <v>174</v>
      </c>
      <c r="D1616" t="s">
        <v>209</v>
      </c>
      <c r="E1616" t="s">
        <v>61</v>
      </c>
      <c r="F1616">
        <v>2</v>
      </c>
      <c r="G1616">
        <v>26</v>
      </c>
      <c r="H1616" s="86">
        <v>45969.355375590298</v>
      </c>
      <c r="I1616" s="86">
        <v>45969.460881944498</v>
      </c>
      <c r="J1616" s="87">
        <v>2.5321525</v>
      </c>
      <c r="K1616" s="69" t="s">
        <v>274</v>
      </c>
      <c r="P1616" s="71" t="s">
        <v>275</v>
      </c>
      <c r="Q1616" s="88">
        <v>7.3368128632106096E-3</v>
      </c>
      <c r="R1616" s="89" t="s">
        <v>276</v>
      </c>
      <c r="T1616">
        <v>8.1999999999999993</v>
      </c>
      <c r="U1616" s="76">
        <v>0.2</v>
      </c>
      <c r="V1616">
        <v>10.1</v>
      </c>
      <c r="W1616" s="90">
        <v>0.1</v>
      </c>
      <c r="AG1616" s="91">
        <v>0</v>
      </c>
      <c r="AK1616" s="71">
        <v>0.15</v>
      </c>
      <c r="AL1616" s="88">
        <v>3.3741665637606E-2</v>
      </c>
      <c r="AM1616" s="89">
        <f t="shared" si="25"/>
        <v>0.22494443758404001</v>
      </c>
    </row>
    <row r="1617" spans="1:39" x14ac:dyDescent="0.25">
      <c r="A1617" t="s">
        <v>44</v>
      </c>
      <c r="B1617" t="s">
        <v>52</v>
      </c>
      <c r="C1617" s="121" t="s">
        <v>174</v>
      </c>
      <c r="D1617" t="s">
        <v>209</v>
      </c>
      <c r="E1617" t="s">
        <v>61</v>
      </c>
      <c r="F1617">
        <v>2</v>
      </c>
      <c r="G1617">
        <v>27</v>
      </c>
      <c r="H1617" s="86">
        <v>45969.460881944498</v>
      </c>
      <c r="I1617" s="86">
        <v>45969.5663864815</v>
      </c>
      <c r="J1617" s="87">
        <v>2.5321088888888901</v>
      </c>
      <c r="K1617" s="69" t="s">
        <v>274</v>
      </c>
      <c r="P1617" s="71" t="s">
        <v>275</v>
      </c>
      <c r="Q1617" s="88">
        <v>9.0087163613492005E-3</v>
      </c>
      <c r="R1617" s="89" t="s">
        <v>276</v>
      </c>
      <c r="T1617">
        <v>8.5</v>
      </c>
      <c r="U1617" s="76">
        <v>0.2</v>
      </c>
      <c r="V1617">
        <v>10.1</v>
      </c>
      <c r="W1617" s="90">
        <v>0.1</v>
      </c>
      <c r="AG1617" s="91">
        <v>0</v>
      </c>
      <c r="AK1617" s="71">
        <v>0.15</v>
      </c>
      <c r="AL1617" s="88">
        <v>3.3741665637606E-2</v>
      </c>
      <c r="AM1617" s="89">
        <f t="shared" si="25"/>
        <v>0.22494443758404001</v>
      </c>
    </row>
    <row r="1618" spans="1:39" x14ac:dyDescent="0.25">
      <c r="A1618" t="s">
        <v>44</v>
      </c>
      <c r="B1618" t="s">
        <v>52</v>
      </c>
      <c r="C1618" s="121" t="s">
        <v>174</v>
      </c>
      <c r="D1618" t="s">
        <v>209</v>
      </c>
      <c r="E1618" t="s">
        <v>61</v>
      </c>
      <c r="F1618">
        <v>2</v>
      </c>
      <c r="G1618">
        <v>28</v>
      </c>
      <c r="H1618" s="86">
        <v>45969.5663864815</v>
      </c>
      <c r="I1618" s="86">
        <v>45969.671886411998</v>
      </c>
      <c r="J1618" s="87">
        <v>2.53199833333333</v>
      </c>
      <c r="K1618" s="69" t="s">
        <v>274</v>
      </c>
      <c r="P1618" s="71" t="s">
        <v>275</v>
      </c>
      <c r="Q1618" s="88">
        <v>9.0927120531803501E-3</v>
      </c>
      <c r="R1618" s="89" t="s">
        <v>276</v>
      </c>
      <c r="T1618">
        <v>8.6</v>
      </c>
      <c r="U1618" s="76">
        <v>0.2</v>
      </c>
      <c r="V1618">
        <v>10.199999999999999</v>
      </c>
      <c r="W1618" s="90">
        <v>0.1</v>
      </c>
      <c r="AG1618" s="91">
        <v>0</v>
      </c>
      <c r="AK1618" s="71">
        <v>0.15</v>
      </c>
      <c r="AL1618" s="88">
        <v>3.3741665637606E-2</v>
      </c>
      <c r="AM1618" s="89">
        <f t="shared" si="25"/>
        <v>0.22494443758404001</v>
      </c>
    </row>
    <row r="1619" spans="1:39" x14ac:dyDescent="0.25">
      <c r="A1619" t="s">
        <v>44</v>
      </c>
      <c r="B1619" t="s">
        <v>52</v>
      </c>
      <c r="C1619" s="121" t="s">
        <v>174</v>
      </c>
      <c r="D1619" t="s">
        <v>209</v>
      </c>
      <c r="E1619" t="s">
        <v>61</v>
      </c>
      <c r="F1619">
        <v>2</v>
      </c>
      <c r="G1619">
        <v>29</v>
      </c>
      <c r="H1619" s="86">
        <v>45969.671886411998</v>
      </c>
      <c r="I1619" s="86">
        <v>45969.777389317103</v>
      </c>
      <c r="J1619" s="87">
        <v>2.5320697222222202</v>
      </c>
      <c r="K1619" s="69" t="s">
        <v>274</v>
      </c>
      <c r="P1619" s="71" t="s">
        <v>275</v>
      </c>
      <c r="Q1619" s="88">
        <v>7.7021439120094799E-3</v>
      </c>
      <c r="R1619" s="89" t="s">
        <v>276</v>
      </c>
      <c r="T1619">
        <v>8.1999999999999993</v>
      </c>
      <c r="U1619" s="76">
        <v>0.2</v>
      </c>
      <c r="V1619">
        <v>10.199999999999999</v>
      </c>
      <c r="W1619" s="90">
        <v>0.1</v>
      </c>
      <c r="AG1619" s="91">
        <v>0</v>
      </c>
      <c r="AK1619" s="71">
        <v>0.15</v>
      </c>
      <c r="AL1619" s="88">
        <v>3.3741665637606E-2</v>
      </c>
      <c r="AM1619" s="89">
        <f t="shared" si="25"/>
        <v>0.22494443758404001</v>
      </c>
    </row>
    <row r="1620" spans="1:39" x14ac:dyDescent="0.25">
      <c r="A1620" t="s">
        <v>44</v>
      </c>
      <c r="B1620" t="s">
        <v>52</v>
      </c>
      <c r="C1620" s="121" t="s">
        <v>174</v>
      </c>
      <c r="D1620" t="s">
        <v>209</v>
      </c>
      <c r="E1620" t="s">
        <v>61</v>
      </c>
      <c r="F1620">
        <v>2</v>
      </c>
      <c r="G1620">
        <v>30</v>
      </c>
      <c r="H1620" s="86">
        <v>45969.777389317103</v>
      </c>
      <c r="I1620" s="86">
        <v>45969.882895694398</v>
      </c>
      <c r="J1620" s="87">
        <v>2.5321530555555598</v>
      </c>
      <c r="K1620" s="69" t="s">
        <v>274</v>
      </c>
      <c r="P1620" s="71" t="s">
        <v>275</v>
      </c>
      <c r="Q1620" s="88">
        <v>6.8379495861937501E-3</v>
      </c>
      <c r="R1620" s="89" t="s">
        <v>276</v>
      </c>
      <c r="T1620">
        <v>7.9</v>
      </c>
      <c r="U1620" s="76">
        <v>0.2</v>
      </c>
      <c r="V1620">
        <v>10.199999999999999</v>
      </c>
      <c r="W1620" s="90">
        <v>0.1</v>
      </c>
      <c r="AG1620" s="91">
        <v>0</v>
      </c>
      <c r="AK1620" s="71">
        <v>0.15</v>
      </c>
      <c r="AL1620" s="88">
        <v>3.3741665637606E-2</v>
      </c>
      <c r="AM1620" s="89">
        <f t="shared" si="25"/>
        <v>0.22494443758404001</v>
      </c>
    </row>
    <row r="1621" spans="1:39" x14ac:dyDescent="0.25">
      <c r="A1621" t="s">
        <v>44</v>
      </c>
      <c r="B1621" t="s">
        <v>52</v>
      </c>
      <c r="C1621" s="121" t="s">
        <v>174</v>
      </c>
      <c r="D1621" t="s">
        <v>209</v>
      </c>
      <c r="E1621" t="s">
        <v>61</v>
      </c>
      <c r="F1621">
        <v>2</v>
      </c>
      <c r="G1621">
        <v>31</v>
      </c>
      <c r="H1621" s="86">
        <v>45969.882895694398</v>
      </c>
      <c r="I1621" s="86">
        <v>45969.988392152802</v>
      </c>
      <c r="J1621" s="87">
        <v>2.5319150000000001</v>
      </c>
      <c r="K1621" s="69" t="s">
        <v>274</v>
      </c>
      <c r="P1621" s="71" t="s">
        <v>275</v>
      </c>
      <c r="Q1621" s="88">
        <v>7.8765743305342605E-3</v>
      </c>
      <c r="R1621" s="89" t="s">
        <v>276</v>
      </c>
      <c r="T1621">
        <v>7.8</v>
      </c>
      <c r="U1621" s="76">
        <v>0.2</v>
      </c>
      <c r="V1621">
        <v>10.199999999999999</v>
      </c>
      <c r="W1621" s="90">
        <v>0.1</v>
      </c>
      <c r="AG1621" s="91">
        <v>0</v>
      </c>
      <c r="AK1621" s="71">
        <v>0.15</v>
      </c>
      <c r="AL1621" s="88">
        <v>3.3741665637606E-2</v>
      </c>
      <c r="AM1621" s="89">
        <f t="shared" si="25"/>
        <v>0.22494443758404001</v>
      </c>
    </row>
    <row r="1622" spans="1:39" x14ac:dyDescent="0.25">
      <c r="A1622" t="s">
        <v>44</v>
      </c>
      <c r="B1622" t="s">
        <v>52</v>
      </c>
      <c r="C1622" s="121" t="s">
        <v>174</v>
      </c>
      <c r="D1622" t="s">
        <v>209</v>
      </c>
      <c r="E1622" t="s">
        <v>61</v>
      </c>
      <c r="F1622">
        <v>2</v>
      </c>
      <c r="G1622">
        <v>32</v>
      </c>
      <c r="H1622" s="86">
        <v>45969.988392152802</v>
      </c>
      <c r="I1622" s="86">
        <v>45970.093894756901</v>
      </c>
      <c r="J1622" s="87">
        <v>2.5320624999999999</v>
      </c>
      <c r="K1622" s="69" t="s">
        <v>274</v>
      </c>
      <c r="P1622" s="71" t="s">
        <v>275</v>
      </c>
      <c r="Q1622" s="88">
        <v>7.3771277338516798E-3</v>
      </c>
      <c r="R1622" s="89" t="s">
        <v>276</v>
      </c>
      <c r="T1622">
        <v>7.5</v>
      </c>
      <c r="U1622" s="76">
        <v>0.2</v>
      </c>
      <c r="V1622">
        <v>10.1</v>
      </c>
      <c r="W1622" s="90">
        <v>0.1</v>
      </c>
      <c r="AG1622" s="91">
        <v>0</v>
      </c>
      <c r="AK1622" s="71">
        <v>0.15</v>
      </c>
      <c r="AL1622" s="88">
        <v>3.3741665637606E-2</v>
      </c>
      <c r="AM1622" s="89">
        <f t="shared" si="25"/>
        <v>0.22494443758404001</v>
      </c>
    </row>
    <row r="1623" spans="1:39" x14ac:dyDescent="0.25">
      <c r="A1623" t="s">
        <v>44</v>
      </c>
      <c r="B1623" t="s">
        <v>52</v>
      </c>
      <c r="C1623" s="121" t="s">
        <v>174</v>
      </c>
      <c r="D1623" t="s">
        <v>209</v>
      </c>
      <c r="E1623" t="s">
        <v>61</v>
      </c>
      <c r="F1623">
        <v>2</v>
      </c>
      <c r="G1623">
        <v>33</v>
      </c>
      <c r="H1623" s="86">
        <v>45970.093894756901</v>
      </c>
      <c r="I1623" s="86">
        <v>45970.199395520802</v>
      </c>
      <c r="J1623" s="87">
        <v>2.5320183333333302</v>
      </c>
      <c r="K1623" s="69" t="s">
        <v>274</v>
      </c>
      <c r="P1623" s="71" t="s">
        <v>275</v>
      </c>
      <c r="Q1623" s="88">
        <v>6.9512359998101696E-3</v>
      </c>
      <c r="R1623" s="89" t="s">
        <v>276</v>
      </c>
      <c r="T1623">
        <v>7.2</v>
      </c>
      <c r="U1623" s="76">
        <v>0.2</v>
      </c>
      <c r="V1623">
        <v>10.1</v>
      </c>
      <c r="W1623" s="90">
        <v>0.1</v>
      </c>
      <c r="AG1623" s="91">
        <v>0.1</v>
      </c>
      <c r="AK1623" s="71">
        <v>0.15</v>
      </c>
      <c r="AL1623" s="88">
        <v>3.3741665637606E-2</v>
      </c>
      <c r="AM1623" s="89">
        <f t="shared" si="25"/>
        <v>0.22494443758404001</v>
      </c>
    </row>
    <row r="1624" spans="1:39" x14ac:dyDescent="0.25">
      <c r="A1624" t="s">
        <v>44</v>
      </c>
      <c r="B1624" t="s">
        <v>52</v>
      </c>
      <c r="C1624" s="121" t="s">
        <v>174</v>
      </c>
      <c r="D1624" t="s">
        <v>209</v>
      </c>
      <c r="E1624" t="s">
        <v>61</v>
      </c>
      <c r="F1624">
        <v>2</v>
      </c>
      <c r="G1624">
        <v>34</v>
      </c>
      <c r="H1624" s="86">
        <v>45970.199395520802</v>
      </c>
      <c r="I1624" s="86">
        <v>45970.304890729203</v>
      </c>
      <c r="J1624" s="87">
        <v>2.5318849999999999</v>
      </c>
      <c r="K1624" s="69" t="s">
        <v>274</v>
      </c>
      <c r="P1624" s="71" t="s">
        <v>275</v>
      </c>
      <c r="Q1624" s="88">
        <v>6.78846802599663E-3</v>
      </c>
      <c r="R1624" s="89" t="s">
        <v>276</v>
      </c>
      <c r="T1624">
        <v>6.9</v>
      </c>
      <c r="U1624" s="76">
        <v>0.2</v>
      </c>
      <c r="V1624">
        <v>10.1</v>
      </c>
      <c r="W1624" s="90">
        <v>0.1</v>
      </c>
      <c r="AG1624" s="91">
        <v>0</v>
      </c>
      <c r="AK1624" s="71">
        <v>0.15</v>
      </c>
      <c r="AL1624" s="88">
        <v>3.3741665637606E-2</v>
      </c>
      <c r="AM1624" s="89">
        <f t="shared" si="25"/>
        <v>0.22494443758404001</v>
      </c>
    </row>
    <row r="1625" spans="1:39" x14ac:dyDescent="0.25">
      <c r="A1625" t="s">
        <v>44</v>
      </c>
      <c r="B1625" t="s">
        <v>52</v>
      </c>
      <c r="C1625" s="121" t="s">
        <v>174</v>
      </c>
      <c r="D1625" t="s">
        <v>209</v>
      </c>
      <c r="E1625" t="s">
        <v>61</v>
      </c>
      <c r="F1625">
        <v>2</v>
      </c>
      <c r="G1625">
        <v>35</v>
      </c>
      <c r="H1625" s="86">
        <v>45970.304890729203</v>
      </c>
      <c r="I1625" s="86">
        <v>45970.410398796303</v>
      </c>
      <c r="J1625" s="87">
        <v>2.5321936111111101</v>
      </c>
      <c r="K1625" s="69" t="s">
        <v>274</v>
      </c>
      <c r="P1625" s="71" t="s">
        <v>275</v>
      </c>
      <c r="Q1625" s="88">
        <v>6.8999655536734301E-3</v>
      </c>
      <c r="R1625" s="89" t="s">
        <v>276</v>
      </c>
      <c r="T1625">
        <v>6.8</v>
      </c>
      <c r="U1625" s="76">
        <v>0.2</v>
      </c>
      <c r="V1625">
        <v>10</v>
      </c>
      <c r="W1625" s="90">
        <v>0.1</v>
      </c>
      <c r="AG1625" s="91">
        <v>0</v>
      </c>
      <c r="AK1625" s="71">
        <v>0.15</v>
      </c>
      <c r="AL1625" s="88">
        <v>3.3741665637606E-2</v>
      </c>
      <c r="AM1625" s="89">
        <f t="shared" si="25"/>
        <v>0.22494443758404001</v>
      </c>
    </row>
    <row r="1626" spans="1:39" x14ac:dyDescent="0.25">
      <c r="A1626" t="s">
        <v>44</v>
      </c>
      <c r="B1626" t="s">
        <v>52</v>
      </c>
      <c r="C1626" s="121" t="s">
        <v>174</v>
      </c>
      <c r="D1626" t="s">
        <v>209</v>
      </c>
      <c r="E1626" t="s">
        <v>61</v>
      </c>
      <c r="F1626">
        <v>2</v>
      </c>
      <c r="G1626">
        <v>36</v>
      </c>
      <c r="H1626" s="86">
        <v>45970.410398796303</v>
      </c>
      <c r="I1626" s="86">
        <v>45970.515894965298</v>
      </c>
      <c r="J1626" s="87">
        <v>2.5319080555555602</v>
      </c>
      <c r="K1626" s="69" t="s">
        <v>274</v>
      </c>
      <c r="P1626" s="71" t="s">
        <v>275</v>
      </c>
      <c r="Q1626" s="88">
        <v>8.0984464364217204E-3</v>
      </c>
      <c r="R1626" s="89" t="s">
        <v>276</v>
      </c>
      <c r="T1626">
        <v>7.2</v>
      </c>
      <c r="U1626" s="76">
        <v>0.2</v>
      </c>
      <c r="V1626">
        <v>10</v>
      </c>
      <c r="W1626" s="90">
        <v>0.1</v>
      </c>
      <c r="AG1626" s="91">
        <v>0</v>
      </c>
      <c r="AK1626" s="71">
        <v>0.15</v>
      </c>
      <c r="AL1626" s="88">
        <v>3.3741665637606E-2</v>
      </c>
      <c r="AM1626" s="89">
        <f t="shared" si="25"/>
        <v>0.22494443758404001</v>
      </c>
    </row>
    <row r="1627" spans="1:39" x14ac:dyDescent="0.25">
      <c r="A1627" t="s">
        <v>44</v>
      </c>
      <c r="B1627" t="s">
        <v>52</v>
      </c>
      <c r="C1627" s="121" t="s">
        <v>174</v>
      </c>
      <c r="D1627" t="s">
        <v>209</v>
      </c>
      <c r="E1627" t="s">
        <v>61</v>
      </c>
      <c r="F1627">
        <v>2</v>
      </c>
      <c r="G1627">
        <v>37</v>
      </c>
      <c r="H1627" s="86">
        <v>45970.515894965298</v>
      </c>
      <c r="I1627" s="86">
        <v>45970.621398588002</v>
      </c>
      <c r="J1627" s="87">
        <v>2.53208694444444</v>
      </c>
      <c r="K1627" s="69" t="s">
        <v>274</v>
      </c>
      <c r="P1627" s="71" t="s">
        <v>275</v>
      </c>
      <c r="Q1627" s="88">
        <v>1.3041980436291499E-2</v>
      </c>
      <c r="R1627" s="89" t="s">
        <v>276</v>
      </c>
      <c r="T1627">
        <v>7.7</v>
      </c>
      <c r="U1627" s="76">
        <v>0.2</v>
      </c>
      <c r="V1627">
        <v>10</v>
      </c>
      <c r="W1627" s="90">
        <v>0.1</v>
      </c>
      <c r="AG1627" s="91">
        <v>0</v>
      </c>
      <c r="AK1627" s="71">
        <v>0.15</v>
      </c>
      <c r="AL1627" s="88">
        <v>3.3741665637606E-2</v>
      </c>
      <c r="AM1627" s="89">
        <f t="shared" si="25"/>
        <v>0.22494443758404001</v>
      </c>
    </row>
    <row r="1628" spans="1:39" x14ac:dyDescent="0.25">
      <c r="A1628" t="s">
        <v>44</v>
      </c>
      <c r="B1628" t="s">
        <v>52</v>
      </c>
      <c r="C1628" s="121" t="s">
        <v>174</v>
      </c>
      <c r="D1628" t="s">
        <v>209</v>
      </c>
      <c r="E1628" t="s">
        <v>61</v>
      </c>
      <c r="F1628">
        <v>2</v>
      </c>
      <c r="G1628">
        <v>38</v>
      </c>
      <c r="H1628" s="86">
        <v>45970.621398588002</v>
      </c>
      <c r="I1628" s="86">
        <v>45970.726893298597</v>
      </c>
      <c r="J1628" s="87">
        <v>2.5318730555555602</v>
      </c>
      <c r="K1628" s="69" t="s">
        <v>274</v>
      </c>
      <c r="P1628" s="71" t="s">
        <v>275</v>
      </c>
      <c r="Q1628" s="88">
        <v>9.5286416625107208E-3</v>
      </c>
      <c r="R1628" s="89" t="s">
        <v>276</v>
      </c>
      <c r="T1628">
        <v>7.3</v>
      </c>
      <c r="U1628" s="76">
        <v>0.2</v>
      </c>
      <c r="V1628">
        <v>10.1</v>
      </c>
      <c r="W1628" s="90">
        <v>0.1</v>
      </c>
      <c r="AG1628" s="91">
        <v>0</v>
      </c>
      <c r="AK1628" s="71">
        <v>0.15</v>
      </c>
      <c r="AL1628" s="88">
        <v>3.3741665637606E-2</v>
      </c>
      <c r="AM1628" s="89">
        <f t="shared" si="25"/>
        <v>0.22494443758404001</v>
      </c>
    </row>
    <row r="1629" spans="1:39" x14ac:dyDescent="0.25">
      <c r="A1629" t="s">
        <v>44</v>
      </c>
      <c r="B1629" t="s">
        <v>52</v>
      </c>
      <c r="C1629" s="121" t="s">
        <v>174</v>
      </c>
      <c r="D1629" t="s">
        <v>209</v>
      </c>
      <c r="E1629" t="s">
        <v>61</v>
      </c>
      <c r="F1629">
        <v>2</v>
      </c>
      <c r="G1629">
        <v>39</v>
      </c>
      <c r="H1629" s="86">
        <v>45970.726893298597</v>
      </c>
      <c r="I1629" s="86">
        <v>45970.8324044213</v>
      </c>
      <c r="J1629" s="87">
        <v>2.5322669444444399</v>
      </c>
      <c r="K1629" s="69" t="s">
        <v>274</v>
      </c>
      <c r="P1629" s="71" t="s">
        <v>275</v>
      </c>
      <c r="Q1629" s="88">
        <v>6.80960811494917E-3</v>
      </c>
      <c r="R1629" s="89" t="s">
        <v>276</v>
      </c>
      <c r="T1629">
        <v>6.7</v>
      </c>
      <c r="U1629" s="76">
        <v>0.2</v>
      </c>
      <c r="V1629">
        <v>10.1</v>
      </c>
      <c r="W1629" s="90">
        <v>0.1</v>
      </c>
      <c r="AG1629" s="91">
        <v>0</v>
      </c>
      <c r="AK1629" s="71">
        <v>0.15</v>
      </c>
      <c r="AL1629" s="88">
        <v>3.3741665637606E-2</v>
      </c>
      <c r="AM1629" s="89">
        <f t="shared" si="25"/>
        <v>0.22494443758404001</v>
      </c>
    </row>
    <row r="1630" spans="1:39" x14ac:dyDescent="0.25">
      <c r="A1630" t="s">
        <v>44</v>
      </c>
      <c r="B1630" t="s">
        <v>52</v>
      </c>
      <c r="C1630" s="121" t="s">
        <v>174</v>
      </c>
      <c r="D1630" t="s">
        <v>209</v>
      </c>
      <c r="E1630" t="s">
        <v>61</v>
      </c>
      <c r="F1630">
        <v>2</v>
      </c>
      <c r="G1630">
        <v>40</v>
      </c>
      <c r="H1630" s="86">
        <v>45970.8324044213</v>
      </c>
      <c r="I1630" s="86">
        <v>45970.9379116782</v>
      </c>
      <c r="J1630" s="87">
        <v>2.5321741666666702</v>
      </c>
      <c r="K1630" s="69" t="s">
        <v>274</v>
      </c>
      <c r="P1630" s="71" t="s">
        <v>275</v>
      </c>
      <c r="Q1630" s="88">
        <v>5.6549603078504098E-3</v>
      </c>
      <c r="R1630" s="89" t="s">
        <v>276</v>
      </c>
      <c r="T1630">
        <v>6.2</v>
      </c>
      <c r="U1630" s="76">
        <v>0.2</v>
      </c>
      <c r="V1630">
        <v>10</v>
      </c>
      <c r="W1630" s="90">
        <v>0.1</v>
      </c>
      <c r="AG1630" s="91">
        <v>0</v>
      </c>
      <c r="AK1630" s="71">
        <v>0.15</v>
      </c>
      <c r="AL1630" s="88">
        <v>3.3741665637606E-2</v>
      </c>
      <c r="AM1630" s="89">
        <f t="shared" si="25"/>
        <v>0.22494443758404001</v>
      </c>
    </row>
    <row r="1631" spans="1:39" x14ac:dyDescent="0.25">
      <c r="A1631" t="s">
        <v>44</v>
      </c>
      <c r="B1631" t="s">
        <v>52</v>
      </c>
      <c r="C1631" s="121" t="s">
        <v>174</v>
      </c>
      <c r="D1631" t="s">
        <v>209</v>
      </c>
      <c r="E1631" t="s">
        <v>61</v>
      </c>
      <c r="F1631">
        <v>2</v>
      </c>
      <c r="G1631">
        <v>41</v>
      </c>
      <c r="H1631" s="86">
        <v>45970.9379116782</v>
      </c>
      <c r="I1631" s="86">
        <v>45971.043413402796</v>
      </c>
      <c r="J1631" s="87">
        <v>2.53204138888889</v>
      </c>
      <c r="K1631" s="69" t="s">
        <v>274</v>
      </c>
      <c r="P1631" s="71" t="s">
        <v>275</v>
      </c>
      <c r="Q1631" s="88">
        <v>5.92107711639235E-3</v>
      </c>
      <c r="R1631" s="89" t="s">
        <v>276</v>
      </c>
      <c r="T1631">
        <v>5.0999999999999996</v>
      </c>
      <c r="U1631" s="76">
        <v>0.2</v>
      </c>
      <c r="V1631">
        <v>9.9</v>
      </c>
      <c r="W1631" s="90">
        <v>0.1</v>
      </c>
      <c r="AG1631" s="91">
        <v>0</v>
      </c>
      <c r="AK1631" s="71">
        <v>0.15</v>
      </c>
      <c r="AL1631" s="88">
        <v>3.3741665637606E-2</v>
      </c>
      <c r="AM1631" s="89">
        <f t="shared" si="25"/>
        <v>0.22494443758404001</v>
      </c>
    </row>
    <row r="1632" spans="1:39" x14ac:dyDescent="0.25">
      <c r="A1632" t="s">
        <v>44</v>
      </c>
      <c r="B1632" t="s">
        <v>52</v>
      </c>
      <c r="C1632" s="121" t="s">
        <v>174</v>
      </c>
      <c r="D1632" t="s">
        <v>209</v>
      </c>
      <c r="E1632" t="s">
        <v>61</v>
      </c>
      <c r="F1632">
        <v>2</v>
      </c>
      <c r="G1632">
        <v>42</v>
      </c>
      <c r="H1632" s="86">
        <v>45971.043413402796</v>
      </c>
      <c r="I1632" s="86">
        <v>45971.1489185764</v>
      </c>
      <c r="J1632" s="87">
        <v>2.5321241666666698</v>
      </c>
      <c r="K1632" s="69" t="s">
        <v>274</v>
      </c>
      <c r="P1632" s="71" t="s">
        <v>275</v>
      </c>
      <c r="Q1632" s="88">
        <v>5.76842046852067E-3</v>
      </c>
      <c r="R1632" s="89" t="s">
        <v>276</v>
      </c>
      <c r="T1632">
        <v>6.1</v>
      </c>
      <c r="U1632" s="76">
        <v>0.2</v>
      </c>
      <c r="V1632">
        <v>9.8000000000000007</v>
      </c>
      <c r="W1632" s="90">
        <v>0.1</v>
      </c>
      <c r="AG1632" s="91">
        <v>0</v>
      </c>
      <c r="AK1632" s="71">
        <v>0.15</v>
      </c>
      <c r="AL1632" s="88">
        <v>3.3741665637606E-2</v>
      </c>
      <c r="AM1632" s="89">
        <f t="shared" si="25"/>
        <v>0.22494443758404001</v>
      </c>
    </row>
    <row r="1633" spans="1:39" x14ac:dyDescent="0.25">
      <c r="A1633" t="s">
        <v>44</v>
      </c>
      <c r="B1633" t="s">
        <v>52</v>
      </c>
      <c r="C1633" s="121" t="s">
        <v>174</v>
      </c>
      <c r="D1633" t="s">
        <v>209</v>
      </c>
      <c r="E1633" t="s">
        <v>61</v>
      </c>
      <c r="F1633">
        <v>2</v>
      </c>
      <c r="G1633">
        <v>43</v>
      </c>
      <c r="H1633" s="86">
        <v>45971.1489185764</v>
      </c>
      <c r="I1633" s="86">
        <v>45971.254420613397</v>
      </c>
      <c r="J1633" s="87">
        <v>2.5320488888888901</v>
      </c>
      <c r="K1633" s="69" t="s">
        <v>274</v>
      </c>
      <c r="P1633" s="71" t="s">
        <v>275</v>
      </c>
      <c r="Q1633" s="88">
        <v>6.5770456403926704E-3</v>
      </c>
      <c r="R1633" s="89" t="s">
        <v>276</v>
      </c>
      <c r="T1633">
        <v>5.6</v>
      </c>
      <c r="U1633" s="76">
        <v>0.2</v>
      </c>
      <c r="V1633">
        <v>9.6999999999999993</v>
      </c>
      <c r="W1633" s="90">
        <v>0.1</v>
      </c>
      <c r="AG1633" s="91">
        <v>0</v>
      </c>
      <c r="AK1633" s="71">
        <v>0.15</v>
      </c>
      <c r="AL1633" s="88">
        <v>3.3741665637606E-2</v>
      </c>
      <c r="AM1633" s="89">
        <f t="shared" si="25"/>
        <v>0.22494443758404001</v>
      </c>
    </row>
    <row r="1634" spans="1:39" x14ac:dyDescent="0.25">
      <c r="A1634" t="s">
        <v>44</v>
      </c>
      <c r="B1634" t="s">
        <v>52</v>
      </c>
      <c r="C1634" s="121" t="s">
        <v>174</v>
      </c>
      <c r="D1634" t="s">
        <v>209</v>
      </c>
      <c r="E1634" t="s">
        <v>61</v>
      </c>
      <c r="F1634">
        <v>2</v>
      </c>
      <c r="G1634">
        <v>44</v>
      </c>
      <c r="H1634" s="86">
        <v>45971.254420613397</v>
      </c>
      <c r="I1634" s="86">
        <v>45971.359919062503</v>
      </c>
      <c r="J1634" s="87">
        <v>2.53196277777778</v>
      </c>
      <c r="K1634" s="69" t="s">
        <v>274</v>
      </c>
      <c r="P1634" s="71" t="s">
        <v>275</v>
      </c>
      <c r="Q1634" s="88">
        <v>4.2382803230722101E-3</v>
      </c>
      <c r="R1634" s="89" t="s">
        <v>276</v>
      </c>
      <c r="T1634">
        <v>5.5</v>
      </c>
      <c r="U1634" s="76">
        <v>0.2</v>
      </c>
      <c r="V1634">
        <v>9.6</v>
      </c>
      <c r="W1634" s="90">
        <v>0.1</v>
      </c>
      <c r="AG1634" s="91">
        <v>0</v>
      </c>
      <c r="AK1634" s="71">
        <v>0.15</v>
      </c>
      <c r="AL1634" s="88">
        <v>3.3741665637606E-2</v>
      </c>
      <c r="AM1634" s="89">
        <f t="shared" si="25"/>
        <v>0.22494443758404001</v>
      </c>
    </row>
    <row r="1635" spans="1:39" x14ac:dyDescent="0.25">
      <c r="A1635" t="s">
        <v>44</v>
      </c>
      <c r="B1635" t="s">
        <v>52</v>
      </c>
      <c r="C1635" s="121" t="s">
        <v>174</v>
      </c>
      <c r="D1635" t="s">
        <v>209</v>
      </c>
      <c r="E1635" t="s">
        <v>61</v>
      </c>
      <c r="F1635">
        <v>2</v>
      </c>
      <c r="G1635">
        <v>45</v>
      </c>
      <c r="H1635" s="86">
        <v>45971.359919062503</v>
      </c>
      <c r="I1635" s="86">
        <v>45971.465427777803</v>
      </c>
      <c r="J1635" s="87">
        <v>2.5322091666666702</v>
      </c>
      <c r="K1635" s="69" t="s">
        <v>274</v>
      </c>
      <c r="P1635" s="71" t="s">
        <v>275</v>
      </c>
      <c r="Q1635" s="88">
        <v>5.3039165705063103E-3</v>
      </c>
      <c r="R1635" s="89" t="s">
        <v>276</v>
      </c>
      <c r="T1635">
        <v>5.7</v>
      </c>
      <c r="U1635" s="76">
        <v>0.2</v>
      </c>
      <c r="V1635">
        <v>9.5</v>
      </c>
      <c r="W1635" s="90">
        <v>0.1</v>
      </c>
      <c r="AG1635" s="91">
        <v>0</v>
      </c>
      <c r="AK1635" s="71">
        <v>0.15</v>
      </c>
      <c r="AL1635" s="88">
        <v>3.3741665637606E-2</v>
      </c>
      <c r="AM1635" s="89">
        <f t="shared" si="25"/>
        <v>0.22494443758404001</v>
      </c>
    </row>
    <row r="1636" spans="1:39" x14ac:dyDescent="0.25">
      <c r="A1636" t="s">
        <v>44</v>
      </c>
      <c r="B1636" t="s">
        <v>52</v>
      </c>
      <c r="C1636" s="121" t="s">
        <v>174</v>
      </c>
      <c r="D1636" t="s">
        <v>209</v>
      </c>
      <c r="E1636" t="s">
        <v>61</v>
      </c>
      <c r="F1636">
        <v>2</v>
      </c>
      <c r="G1636">
        <v>46</v>
      </c>
      <c r="H1636" s="86">
        <v>45971.465427777803</v>
      </c>
      <c r="I1636" s="86">
        <v>45971.5709198611</v>
      </c>
      <c r="J1636" s="87">
        <v>2.5318100000000001</v>
      </c>
      <c r="K1636" s="69" t="s">
        <v>274</v>
      </c>
      <c r="P1636" s="71" t="s">
        <v>275</v>
      </c>
      <c r="Q1636" s="88">
        <v>8.8897893745332E-3</v>
      </c>
      <c r="R1636" s="89" t="s">
        <v>276</v>
      </c>
      <c r="T1636">
        <v>8.1</v>
      </c>
      <c r="U1636" s="76">
        <v>0.2</v>
      </c>
      <c r="V1636">
        <v>9.5</v>
      </c>
      <c r="W1636" s="90">
        <v>0.1</v>
      </c>
      <c r="AG1636" s="91">
        <v>0</v>
      </c>
      <c r="AK1636" s="71">
        <v>0.15</v>
      </c>
      <c r="AL1636" s="88">
        <v>3.3741665637606E-2</v>
      </c>
      <c r="AM1636" s="89">
        <f t="shared" si="25"/>
        <v>0.22494443758404001</v>
      </c>
    </row>
    <row r="1637" spans="1:39" x14ac:dyDescent="0.25">
      <c r="A1637" t="s">
        <v>44</v>
      </c>
      <c r="B1637" t="s">
        <v>52</v>
      </c>
      <c r="C1637" s="121" t="s">
        <v>174</v>
      </c>
      <c r="D1637" t="s">
        <v>209</v>
      </c>
      <c r="E1637" t="s">
        <v>61</v>
      </c>
      <c r="F1637">
        <v>2</v>
      </c>
      <c r="G1637">
        <v>47</v>
      </c>
      <c r="H1637" s="86">
        <v>45971.5709198611</v>
      </c>
      <c r="I1637" s="86">
        <v>45971.6764289005</v>
      </c>
      <c r="J1637" s="87">
        <v>2.53221694444444</v>
      </c>
      <c r="K1637" s="69" t="s">
        <v>274</v>
      </c>
      <c r="P1637" s="71" t="s">
        <v>275</v>
      </c>
      <c r="Q1637" s="88">
        <v>1.8504222167911099E-2</v>
      </c>
      <c r="R1637" s="89" t="s">
        <v>276</v>
      </c>
      <c r="T1637">
        <v>9</v>
      </c>
      <c r="U1637" s="76">
        <v>0.2</v>
      </c>
      <c r="V1637">
        <v>9.6999999999999993</v>
      </c>
      <c r="W1637" s="90">
        <v>0.1</v>
      </c>
      <c r="AG1637" s="91">
        <v>0</v>
      </c>
      <c r="AK1637" s="71">
        <v>0.15</v>
      </c>
      <c r="AL1637" s="88">
        <v>3.3741665637606E-2</v>
      </c>
      <c r="AM1637" s="89">
        <f t="shared" si="25"/>
        <v>0.22494443758404001</v>
      </c>
    </row>
    <row r="1638" spans="1:39" x14ac:dyDescent="0.25">
      <c r="A1638" t="s">
        <v>44</v>
      </c>
      <c r="B1638" t="s">
        <v>52</v>
      </c>
      <c r="C1638" s="121" t="s">
        <v>174</v>
      </c>
      <c r="D1638" t="s">
        <v>209</v>
      </c>
      <c r="E1638" t="s">
        <v>61</v>
      </c>
      <c r="F1638">
        <v>2</v>
      </c>
      <c r="G1638">
        <v>48</v>
      </c>
      <c r="H1638" s="86">
        <v>45971.6764289005</v>
      </c>
      <c r="I1638" s="86">
        <v>45971.781948981501</v>
      </c>
      <c r="J1638" s="87">
        <v>2.5324819444444402</v>
      </c>
      <c r="K1638" s="69" t="s">
        <v>274</v>
      </c>
      <c r="P1638" s="71" t="s">
        <v>275</v>
      </c>
      <c r="Q1638" s="88">
        <v>9.8883490522042698E-3</v>
      </c>
      <c r="R1638" s="89" t="s">
        <v>276</v>
      </c>
      <c r="T1638">
        <v>8</v>
      </c>
      <c r="U1638" s="76">
        <v>0.2</v>
      </c>
      <c r="V1638">
        <v>9.8000000000000007</v>
      </c>
      <c r="W1638" s="90">
        <v>0.1</v>
      </c>
      <c r="AG1638" s="91">
        <v>0</v>
      </c>
      <c r="AK1638" s="71">
        <v>0.15</v>
      </c>
      <c r="AL1638" s="88">
        <v>3.3741665637606E-2</v>
      </c>
      <c r="AM1638" s="89">
        <f t="shared" si="25"/>
        <v>0.22494443758404001</v>
      </c>
    </row>
    <row r="1639" spans="1:39" x14ac:dyDescent="0.25">
      <c r="A1639" t="s">
        <v>44</v>
      </c>
      <c r="B1639" t="s">
        <v>52</v>
      </c>
      <c r="C1639" s="121" t="s">
        <v>174</v>
      </c>
      <c r="D1639" t="s">
        <v>209</v>
      </c>
      <c r="E1639" t="s">
        <v>61</v>
      </c>
      <c r="F1639">
        <v>2</v>
      </c>
      <c r="G1639">
        <v>49</v>
      </c>
      <c r="H1639" s="86">
        <v>45971.781948981501</v>
      </c>
      <c r="I1639" s="86">
        <v>45971.887476608797</v>
      </c>
      <c r="J1639" s="87">
        <v>2.53266305555556</v>
      </c>
      <c r="K1639" s="69" t="s">
        <v>274</v>
      </c>
      <c r="P1639" s="71" t="s">
        <v>275</v>
      </c>
      <c r="Q1639" s="88">
        <v>7.9934792460218205E-3</v>
      </c>
      <c r="R1639" s="89" t="s">
        <v>276</v>
      </c>
      <c r="T1639">
        <v>7.8</v>
      </c>
      <c r="U1639" s="76">
        <v>0.2</v>
      </c>
      <c r="V1639">
        <v>9.8000000000000007</v>
      </c>
      <c r="W1639" s="90">
        <v>0.1</v>
      </c>
      <c r="AG1639" s="91">
        <v>0</v>
      </c>
      <c r="AK1639" s="71">
        <v>0.15</v>
      </c>
      <c r="AL1639" s="88">
        <v>3.3741665637606E-2</v>
      </c>
      <c r="AM1639" s="89">
        <f t="shared" si="25"/>
        <v>0.22494443758404001</v>
      </c>
    </row>
    <row r="1640" spans="1:39" x14ac:dyDescent="0.25">
      <c r="A1640" t="s">
        <v>44</v>
      </c>
      <c r="B1640" t="s">
        <v>52</v>
      </c>
      <c r="C1640" s="121" t="s">
        <v>174</v>
      </c>
      <c r="D1640" t="s">
        <v>209</v>
      </c>
      <c r="E1640" t="s">
        <v>61</v>
      </c>
      <c r="F1640">
        <v>2</v>
      </c>
      <c r="G1640">
        <v>50</v>
      </c>
      <c r="H1640" s="86">
        <v>45971.887476608797</v>
      </c>
      <c r="I1640" s="86">
        <v>45971.992998171299</v>
      </c>
      <c r="J1640" s="87">
        <v>2.5325175</v>
      </c>
      <c r="K1640" s="69" t="s">
        <v>274</v>
      </c>
      <c r="P1640" s="71" t="s">
        <v>275</v>
      </c>
      <c r="Q1640" s="88">
        <v>6.8675049671140199E-3</v>
      </c>
      <c r="R1640" s="89" t="s">
        <v>276</v>
      </c>
      <c r="T1640">
        <v>7.9</v>
      </c>
      <c r="U1640" s="76">
        <v>0.2</v>
      </c>
      <c r="V1640">
        <v>9.8000000000000007</v>
      </c>
      <c r="W1640" s="90">
        <v>0.1</v>
      </c>
      <c r="AG1640" s="91">
        <v>0</v>
      </c>
      <c r="AK1640" s="71">
        <v>0.15</v>
      </c>
      <c r="AL1640" s="88">
        <v>3.3741665637606E-2</v>
      </c>
      <c r="AM1640" s="89">
        <f t="shared" si="25"/>
        <v>0.22494443758404001</v>
      </c>
    </row>
    <row r="1641" spans="1:39" x14ac:dyDescent="0.25">
      <c r="A1641" t="s">
        <v>44</v>
      </c>
      <c r="B1641" t="s">
        <v>52</v>
      </c>
      <c r="C1641" s="121" t="s">
        <v>174</v>
      </c>
      <c r="D1641" t="s">
        <v>209</v>
      </c>
      <c r="E1641" t="s">
        <v>61</v>
      </c>
      <c r="F1641">
        <v>2</v>
      </c>
      <c r="G1641">
        <v>51</v>
      </c>
      <c r="H1641" s="86">
        <v>45971.992998171299</v>
      </c>
      <c r="I1641" s="86">
        <v>45972.098517557897</v>
      </c>
      <c r="J1641" s="87">
        <v>2.5324652777777801</v>
      </c>
      <c r="K1641" s="69" t="s">
        <v>274</v>
      </c>
      <c r="P1641" s="71" t="s">
        <v>275</v>
      </c>
      <c r="Q1641" s="88">
        <v>7.0865232996860702E-3</v>
      </c>
      <c r="R1641" s="89" t="s">
        <v>276</v>
      </c>
      <c r="T1641">
        <v>6.6</v>
      </c>
      <c r="U1641" s="76">
        <v>0.2</v>
      </c>
      <c r="V1641">
        <v>9.6999999999999993</v>
      </c>
      <c r="W1641" s="90">
        <v>0.1</v>
      </c>
      <c r="AG1641" s="91">
        <v>0</v>
      </c>
      <c r="AK1641" s="71">
        <v>0.15</v>
      </c>
      <c r="AL1641" s="88">
        <v>3.3741665637606E-2</v>
      </c>
      <c r="AM1641" s="89">
        <f t="shared" si="25"/>
        <v>0.22494443758404001</v>
      </c>
    </row>
    <row r="1642" spans="1:39" x14ac:dyDescent="0.25">
      <c r="A1642" t="s">
        <v>44</v>
      </c>
      <c r="B1642" t="s">
        <v>52</v>
      </c>
      <c r="C1642" s="121" t="s">
        <v>174</v>
      </c>
      <c r="D1642" t="s">
        <v>209</v>
      </c>
      <c r="E1642" t="s">
        <v>61</v>
      </c>
      <c r="F1642">
        <v>2</v>
      </c>
      <c r="G1642">
        <v>52</v>
      </c>
      <c r="H1642" s="86">
        <v>45972.098517557897</v>
      </c>
      <c r="I1642" s="86">
        <v>45972.204043298603</v>
      </c>
      <c r="J1642" s="87">
        <v>2.5326177777777801</v>
      </c>
      <c r="K1642" s="69" t="s">
        <v>274</v>
      </c>
      <c r="P1642" s="71" t="s">
        <v>275</v>
      </c>
      <c r="Q1642" s="88">
        <v>5.1549346996903004E-3</v>
      </c>
      <c r="R1642" s="89" t="s">
        <v>276</v>
      </c>
      <c r="T1642">
        <v>6.1</v>
      </c>
      <c r="U1642" s="76">
        <v>0.2</v>
      </c>
      <c r="V1642">
        <v>9.6</v>
      </c>
      <c r="W1642" s="90">
        <v>0.1</v>
      </c>
      <c r="AG1642" s="91">
        <v>0</v>
      </c>
      <c r="AK1642" s="71">
        <v>0.15</v>
      </c>
      <c r="AL1642" s="88">
        <v>3.3741665637606E-2</v>
      </c>
      <c r="AM1642" s="89">
        <f t="shared" si="25"/>
        <v>0.22494443758404001</v>
      </c>
    </row>
    <row r="1643" spans="1:39" x14ac:dyDescent="0.25">
      <c r="A1643" t="s">
        <v>44</v>
      </c>
      <c r="B1643" t="s">
        <v>52</v>
      </c>
      <c r="C1643" s="121" t="s">
        <v>174</v>
      </c>
      <c r="D1643" t="s">
        <v>209</v>
      </c>
      <c r="E1643" t="s">
        <v>61</v>
      </c>
      <c r="F1643">
        <v>2</v>
      </c>
      <c r="G1643">
        <v>53</v>
      </c>
      <c r="H1643" s="86">
        <v>45972.204043298603</v>
      </c>
      <c r="I1643" s="86">
        <v>45972.309561828697</v>
      </c>
      <c r="J1643" s="87">
        <v>2.5324447222222202</v>
      </c>
      <c r="K1643" s="69" t="s">
        <v>274</v>
      </c>
      <c r="P1643" s="71" t="s">
        <v>275</v>
      </c>
      <c r="Q1643" s="88">
        <v>3.58595299723627E-3</v>
      </c>
      <c r="R1643" s="89" t="s">
        <v>276</v>
      </c>
      <c r="T1643">
        <v>6.2</v>
      </c>
      <c r="U1643" s="76">
        <v>0.2</v>
      </c>
      <c r="V1643">
        <v>9.4</v>
      </c>
      <c r="W1643" s="90">
        <v>0.1</v>
      </c>
      <c r="AG1643" s="91">
        <v>0</v>
      </c>
      <c r="AK1643" s="71">
        <v>0.15</v>
      </c>
      <c r="AL1643" s="88">
        <v>3.3741665637606E-2</v>
      </c>
      <c r="AM1643" s="89">
        <f t="shared" si="25"/>
        <v>0.22494443758404001</v>
      </c>
    </row>
    <row r="1644" spans="1:39" x14ac:dyDescent="0.25">
      <c r="A1644" t="s">
        <v>44</v>
      </c>
      <c r="B1644" t="s">
        <v>52</v>
      </c>
      <c r="C1644" s="121" t="s">
        <v>174</v>
      </c>
      <c r="D1644" t="s">
        <v>209</v>
      </c>
      <c r="E1644" t="s">
        <v>61</v>
      </c>
      <c r="F1644">
        <v>2</v>
      </c>
      <c r="G1644">
        <v>54</v>
      </c>
      <c r="H1644" s="86">
        <v>45972.309561828697</v>
      </c>
      <c r="I1644" s="86">
        <v>45972.4150966667</v>
      </c>
      <c r="J1644" s="87">
        <v>2.5328361111111102</v>
      </c>
      <c r="K1644" s="69" t="s">
        <v>274</v>
      </c>
      <c r="P1644" s="71" t="s">
        <v>275</v>
      </c>
      <c r="Q1644" s="88">
        <v>7.0024624598915902E-3</v>
      </c>
      <c r="R1644" s="89" t="s">
        <v>276</v>
      </c>
      <c r="T1644">
        <v>6.9</v>
      </c>
      <c r="U1644" s="76">
        <v>0.2</v>
      </c>
      <c r="V1644">
        <v>9.3000000000000007</v>
      </c>
      <c r="W1644" s="90">
        <v>0.1</v>
      </c>
      <c r="AG1644" s="91">
        <v>0</v>
      </c>
      <c r="AK1644" s="71">
        <v>0.15</v>
      </c>
      <c r="AL1644" s="88">
        <v>3.3741665637606E-2</v>
      </c>
      <c r="AM1644" s="89">
        <f t="shared" si="25"/>
        <v>0.22494443758404001</v>
      </c>
    </row>
    <row r="1645" spans="1:39" x14ac:dyDescent="0.25">
      <c r="A1645" t="s">
        <v>44</v>
      </c>
      <c r="B1645" t="s">
        <v>52</v>
      </c>
      <c r="C1645" s="121" t="s">
        <v>174</v>
      </c>
      <c r="D1645" t="s">
        <v>209</v>
      </c>
      <c r="E1645" t="s">
        <v>61</v>
      </c>
      <c r="F1645">
        <v>2</v>
      </c>
      <c r="G1645">
        <v>55</v>
      </c>
      <c r="H1645" s="86">
        <v>45972.4150966667</v>
      </c>
      <c r="I1645" s="86">
        <v>45972.520614710702</v>
      </c>
      <c r="J1645" s="87">
        <v>2.5324330555555599</v>
      </c>
      <c r="K1645" s="69" t="s">
        <v>274</v>
      </c>
      <c r="P1645" s="71" t="s">
        <v>275</v>
      </c>
      <c r="Q1645" s="88">
        <v>8.5614909749052292E-3</v>
      </c>
      <c r="R1645" s="89" t="s">
        <v>276</v>
      </c>
      <c r="T1645">
        <v>7.8</v>
      </c>
      <c r="U1645" s="76">
        <v>0.2</v>
      </c>
      <c r="V1645">
        <v>9.3000000000000007</v>
      </c>
      <c r="W1645" s="90">
        <v>0.1</v>
      </c>
      <c r="AG1645" s="91">
        <v>0</v>
      </c>
      <c r="AK1645" s="71">
        <v>0.15</v>
      </c>
      <c r="AL1645" s="88">
        <v>3.3741665637606E-2</v>
      </c>
      <c r="AM1645" s="89">
        <f t="shared" si="25"/>
        <v>0.22494443758404001</v>
      </c>
    </row>
    <row r="1646" spans="1:39" x14ac:dyDescent="0.25">
      <c r="A1646" t="s">
        <v>44</v>
      </c>
      <c r="B1646" t="s">
        <v>52</v>
      </c>
      <c r="C1646" s="121" t="s">
        <v>174</v>
      </c>
      <c r="D1646" t="s">
        <v>209</v>
      </c>
      <c r="E1646" t="s">
        <v>61</v>
      </c>
      <c r="F1646">
        <v>2</v>
      </c>
      <c r="G1646">
        <v>56</v>
      </c>
      <c r="H1646" s="86">
        <v>45972.520614710702</v>
      </c>
      <c r="I1646" s="86">
        <v>45972.626146249997</v>
      </c>
      <c r="J1646" s="87">
        <v>2.53275694444444</v>
      </c>
      <c r="K1646" s="69" t="s">
        <v>274</v>
      </c>
      <c r="P1646" s="71" t="s">
        <v>275</v>
      </c>
      <c r="Q1646" s="88">
        <v>1.1323323736563E-2</v>
      </c>
      <c r="R1646" s="89" t="s">
        <v>276</v>
      </c>
      <c r="T1646">
        <v>8.5</v>
      </c>
      <c r="U1646" s="76">
        <v>0.2</v>
      </c>
      <c r="V1646">
        <v>9.3000000000000007</v>
      </c>
      <c r="W1646" s="90">
        <v>0.1</v>
      </c>
      <c r="AG1646" s="91">
        <v>0</v>
      </c>
      <c r="AK1646" s="71">
        <v>0.15</v>
      </c>
      <c r="AL1646" s="88">
        <v>3.3741665637606E-2</v>
      </c>
      <c r="AM1646" s="89">
        <f t="shared" si="25"/>
        <v>0.22494443758404001</v>
      </c>
    </row>
    <row r="1647" spans="1:39" x14ac:dyDescent="0.25">
      <c r="A1647" t="s">
        <v>44</v>
      </c>
      <c r="B1647" t="s">
        <v>52</v>
      </c>
      <c r="C1647" s="121" t="s">
        <v>174</v>
      </c>
      <c r="D1647" t="s">
        <v>209</v>
      </c>
      <c r="E1647" t="s">
        <v>61</v>
      </c>
      <c r="F1647">
        <v>2</v>
      </c>
      <c r="G1647">
        <v>57</v>
      </c>
      <c r="H1647" s="86">
        <v>45972.626146249997</v>
      </c>
      <c r="I1647" s="86">
        <v>45972.731667685199</v>
      </c>
      <c r="J1647" s="87">
        <v>2.5325144444444398</v>
      </c>
      <c r="K1647" s="69" t="s">
        <v>274</v>
      </c>
      <c r="P1647" s="71" t="s">
        <v>275</v>
      </c>
      <c r="Q1647" s="88">
        <v>1.27282707285788E-2</v>
      </c>
      <c r="R1647" s="89" t="s">
        <v>276</v>
      </c>
      <c r="T1647">
        <v>9.1999999999999993</v>
      </c>
      <c r="U1647" s="76">
        <v>0.2</v>
      </c>
      <c r="V1647">
        <v>9.4</v>
      </c>
      <c r="W1647" s="90">
        <v>0.1</v>
      </c>
      <c r="AG1647" s="91">
        <v>0</v>
      </c>
      <c r="AK1647" s="71">
        <v>0.15</v>
      </c>
      <c r="AL1647" s="88">
        <v>3.3741665637606E-2</v>
      </c>
      <c r="AM1647" s="89">
        <f t="shared" si="25"/>
        <v>0.22494443758404001</v>
      </c>
    </row>
    <row r="1648" spans="1:39" x14ac:dyDescent="0.25">
      <c r="A1648" t="s">
        <v>44</v>
      </c>
      <c r="B1648" t="s">
        <v>52</v>
      </c>
      <c r="C1648" s="121" t="s">
        <v>174</v>
      </c>
      <c r="D1648" t="s">
        <v>209</v>
      </c>
      <c r="E1648" t="s">
        <v>61</v>
      </c>
      <c r="F1648">
        <v>2</v>
      </c>
      <c r="G1648">
        <v>58</v>
      </c>
      <c r="H1648" s="86">
        <v>45972.731667685199</v>
      </c>
      <c r="I1648" s="86">
        <v>45972.837195601896</v>
      </c>
      <c r="J1648" s="87">
        <v>2.53267</v>
      </c>
      <c r="K1648" s="69" t="s">
        <v>274</v>
      </c>
      <c r="P1648" s="71" t="s">
        <v>275</v>
      </c>
      <c r="Q1648" s="88">
        <v>7.1753415997419696E-3</v>
      </c>
      <c r="R1648" s="89" t="s">
        <v>276</v>
      </c>
      <c r="T1648">
        <v>8</v>
      </c>
      <c r="U1648" s="76">
        <v>0.2</v>
      </c>
      <c r="V1648">
        <v>9.5</v>
      </c>
      <c r="W1648" s="90">
        <v>0.1</v>
      </c>
      <c r="AG1648" s="91">
        <v>0</v>
      </c>
      <c r="AK1648" s="71">
        <v>0.15</v>
      </c>
      <c r="AL1648" s="88">
        <v>3.3741665637606E-2</v>
      </c>
      <c r="AM1648" s="89">
        <f t="shared" si="25"/>
        <v>0.22494443758404001</v>
      </c>
    </row>
    <row r="1649" spans="1:39" x14ac:dyDescent="0.25">
      <c r="A1649" t="s">
        <v>44</v>
      </c>
      <c r="B1649" t="s">
        <v>52</v>
      </c>
      <c r="C1649" s="121" t="s">
        <v>174</v>
      </c>
      <c r="D1649" t="s">
        <v>209</v>
      </c>
      <c r="E1649" t="s">
        <v>61</v>
      </c>
      <c r="F1649">
        <v>2</v>
      </c>
      <c r="G1649">
        <v>59</v>
      </c>
      <c r="H1649" s="86">
        <v>45972.837195601896</v>
      </c>
      <c r="I1649" s="86">
        <v>45972.942716018501</v>
      </c>
      <c r="J1649" s="87">
        <v>2.5324900000000001</v>
      </c>
      <c r="K1649" s="69" t="s">
        <v>274</v>
      </c>
      <c r="P1649" s="71" t="s">
        <v>275</v>
      </c>
      <c r="Q1649" s="88">
        <v>5.7102232521193102E-3</v>
      </c>
      <c r="R1649" s="89" t="s">
        <v>276</v>
      </c>
      <c r="T1649">
        <v>6.6</v>
      </c>
      <c r="U1649" s="76">
        <v>0.2</v>
      </c>
      <c r="V1649">
        <v>9.5</v>
      </c>
      <c r="W1649" s="90">
        <v>0.1</v>
      </c>
      <c r="AG1649" s="91">
        <v>0</v>
      </c>
      <c r="AK1649" s="71">
        <v>0.15</v>
      </c>
      <c r="AL1649" s="88">
        <v>3.3741665637606E-2</v>
      </c>
      <c r="AM1649" s="89">
        <f t="shared" si="25"/>
        <v>0.22494443758404001</v>
      </c>
    </row>
    <row r="1650" spans="1:39" x14ac:dyDescent="0.25">
      <c r="A1650" t="s">
        <v>44</v>
      </c>
      <c r="B1650" t="s">
        <v>52</v>
      </c>
      <c r="C1650" s="121" t="s">
        <v>174</v>
      </c>
      <c r="D1650" t="s">
        <v>209</v>
      </c>
      <c r="E1650" t="s">
        <v>61</v>
      </c>
      <c r="F1650">
        <v>2</v>
      </c>
      <c r="G1650">
        <v>60</v>
      </c>
      <c r="H1650" s="86">
        <v>45972.942716018501</v>
      </c>
      <c r="I1650" s="86">
        <v>45973.048232094901</v>
      </c>
      <c r="J1650" s="87">
        <v>2.53238583333333</v>
      </c>
      <c r="K1650" s="69" t="s">
        <v>274</v>
      </c>
      <c r="P1650" s="71" t="s">
        <v>275</v>
      </c>
      <c r="Q1650" s="88">
        <v>3.5117441848662701E-3</v>
      </c>
      <c r="R1650" s="89" t="s">
        <v>276</v>
      </c>
      <c r="T1650">
        <v>8.6</v>
      </c>
      <c r="U1650" s="76">
        <v>0.2</v>
      </c>
      <c r="V1650">
        <v>9.3000000000000007</v>
      </c>
      <c r="W1650" s="90">
        <v>0.1</v>
      </c>
      <c r="AG1650" s="91">
        <v>0</v>
      </c>
      <c r="AK1650" s="71">
        <v>0.15</v>
      </c>
      <c r="AL1650" s="88">
        <v>3.3741665637606E-2</v>
      </c>
      <c r="AM1650" s="89">
        <f t="shared" si="25"/>
        <v>0.22494443758404001</v>
      </c>
    </row>
    <row r="1651" spans="1:39" x14ac:dyDescent="0.25">
      <c r="A1651" t="s">
        <v>44</v>
      </c>
      <c r="B1651" t="s">
        <v>52</v>
      </c>
      <c r="C1651" s="121" t="s">
        <v>174</v>
      </c>
      <c r="D1651" t="s">
        <v>209</v>
      </c>
      <c r="E1651" t="s">
        <v>61</v>
      </c>
      <c r="F1651">
        <v>2</v>
      </c>
      <c r="G1651">
        <v>61</v>
      </c>
      <c r="H1651" s="86">
        <v>45973.048232094901</v>
      </c>
      <c r="I1651" s="86">
        <v>45973.153756203697</v>
      </c>
      <c r="J1651" s="87">
        <v>2.5325786111111102</v>
      </c>
      <c r="K1651" s="69" t="s">
        <v>274</v>
      </c>
      <c r="P1651" s="71" t="s">
        <v>275</v>
      </c>
      <c r="Q1651" s="88">
        <v>1.0869130869029299E-2</v>
      </c>
      <c r="R1651" s="89" t="s">
        <v>276</v>
      </c>
      <c r="T1651">
        <v>9.5</v>
      </c>
      <c r="U1651" s="76">
        <v>0.2</v>
      </c>
      <c r="V1651">
        <v>9.3000000000000007</v>
      </c>
      <c r="W1651" s="90">
        <v>0.1</v>
      </c>
      <c r="AG1651" s="91">
        <v>0</v>
      </c>
      <c r="AK1651" s="71">
        <v>0.15</v>
      </c>
      <c r="AL1651" s="88">
        <v>3.3741665637606E-2</v>
      </c>
      <c r="AM1651" s="89">
        <f t="shared" si="25"/>
        <v>0.22494443758404001</v>
      </c>
    </row>
    <row r="1652" spans="1:39" x14ac:dyDescent="0.25">
      <c r="A1652" t="s">
        <v>44</v>
      </c>
      <c r="B1652" t="s">
        <v>52</v>
      </c>
      <c r="C1652" s="121" t="s">
        <v>174</v>
      </c>
      <c r="D1652" t="s">
        <v>209</v>
      </c>
      <c r="E1652" t="s">
        <v>61</v>
      </c>
      <c r="F1652">
        <v>2</v>
      </c>
      <c r="G1652">
        <v>62</v>
      </c>
      <c r="H1652" s="86">
        <v>45973.153756203697</v>
      </c>
      <c r="I1652" s="86">
        <v>45973.259285138898</v>
      </c>
      <c r="J1652" s="87">
        <v>2.5326944444444499</v>
      </c>
      <c r="K1652" s="69" t="s">
        <v>274</v>
      </c>
      <c r="P1652" s="71" t="s">
        <v>275</v>
      </c>
      <c r="Q1652" s="88">
        <v>1.6531961629427001E-2</v>
      </c>
      <c r="R1652" s="89" t="s">
        <v>276</v>
      </c>
      <c r="T1652">
        <v>9.1999999999999993</v>
      </c>
      <c r="U1652" s="76">
        <v>0.2</v>
      </c>
      <c r="V1652">
        <v>9.4</v>
      </c>
      <c r="W1652" s="90">
        <v>0.1</v>
      </c>
      <c r="AG1652" s="91">
        <v>0</v>
      </c>
      <c r="AK1652" s="71">
        <v>0.15</v>
      </c>
      <c r="AL1652" s="88">
        <v>3.3741665637606E-2</v>
      </c>
      <c r="AM1652" s="89">
        <f t="shared" si="25"/>
        <v>0.22494443758404001</v>
      </c>
    </row>
    <row r="1653" spans="1:39" x14ac:dyDescent="0.25">
      <c r="A1653" t="s">
        <v>44</v>
      </c>
      <c r="B1653" t="s">
        <v>52</v>
      </c>
      <c r="C1653" s="121" t="s">
        <v>174</v>
      </c>
      <c r="D1653" t="s">
        <v>209</v>
      </c>
      <c r="E1653" t="s">
        <v>61</v>
      </c>
      <c r="F1653">
        <v>2</v>
      </c>
      <c r="G1653">
        <v>63</v>
      </c>
      <c r="H1653" s="86">
        <v>45973.259285138898</v>
      </c>
      <c r="I1653" s="86">
        <v>45973.364824097203</v>
      </c>
      <c r="J1653" s="87">
        <v>2.5329350000000002</v>
      </c>
      <c r="K1653" s="69" t="s">
        <v>274</v>
      </c>
      <c r="P1653" s="71" t="s">
        <v>275</v>
      </c>
      <c r="Q1653" s="88">
        <v>1.5761426649737401E-2</v>
      </c>
      <c r="R1653" s="89" t="s">
        <v>276</v>
      </c>
      <c r="T1653">
        <v>8.9</v>
      </c>
      <c r="U1653" s="76">
        <v>0.2</v>
      </c>
      <c r="V1653">
        <v>9.4</v>
      </c>
      <c r="W1653" s="90">
        <v>0.1</v>
      </c>
      <c r="AG1653" s="91">
        <v>0</v>
      </c>
      <c r="AK1653" s="71">
        <v>0.15</v>
      </c>
      <c r="AL1653" s="88">
        <v>3.3741665637606E-2</v>
      </c>
      <c r="AM1653" s="89">
        <f t="shared" si="25"/>
        <v>0.22494443758404001</v>
      </c>
    </row>
    <row r="1654" spans="1:39" x14ac:dyDescent="0.25">
      <c r="A1654" t="s">
        <v>44</v>
      </c>
      <c r="B1654" t="s">
        <v>52</v>
      </c>
      <c r="C1654" s="121" t="s">
        <v>174</v>
      </c>
      <c r="D1654" t="s">
        <v>196</v>
      </c>
      <c r="E1654" t="s">
        <v>61</v>
      </c>
      <c r="F1654">
        <v>3</v>
      </c>
      <c r="G1654">
        <v>1</v>
      </c>
      <c r="H1654" s="86">
        <v>45966.617486354196</v>
      </c>
      <c r="I1654" s="86">
        <v>45966.723001041697</v>
      </c>
      <c r="J1654" s="87">
        <v>2.5323525</v>
      </c>
      <c r="K1654" s="69" t="s">
        <v>274</v>
      </c>
      <c r="P1654" s="71" t="s">
        <v>275</v>
      </c>
      <c r="Q1654" s="88">
        <v>1.10757371699005E-2</v>
      </c>
      <c r="R1654" s="89" t="s">
        <v>276</v>
      </c>
      <c r="T1654">
        <v>12.8</v>
      </c>
      <c r="U1654" s="76">
        <v>0.2</v>
      </c>
      <c r="V1654">
        <v>11</v>
      </c>
      <c r="W1654" s="90">
        <v>0.1</v>
      </c>
      <c r="AG1654" s="91">
        <v>0</v>
      </c>
      <c r="AK1654" s="71">
        <v>0.15</v>
      </c>
      <c r="AL1654" s="88">
        <v>3.5887323667278398E-2</v>
      </c>
      <c r="AM1654" s="89">
        <f t="shared" si="25"/>
        <v>0.23924882444852266</v>
      </c>
    </row>
    <row r="1655" spans="1:39" x14ac:dyDescent="0.25">
      <c r="A1655" t="s">
        <v>44</v>
      </c>
      <c r="B1655" t="s">
        <v>52</v>
      </c>
      <c r="C1655" s="121" t="s">
        <v>174</v>
      </c>
      <c r="D1655" t="s">
        <v>196</v>
      </c>
      <c r="E1655" t="s">
        <v>61</v>
      </c>
      <c r="F1655">
        <v>3</v>
      </c>
      <c r="G1655">
        <v>2</v>
      </c>
      <c r="H1655" s="86">
        <v>45966.723001041697</v>
      </c>
      <c r="I1655" s="86">
        <v>45966.8285213657</v>
      </c>
      <c r="J1655" s="87">
        <v>2.5324877777777801</v>
      </c>
      <c r="K1655" s="69" t="s">
        <v>274</v>
      </c>
      <c r="P1655" s="71" t="s">
        <v>275</v>
      </c>
      <c r="Q1655" s="88">
        <v>2.1149152480671101E-2</v>
      </c>
      <c r="R1655" s="89" t="s">
        <v>276</v>
      </c>
      <c r="T1655">
        <v>11.2</v>
      </c>
      <c r="U1655" s="76">
        <v>0.2</v>
      </c>
      <c r="V1655">
        <v>11.1</v>
      </c>
      <c r="W1655" s="90">
        <v>0.1</v>
      </c>
      <c r="AG1655" s="91">
        <v>0</v>
      </c>
      <c r="AK1655" s="71">
        <v>0.15</v>
      </c>
      <c r="AL1655" s="88">
        <v>3.5887323667278398E-2</v>
      </c>
      <c r="AM1655" s="89">
        <f t="shared" si="25"/>
        <v>0.23924882444852266</v>
      </c>
    </row>
    <row r="1656" spans="1:39" x14ac:dyDescent="0.25">
      <c r="A1656" t="s">
        <v>44</v>
      </c>
      <c r="B1656" t="s">
        <v>52</v>
      </c>
      <c r="C1656" s="121" t="s">
        <v>174</v>
      </c>
      <c r="D1656" t="s">
        <v>196</v>
      </c>
      <c r="E1656" t="s">
        <v>61</v>
      </c>
      <c r="F1656">
        <v>3</v>
      </c>
      <c r="G1656">
        <v>3</v>
      </c>
      <c r="H1656" s="86">
        <v>45966.8285213657</v>
      </c>
      <c r="I1656" s="86">
        <v>45966.934052361103</v>
      </c>
      <c r="J1656" s="87">
        <v>2.53274388888889</v>
      </c>
      <c r="K1656" s="69" t="s">
        <v>274</v>
      </c>
      <c r="P1656" s="71" t="s">
        <v>275</v>
      </c>
      <c r="Q1656" s="88">
        <v>3.1279177310001897E-2</v>
      </c>
      <c r="R1656" s="89" t="s">
        <v>276</v>
      </c>
      <c r="T1656">
        <v>10.7</v>
      </c>
      <c r="U1656" s="76">
        <v>0.2</v>
      </c>
      <c r="V1656">
        <v>11.1</v>
      </c>
      <c r="W1656" s="90">
        <v>0.1</v>
      </c>
      <c r="AG1656" s="91">
        <v>0</v>
      </c>
      <c r="AK1656" s="71">
        <v>0.15</v>
      </c>
      <c r="AL1656" s="88">
        <v>3.5887323667278398E-2</v>
      </c>
      <c r="AM1656" s="89">
        <f t="shared" si="25"/>
        <v>0.23924882444852266</v>
      </c>
    </row>
    <row r="1657" spans="1:39" x14ac:dyDescent="0.25">
      <c r="A1657" t="s">
        <v>44</v>
      </c>
      <c r="B1657" t="s">
        <v>52</v>
      </c>
      <c r="C1657" s="121" t="s">
        <v>174</v>
      </c>
      <c r="D1657" t="s">
        <v>196</v>
      </c>
      <c r="E1657" t="s">
        <v>61</v>
      </c>
      <c r="F1657">
        <v>3</v>
      </c>
      <c r="G1657">
        <v>4</v>
      </c>
      <c r="H1657" s="86">
        <v>45966.934052361103</v>
      </c>
      <c r="I1657" s="86">
        <v>45967.039586111103</v>
      </c>
      <c r="J1657" s="87">
        <v>2.53281</v>
      </c>
      <c r="K1657" s="69" t="s">
        <v>274</v>
      </c>
      <c r="P1657" s="71" t="s">
        <v>275</v>
      </c>
      <c r="Q1657" s="88">
        <v>4.3619894719840402E-2</v>
      </c>
      <c r="R1657" s="89" t="s">
        <v>276</v>
      </c>
      <c r="T1657">
        <v>10.7</v>
      </c>
      <c r="U1657" s="76">
        <v>0.2</v>
      </c>
      <c r="V1657">
        <v>11</v>
      </c>
      <c r="W1657" s="90">
        <v>0.1</v>
      </c>
      <c r="AG1657" s="91">
        <v>0</v>
      </c>
      <c r="AK1657" s="71">
        <v>0.15</v>
      </c>
      <c r="AL1657" s="88">
        <v>3.5887323667278398E-2</v>
      </c>
      <c r="AM1657" s="89">
        <f t="shared" si="25"/>
        <v>0.23924882444852266</v>
      </c>
    </row>
    <row r="1658" spans="1:39" x14ac:dyDescent="0.25">
      <c r="A1658" t="s">
        <v>44</v>
      </c>
      <c r="B1658" t="s">
        <v>52</v>
      </c>
      <c r="C1658" s="121" t="s">
        <v>174</v>
      </c>
      <c r="D1658" t="s">
        <v>196</v>
      </c>
      <c r="E1658" t="s">
        <v>61</v>
      </c>
      <c r="F1658">
        <v>3</v>
      </c>
      <c r="G1658">
        <v>5</v>
      </c>
      <c r="H1658" s="86">
        <v>45967.039586111103</v>
      </c>
      <c r="I1658" s="86">
        <v>45967.145111192098</v>
      </c>
      <c r="J1658" s="87">
        <v>2.5326019444444499</v>
      </c>
      <c r="K1658" s="69" t="s">
        <v>274</v>
      </c>
      <c r="P1658" s="71" t="s">
        <v>275</v>
      </c>
      <c r="Q1658" s="88">
        <v>3.3436514606974999E-2</v>
      </c>
      <c r="R1658" s="89" t="s">
        <v>276</v>
      </c>
      <c r="T1658">
        <v>10.5</v>
      </c>
      <c r="U1658" s="76">
        <v>0.2</v>
      </c>
      <c r="V1658">
        <v>11</v>
      </c>
      <c r="W1658" s="90">
        <v>0.1</v>
      </c>
      <c r="AG1658" s="91">
        <v>0</v>
      </c>
      <c r="AK1658" s="71">
        <v>0.15</v>
      </c>
      <c r="AL1658" s="88">
        <v>3.5887323667278398E-2</v>
      </c>
      <c r="AM1658" s="89">
        <f t="shared" si="25"/>
        <v>0.23924882444852266</v>
      </c>
    </row>
    <row r="1659" spans="1:39" x14ac:dyDescent="0.25">
      <c r="A1659" t="s">
        <v>44</v>
      </c>
      <c r="B1659" t="s">
        <v>52</v>
      </c>
      <c r="C1659" s="121" t="s">
        <v>174</v>
      </c>
      <c r="D1659" t="s">
        <v>196</v>
      </c>
      <c r="E1659" t="s">
        <v>61</v>
      </c>
      <c r="F1659">
        <v>3</v>
      </c>
      <c r="G1659">
        <v>6</v>
      </c>
      <c r="H1659" s="86">
        <v>45967.145111192098</v>
      </c>
      <c r="I1659" s="86">
        <v>45967.250637708297</v>
      </c>
      <c r="J1659" s="87">
        <v>2.5326363888888901</v>
      </c>
      <c r="K1659" s="69" t="s">
        <v>274</v>
      </c>
      <c r="P1659" s="71" t="s">
        <v>275</v>
      </c>
      <c r="Q1659" s="88">
        <v>3.9077742504963597E-2</v>
      </c>
      <c r="R1659" s="89" t="s">
        <v>276</v>
      </c>
      <c r="T1659">
        <v>10.6</v>
      </c>
      <c r="U1659" s="76">
        <v>0.2</v>
      </c>
      <c r="V1659">
        <v>10.9</v>
      </c>
      <c r="W1659" s="90">
        <v>0.1</v>
      </c>
      <c r="AG1659" s="91">
        <v>0</v>
      </c>
      <c r="AK1659" s="71">
        <v>0.15</v>
      </c>
      <c r="AL1659" s="88">
        <v>3.5887323667278398E-2</v>
      </c>
      <c r="AM1659" s="89">
        <f t="shared" si="25"/>
        <v>0.23924882444852266</v>
      </c>
    </row>
    <row r="1660" spans="1:39" x14ac:dyDescent="0.25">
      <c r="A1660" t="s">
        <v>44</v>
      </c>
      <c r="B1660" t="s">
        <v>52</v>
      </c>
      <c r="C1660" s="121" t="s">
        <v>174</v>
      </c>
      <c r="D1660" t="s">
        <v>196</v>
      </c>
      <c r="E1660" t="s">
        <v>61</v>
      </c>
      <c r="F1660">
        <v>3</v>
      </c>
      <c r="G1660">
        <v>7</v>
      </c>
      <c r="H1660" s="86">
        <v>45967.250637708297</v>
      </c>
      <c r="I1660" s="86">
        <v>45967.356165775498</v>
      </c>
      <c r="J1660" s="87">
        <v>2.5326736111111101</v>
      </c>
      <c r="K1660" s="69" t="s">
        <v>274</v>
      </c>
      <c r="P1660" s="71" t="s">
        <v>275</v>
      </c>
      <c r="Q1660" s="88">
        <v>3.8115939494219403E-2</v>
      </c>
      <c r="R1660" s="89" t="s">
        <v>276</v>
      </c>
      <c r="T1660">
        <v>9.9</v>
      </c>
      <c r="U1660" s="76">
        <v>0.2</v>
      </c>
      <c r="V1660">
        <v>10.9</v>
      </c>
      <c r="W1660" s="90">
        <v>0.1</v>
      </c>
      <c r="AG1660" s="91">
        <v>0</v>
      </c>
      <c r="AK1660" s="71">
        <v>0.15</v>
      </c>
      <c r="AL1660" s="88">
        <v>3.5887323667278398E-2</v>
      </c>
      <c r="AM1660" s="89">
        <f t="shared" si="25"/>
        <v>0.23924882444852266</v>
      </c>
    </row>
    <row r="1661" spans="1:39" x14ac:dyDescent="0.25">
      <c r="A1661" t="s">
        <v>44</v>
      </c>
      <c r="B1661" t="s">
        <v>52</v>
      </c>
      <c r="C1661" s="121" t="s">
        <v>174</v>
      </c>
      <c r="D1661" t="s">
        <v>196</v>
      </c>
      <c r="E1661" t="s">
        <v>61</v>
      </c>
      <c r="F1661">
        <v>3</v>
      </c>
      <c r="G1661">
        <v>8</v>
      </c>
      <c r="H1661" s="86">
        <v>45967.356165775498</v>
      </c>
      <c r="I1661" s="86">
        <v>45967.461701006898</v>
      </c>
      <c r="J1661" s="87">
        <v>2.5328455555555598</v>
      </c>
      <c r="K1661" s="69" t="s">
        <v>274</v>
      </c>
      <c r="P1661" s="71" t="s">
        <v>275</v>
      </c>
      <c r="Q1661" s="88">
        <v>3.5397973831641401E-2</v>
      </c>
      <c r="R1661" s="89" t="s">
        <v>276</v>
      </c>
      <c r="T1661">
        <v>11.6</v>
      </c>
      <c r="U1661" s="76">
        <v>0.2</v>
      </c>
      <c r="V1661">
        <v>10.8</v>
      </c>
      <c r="W1661" s="90">
        <v>0.1</v>
      </c>
      <c r="AG1661" s="91">
        <v>0</v>
      </c>
      <c r="AK1661" s="71">
        <v>0.15</v>
      </c>
      <c r="AL1661" s="88">
        <v>3.5887323667278398E-2</v>
      </c>
      <c r="AM1661" s="89">
        <f t="shared" si="25"/>
        <v>0.23924882444852266</v>
      </c>
    </row>
    <row r="1662" spans="1:39" x14ac:dyDescent="0.25">
      <c r="A1662" t="s">
        <v>44</v>
      </c>
      <c r="B1662" t="s">
        <v>52</v>
      </c>
      <c r="C1662" s="121" t="s">
        <v>174</v>
      </c>
      <c r="D1662" t="s">
        <v>196</v>
      </c>
      <c r="E1662" t="s">
        <v>61</v>
      </c>
      <c r="F1662">
        <v>3</v>
      </c>
      <c r="G1662">
        <v>9</v>
      </c>
      <c r="H1662" s="86">
        <v>45967.461701006898</v>
      </c>
      <c r="I1662" s="86">
        <v>45967.567221909703</v>
      </c>
      <c r="J1662" s="87">
        <v>2.5325016666666702</v>
      </c>
      <c r="K1662" s="69" t="s">
        <v>274</v>
      </c>
      <c r="P1662" s="71" t="s">
        <v>275</v>
      </c>
      <c r="Q1662" s="88">
        <v>8.9823068764304306E-2</v>
      </c>
      <c r="R1662" s="89" t="s">
        <v>276</v>
      </c>
      <c r="T1662">
        <v>14</v>
      </c>
      <c r="U1662" s="76">
        <v>0.2</v>
      </c>
      <c r="V1662">
        <v>10.9</v>
      </c>
      <c r="W1662" s="90">
        <v>0.1</v>
      </c>
      <c r="AG1662" s="91">
        <v>0</v>
      </c>
      <c r="AK1662" s="71">
        <v>0.15</v>
      </c>
      <c r="AL1662" s="88">
        <v>3.5887323667278398E-2</v>
      </c>
      <c r="AM1662" s="89">
        <f t="shared" si="25"/>
        <v>0.23924882444852266</v>
      </c>
    </row>
    <row r="1663" spans="1:39" x14ac:dyDescent="0.25">
      <c r="A1663" t="s">
        <v>44</v>
      </c>
      <c r="B1663" t="s">
        <v>52</v>
      </c>
      <c r="C1663" s="121" t="s">
        <v>174</v>
      </c>
      <c r="D1663" t="s">
        <v>196</v>
      </c>
      <c r="E1663" t="s">
        <v>61</v>
      </c>
      <c r="F1663">
        <v>3</v>
      </c>
      <c r="G1663">
        <v>10</v>
      </c>
      <c r="H1663" s="86">
        <v>45967.567221909703</v>
      </c>
      <c r="I1663" s="86">
        <v>45967.672736412002</v>
      </c>
      <c r="J1663" s="87">
        <v>2.53234805555556</v>
      </c>
      <c r="K1663" s="69" t="s">
        <v>274</v>
      </c>
      <c r="P1663" s="71" t="s">
        <v>275</v>
      </c>
      <c r="Q1663" s="88">
        <v>0.11303240460722</v>
      </c>
      <c r="R1663" s="89" t="s">
        <v>276</v>
      </c>
      <c r="T1663">
        <v>15.6</v>
      </c>
      <c r="U1663" s="76">
        <v>0.2</v>
      </c>
      <c r="V1663">
        <v>11.1</v>
      </c>
      <c r="W1663" s="90">
        <v>0.1</v>
      </c>
      <c r="AG1663" s="91">
        <v>0</v>
      </c>
      <c r="AK1663" s="71">
        <v>0.15</v>
      </c>
      <c r="AL1663" s="88">
        <v>3.5887323667278398E-2</v>
      </c>
      <c r="AM1663" s="89">
        <f t="shared" si="25"/>
        <v>0.23924882444852266</v>
      </c>
    </row>
    <row r="1664" spans="1:39" x14ac:dyDescent="0.25">
      <c r="A1664" t="s">
        <v>44</v>
      </c>
      <c r="B1664" t="s">
        <v>52</v>
      </c>
      <c r="C1664" s="121" t="s">
        <v>174</v>
      </c>
      <c r="D1664" t="s">
        <v>196</v>
      </c>
      <c r="E1664" t="s">
        <v>61</v>
      </c>
      <c r="F1664">
        <v>3</v>
      </c>
      <c r="G1664">
        <v>11</v>
      </c>
      <c r="H1664" s="86">
        <v>45967.672736412002</v>
      </c>
      <c r="I1664" s="86">
        <v>45967.778266215297</v>
      </c>
      <c r="J1664" s="87">
        <v>2.5327152777777799</v>
      </c>
      <c r="K1664" s="69" t="s">
        <v>274</v>
      </c>
      <c r="P1664" s="71" t="s">
        <v>275</v>
      </c>
      <c r="Q1664" s="88">
        <v>4.52104504617745E-2</v>
      </c>
      <c r="R1664" s="89" t="s">
        <v>276</v>
      </c>
      <c r="T1664">
        <v>10.7</v>
      </c>
      <c r="U1664" s="76">
        <v>0.2</v>
      </c>
      <c r="V1664">
        <v>11.2</v>
      </c>
      <c r="W1664" s="90">
        <v>0.1</v>
      </c>
      <c r="AG1664" s="91">
        <v>0</v>
      </c>
      <c r="AK1664" s="71">
        <v>0.15</v>
      </c>
      <c r="AL1664" s="88">
        <v>3.5887323667278398E-2</v>
      </c>
      <c r="AM1664" s="89">
        <f t="shared" si="25"/>
        <v>0.23924882444852266</v>
      </c>
    </row>
    <row r="1665" spans="1:39" x14ac:dyDescent="0.25">
      <c r="A1665" t="s">
        <v>44</v>
      </c>
      <c r="B1665" t="s">
        <v>52</v>
      </c>
      <c r="C1665" s="121" t="s">
        <v>174</v>
      </c>
      <c r="D1665" t="s">
        <v>196</v>
      </c>
      <c r="E1665" t="s">
        <v>61</v>
      </c>
      <c r="F1665">
        <v>3</v>
      </c>
      <c r="G1665">
        <v>12</v>
      </c>
      <c r="H1665" s="86">
        <v>45967.778266215297</v>
      </c>
      <c r="I1665" s="86">
        <v>45967.883786423597</v>
      </c>
      <c r="J1665" s="87">
        <v>2.5324849999999999</v>
      </c>
      <c r="K1665" s="69" t="s">
        <v>274</v>
      </c>
      <c r="P1665" s="71" t="s">
        <v>275</v>
      </c>
      <c r="Q1665" s="88">
        <v>1.2330255327698899E-2</v>
      </c>
      <c r="R1665" s="89" t="s">
        <v>276</v>
      </c>
      <c r="T1665">
        <v>7</v>
      </c>
      <c r="U1665" s="76">
        <v>0.2</v>
      </c>
      <c r="V1665">
        <v>11.1</v>
      </c>
      <c r="W1665" s="90">
        <v>0.1</v>
      </c>
      <c r="AG1665" s="91">
        <v>0</v>
      </c>
      <c r="AK1665" s="71">
        <v>0.15</v>
      </c>
      <c r="AL1665" s="88">
        <v>3.5887323667278398E-2</v>
      </c>
      <c r="AM1665" s="89">
        <f t="shared" si="25"/>
        <v>0.23924882444852266</v>
      </c>
    </row>
    <row r="1666" spans="1:39" x14ac:dyDescent="0.25">
      <c r="A1666" t="s">
        <v>44</v>
      </c>
      <c r="B1666" t="s">
        <v>52</v>
      </c>
      <c r="C1666" s="121" t="s">
        <v>174</v>
      </c>
      <c r="D1666" t="s">
        <v>196</v>
      </c>
      <c r="E1666" t="s">
        <v>61</v>
      </c>
      <c r="F1666">
        <v>3</v>
      </c>
      <c r="G1666">
        <v>13</v>
      </c>
      <c r="H1666" s="86">
        <v>45967.883786423597</v>
      </c>
      <c r="I1666" s="86">
        <v>45967.989305879601</v>
      </c>
      <c r="J1666" s="87">
        <v>2.5324669444444399</v>
      </c>
      <c r="K1666" s="69" t="s">
        <v>274</v>
      </c>
      <c r="P1666" s="71" t="s">
        <v>275</v>
      </c>
      <c r="Q1666" s="88">
        <v>1.1695179836898601E-2</v>
      </c>
      <c r="R1666" s="89" t="s">
        <v>276</v>
      </c>
      <c r="T1666">
        <v>6.8</v>
      </c>
      <c r="U1666" s="76">
        <v>0.2</v>
      </c>
      <c r="V1666">
        <v>10.9</v>
      </c>
      <c r="W1666" s="90">
        <v>0.1</v>
      </c>
      <c r="AG1666" s="91">
        <v>0</v>
      </c>
      <c r="AK1666" s="71">
        <v>0.15</v>
      </c>
      <c r="AL1666" s="88">
        <v>3.5887323667278398E-2</v>
      </c>
      <c r="AM1666" s="89">
        <f t="shared" si="25"/>
        <v>0.23924882444852266</v>
      </c>
    </row>
    <row r="1667" spans="1:39" x14ac:dyDescent="0.25">
      <c r="A1667" t="s">
        <v>44</v>
      </c>
      <c r="B1667" t="s">
        <v>52</v>
      </c>
      <c r="C1667" s="121" t="s">
        <v>174</v>
      </c>
      <c r="D1667" t="s">
        <v>196</v>
      </c>
      <c r="E1667" t="s">
        <v>61</v>
      </c>
      <c r="F1667">
        <v>3</v>
      </c>
      <c r="G1667">
        <v>14</v>
      </c>
      <c r="H1667" s="86">
        <v>45967.989305879601</v>
      </c>
      <c r="I1667" s="86">
        <v>45968.094828055597</v>
      </c>
      <c r="J1667" s="87">
        <v>2.53253222222222</v>
      </c>
      <c r="K1667" s="69" t="s">
        <v>274</v>
      </c>
      <c r="P1667" s="71" t="s">
        <v>275</v>
      </c>
      <c r="Q1667" s="88">
        <v>1.4154592383337199E-2</v>
      </c>
      <c r="R1667" s="89" t="s">
        <v>276</v>
      </c>
      <c r="T1667">
        <v>6.8</v>
      </c>
      <c r="U1667" s="76">
        <v>0.2</v>
      </c>
      <c r="V1667">
        <v>10.6</v>
      </c>
      <c r="W1667" s="90">
        <v>0.1</v>
      </c>
      <c r="AG1667" s="91">
        <v>0</v>
      </c>
      <c r="AK1667" s="71">
        <v>0.15</v>
      </c>
      <c r="AL1667" s="88">
        <v>3.5887323667278398E-2</v>
      </c>
      <c r="AM1667" s="89">
        <f t="shared" si="25"/>
        <v>0.23924882444852266</v>
      </c>
    </row>
    <row r="1668" spans="1:39" x14ac:dyDescent="0.25">
      <c r="A1668" t="s">
        <v>44</v>
      </c>
      <c r="B1668" t="s">
        <v>52</v>
      </c>
      <c r="C1668" s="121" t="s">
        <v>174</v>
      </c>
      <c r="D1668" t="s">
        <v>196</v>
      </c>
      <c r="E1668" t="s">
        <v>61</v>
      </c>
      <c r="F1668">
        <v>3</v>
      </c>
      <c r="G1668">
        <v>15</v>
      </c>
      <c r="H1668" s="86">
        <v>45968.094828055597</v>
      </c>
      <c r="I1668" s="86">
        <v>45968.200365671299</v>
      </c>
      <c r="J1668" s="87">
        <v>2.5329027777777799</v>
      </c>
      <c r="K1668" s="69" t="s">
        <v>274</v>
      </c>
      <c r="P1668" s="71" t="s">
        <v>275</v>
      </c>
      <c r="Q1668" s="88">
        <v>9.7304773840989397E-3</v>
      </c>
      <c r="R1668" s="89" t="s">
        <v>276</v>
      </c>
      <c r="T1668">
        <v>4.8</v>
      </c>
      <c r="U1668" s="76">
        <v>0.2</v>
      </c>
      <c r="V1668">
        <v>10.5</v>
      </c>
      <c r="W1668" s="90">
        <v>0.1</v>
      </c>
      <c r="AG1668" s="91">
        <v>0</v>
      </c>
      <c r="AK1668" s="71">
        <v>0.15</v>
      </c>
      <c r="AL1668" s="88">
        <v>3.5887323667278398E-2</v>
      </c>
      <c r="AM1668" s="89">
        <f t="shared" si="25"/>
        <v>0.23924882444852266</v>
      </c>
    </row>
    <row r="1669" spans="1:39" x14ac:dyDescent="0.25">
      <c r="A1669" t="s">
        <v>44</v>
      </c>
      <c r="B1669" t="s">
        <v>52</v>
      </c>
      <c r="C1669" s="121" t="s">
        <v>174</v>
      </c>
      <c r="D1669" t="s">
        <v>196</v>
      </c>
      <c r="E1669" t="s">
        <v>61</v>
      </c>
      <c r="F1669">
        <v>3</v>
      </c>
      <c r="G1669">
        <v>16</v>
      </c>
      <c r="H1669" s="86">
        <v>45968.200365671299</v>
      </c>
      <c r="I1669" s="86">
        <v>45968.305889710697</v>
      </c>
      <c r="J1669" s="87">
        <v>2.5325769444444499</v>
      </c>
      <c r="K1669" s="69" t="s">
        <v>274</v>
      </c>
      <c r="P1669" s="71" t="s">
        <v>275</v>
      </c>
      <c r="Q1669" s="88">
        <v>5.1161033171922398E-3</v>
      </c>
      <c r="R1669" s="89" t="s">
        <v>276</v>
      </c>
      <c r="T1669">
        <v>5.0999999999999996</v>
      </c>
      <c r="U1669" s="76">
        <v>0.2</v>
      </c>
      <c r="V1669">
        <v>10.1</v>
      </c>
      <c r="W1669" s="90">
        <v>0.1</v>
      </c>
      <c r="AG1669" s="91">
        <v>0</v>
      </c>
      <c r="AK1669" s="71">
        <v>0.15</v>
      </c>
      <c r="AL1669" s="88">
        <v>3.5887323667278398E-2</v>
      </c>
      <c r="AM1669" s="89">
        <f t="shared" ref="AM1669:AM1732" si="26">AL1669/AK1669</f>
        <v>0.23924882444852266</v>
      </c>
    </row>
    <row r="1670" spans="1:39" x14ac:dyDescent="0.25">
      <c r="A1670" t="s">
        <v>44</v>
      </c>
      <c r="B1670" t="s">
        <v>52</v>
      </c>
      <c r="C1670" s="121" t="s">
        <v>174</v>
      </c>
      <c r="D1670" t="s">
        <v>196</v>
      </c>
      <c r="E1670" t="s">
        <v>61</v>
      </c>
      <c r="F1670">
        <v>3</v>
      </c>
      <c r="G1670">
        <v>17</v>
      </c>
      <c r="H1670" s="86">
        <v>45968.305889710697</v>
      </c>
      <c r="I1670" s="86">
        <v>45968.411423148202</v>
      </c>
      <c r="J1670" s="87">
        <v>2.5328024999999998</v>
      </c>
      <c r="K1670" s="69" t="s">
        <v>274</v>
      </c>
      <c r="P1670" s="71" t="s">
        <v>275</v>
      </c>
      <c r="Q1670" s="88">
        <v>4.1505825578498998E-3</v>
      </c>
      <c r="R1670" s="89" t="s">
        <v>276</v>
      </c>
      <c r="T1670">
        <v>6.3</v>
      </c>
      <c r="U1670" s="76">
        <v>0.2</v>
      </c>
      <c r="V1670">
        <v>9.9</v>
      </c>
      <c r="W1670" s="90">
        <v>0.1</v>
      </c>
      <c r="AG1670" s="91">
        <v>0</v>
      </c>
      <c r="AK1670" s="71">
        <v>0.15</v>
      </c>
      <c r="AL1670" s="88">
        <v>3.5887323667278398E-2</v>
      </c>
      <c r="AM1670" s="89">
        <f t="shared" si="26"/>
        <v>0.23924882444852266</v>
      </c>
    </row>
    <row r="1671" spans="1:39" x14ac:dyDescent="0.25">
      <c r="A1671" t="s">
        <v>44</v>
      </c>
      <c r="B1671" t="s">
        <v>52</v>
      </c>
      <c r="C1671" s="121" t="s">
        <v>174</v>
      </c>
      <c r="D1671" t="s">
        <v>196</v>
      </c>
      <c r="E1671" t="s">
        <v>61</v>
      </c>
      <c r="F1671">
        <v>3</v>
      </c>
      <c r="G1671">
        <v>18</v>
      </c>
      <c r="H1671" s="86">
        <v>45968.411423148202</v>
      </c>
      <c r="I1671" s="86">
        <v>45968.516935520798</v>
      </c>
      <c r="J1671" s="87">
        <v>2.5322969444444499</v>
      </c>
      <c r="K1671" s="69" t="s">
        <v>274</v>
      </c>
      <c r="P1671" s="71" t="s">
        <v>275</v>
      </c>
      <c r="Q1671" s="88">
        <v>9.9776382057358299E-3</v>
      </c>
      <c r="R1671" s="89" t="s">
        <v>276</v>
      </c>
      <c r="T1671">
        <v>8.1</v>
      </c>
      <c r="U1671" s="76">
        <v>0.2</v>
      </c>
      <c r="V1671">
        <v>9.8000000000000007</v>
      </c>
      <c r="W1671" s="90">
        <v>0.1</v>
      </c>
      <c r="AG1671" s="91">
        <v>0</v>
      </c>
      <c r="AK1671" s="71">
        <v>0.15</v>
      </c>
      <c r="AL1671" s="88">
        <v>3.5887323667278398E-2</v>
      </c>
      <c r="AM1671" s="89">
        <f t="shared" si="26"/>
        <v>0.23924882444852266</v>
      </c>
    </row>
    <row r="1672" spans="1:39" x14ac:dyDescent="0.25">
      <c r="A1672" t="s">
        <v>44</v>
      </c>
      <c r="B1672" t="s">
        <v>52</v>
      </c>
      <c r="C1672" s="121" t="s">
        <v>174</v>
      </c>
      <c r="D1672" t="s">
        <v>196</v>
      </c>
      <c r="E1672" t="s">
        <v>61</v>
      </c>
      <c r="F1672">
        <v>3</v>
      </c>
      <c r="G1672">
        <v>19</v>
      </c>
      <c r="H1672" s="86">
        <v>45968.516935520798</v>
      </c>
      <c r="I1672" s="86">
        <v>45968.622434814803</v>
      </c>
      <c r="J1672" s="87">
        <v>2.53198305555556</v>
      </c>
      <c r="K1672" s="69" t="s">
        <v>274</v>
      </c>
      <c r="P1672" s="71" t="s">
        <v>275</v>
      </c>
      <c r="Q1672" s="88">
        <v>4.1069406430904801E-2</v>
      </c>
      <c r="R1672" s="89" t="s">
        <v>276</v>
      </c>
      <c r="T1672">
        <v>9.4</v>
      </c>
      <c r="U1672" s="76">
        <v>0.2</v>
      </c>
      <c r="V1672">
        <v>9.9</v>
      </c>
      <c r="W1672" s="90">
        <v>0.1</v>
      </c>
      <c r="AG1672" s="91">
        <v>0</v>
      </c>
      <c r="AK1672" s="71">
        <v>0.15</v>
      </c>
      <c r="AL1672" s="88">
        <v>3.5887323667278398E-2</v>
      </c>
      <c r="AM1672" s="89">
        <f t="shared" si="26"/>
        <v>0.23924882444852266</v>
      </c>
    </row>
    <row r="1673" spans="1:39" x14ac:dyDescent="0.25">
      <c r="A1673" t="s">
        <v>44</v>
      </c>
      <c r="B1673" t="s">
        <v>52</v>
      </c>
      <c r="C1673" s="121" t="s">
        <v>174</v>
      </c>
      <c r="D1673" t="s">
        <v>196</v>
      </c>
      <c r="E1673" t="s">
        <v>61</v>
      </c>
      <c r="F1673">
        <v>3</v>
      </c>
      <c r="G1673">
        <v>20</v>
      </c>
      <c r="H1673" s="86">
        <v>45968.622434814803</v>
      </c>
      <c r="I1673" s="86">
        <v>45968.727919224497</v>
      </c>
      <c r="J1673" s="87">
        <v>2.5316258333333299</v>
      </c>
      <c r="K1673" s="69" t="s">
        <v>274</v>
      </c>
      <c r="P1673" s="71" t="s">
        <v>275</v>
      </c>
      <c r="Q1673" s="88">
        <v>2.7648815246382099E-2</v>
      </c>
      <c r="R1673" s="89" t="s">
        <v>276</v>
      </c>
      <c r="T1673">
        <v>8.3000000000000007</v>
      </c>
      <c r="U1673" s="76">
        <v>0.2</v>
      </c>
      <c r="V1673">
        <v>10.1</v>
      </c>
      <c r="W1673" s="90">
        <v>0.1</v>
      </c>
      <c r="AG1673" s="91">
        <v>0</v>
      </c>
      <c r="AK1673" s="71">
        <v>0.15</v>
      </c>
      <c r="AL1673" s="88">
        <v>3.5887323667278398E-2</v>
      </c>
      <c r="AM1673" s="89">
        <f t="shared" si="26"/>
        <v>0.23924882444852266</v>
      </c>
    </row>
    <row r="1674" spans="1:39" x14ac:dyDescent="0.25">
      <c r="A1674" t="s">
        <v>44</v>
      </c>
      <c r="B1674" t="s">
        <v>52</v>
      </c>
      <c r="C1674" s="121" t="s">
        <v>174</v>
      </c>
      <c r="D1674" t="s">
        <v>196</v>
      </c>
      <c r="E1674" t="s">
        <v>61</v>
      </c>
      <c r="F1674">
        <v>3</v>
      </c>
      <c r="G1674">
        <v>21</v>
      </c>
      <c r="H1674" s="86">
        <v>45968.727919224497</v>
      </c>
      <c r="I1674" s="86">
        <v>45968.833426655103</v>
      </c>
      <c r="J1674" s="87">
        <v>2.5321783333333299</v>
      </c>
      <c r="K1674" s="69" t="s">
        <v>274</v>
      </c>
      <c r="P1674" s="71" t="s">
        <v>275</v>
      </c>
      <c r="Q1674" s="88">
        <v>2.14280519270371E-2</v>
      </c>
      <c r="R1674" s="89" t="s">
        <v>276</v>
      </c>
      <c r="T1674">
        <v>7.9</v>
      </c>
      <c r="U1674" s="76">
        <v>0.2</v>
      </c>
      <c r="V1674">
        <v>10.199999999999999</v>
      </c>
      <c r="W1674" s="90">
        <v>0.1</v>
      </c>
      <c r="AG1674" s="91">
        <v>0</v>
      </c>
      <c r="AK1674" s="71">
        <v>0.15</v>
      </c>
      <c r="AL1674" s="88">
        <v>3.5887323667278398E-2</v>
      </c>
      <c r="AM1674" s="89">
        <f t="shared" si="26"/>
        <v>0.23924882444852266</v>
      </c>
    </row>
    <row r="1675" spans="1:39" x14ac:dyDescent="0.25">
      <c r="A1675" t="s">
        <v>44</v>
      </c>
      <c r="B1675" t="s">
        <v>52</v>
      </c>
      <c r="C1675" s="121" t="s">
        <v>174</v>
      </c>
      <c r="D1675" t="s">
        <v>196</v>
      </c>
      <c r="E1675" t="s">
        <v>61</v>
      </c>
      <c r="F1675">
        <v>3</v>
      </c>
      <c r="G1675">
        <v>22</v>
      </c>
      <c r="H1675" s="86">
        <v>45968.833426655103</v>
      </c>
      <c r="I1675" s="86">
        <v>45968.938931064797</v>
      </c>
      <c r="J1675" s="87">
        <v>2.5321058333333299</v>
      </c>
      <c r="K1675" s="69" t="s">
        <v>274</v>
      </c>
      <c r="P1675" s="71" t="s">
        <v>275</v>
      </c>
      <c r="Q1675" s="88">
        <v>1.32380135766443E-2</v>
      </c>
      <c r="R1675" s="89" t="s">
        <v>276</v>
      </c>
      <c r="T1675">
        <v>7.8</v>
      </c>
      <c r="U1675" s="76">
        <v>0.2</v>
      </c>
      <c r="V1675">
        <v>10.199999999999999</v>
      </c>
      <c r="W1675" s="90">
        <v>0.1</v>
      </c>
      <c r="AG1675" s="91">
        <v>0</v>
      </c>
      <c r="AK1675" s="71">
        <v>0.15</v>
      </c>
      <c r="AL1675" s="88">
        <v>3.5887323667278398E-2</v>
      </c>
      <c r="AM1675" s="89">
        <f t="shared" si="26"/>
        <v>0.23924882444852266</v>
      </c>
    </row>
    <row r="1676" spans="1:39" x14ac:dyDescent="0.25">
      <c r="A1676" t="s">
        <v>44</v>
      </c>
      <c r="B1676" t="s">
        <v>52</v>
      </c>
      <c r="C1676" s="121" t="s">
        <v>174</v>
      </c>
      <c r="D1676" t="s">
        <v>196</v>
      </c>
      <c r="E1676" t="s">
        <v>61</v>
      </c>
      <c r="F1676">
        <v>3</v>
      </c>
      <c r="G1676">
        <v>23</v>
      </c>
      <c r="H1676" s="86">
        <v>45968.938931064797</v>
      </c>
      <c r="I1676" s="86">
        <v>45969.044427997702</v>
      </c>
      <c r="J1676" s="87">
        <v>2.5319263888888899</v>
      </c>
      <c r="K1676" s="69" t="s">
        <v>274</v>
      </c>
      <c r="P1676" s="71" t="s">
        <v>275</v>
      </c>
      <c r="Q1676" s="88">
        <v>1.17597434250539E-2</v>
      </c>
      <c r="R1676" s="89" t="s">
        <v>276</v>
      </c>
      <c r="T1676">
        <v>8</v>
      </c>
      <c r="U1676" s="76">
        <v>0.2</v>
      </c>
      <c r="V1676">
        <v>10.1</v>
      </c>
      <c r="W1676" s="90">
        <v>0.1</v>
      </c>
      <c r="AG1676" s="91">
        <v>0</v>
      </c>
      <c r="AK1676" s="71">
        <v>0.15</v>
      </c>
      <c r="AL1676" s="88">
        <v>3.5887323667278398E-2</v>
      </c>
      <c r="AM1676" s="89">
        <f t="shared" si="26"/>
        <v>0.23924882444852266</v>
      </c>
    </row>
    <row r="1677" spans="1:39" x14ac:dyDescent="0.25">
      <c r="A1677" t="s">
        <v>44</v>
      </c>
      <c r="B1677" t="s">
        <v>52</v>
      </c>
      <c r="C1677" s="121" t="s">
        <v>174</v>
      </c>
      <c r="D1677" t="s">
        <v>196</v>
      </c>
      <c r="E1677" t="s">
        <v>61</v>
      </c>
      <c r="F1677">
        <v>3</v>
      </c>
      <c r="G1677">
        <v>24</v>
      </c>
      <c r="H1677" s="86">
        <v>45969.044427997702</v>
      </c>
      <c r="I1677" s="86">
        <v>45969.149930289401</v>
      </c>
      <c r="J1677" s="87">
        <v>2.5320550000000002</v>
      </c>
      <c r="K1677" s="69" t="s">
        <v>274</v>
      </c>
      <c r="P1677" s="71" t="s">
        <v>275</v>
      </c>
      <c r="Q1677" s="88">
        <v>1.34058084368391E-2</v>
      </c>
      <c r="R1677" s="89" t="s">
        <v>276</v>
      </c>
      <c r="T1677">
        <v>8.1999999999999993</v>
      </c>
      <c r="U1677" s="76">
        <v>0.2</v>
      </c>
      <c r="V1677">
        <v>10.1</v>
      </c>
      <c r="W1677" s="90">
        <v>0.1</v>
      </c>
      <c r="AG1677" s="91">
        <v>0</v>
      </c>
      <c r="AK1677" s="71">
        <v>0.15</v>
      </c>
      <c r="AL1677" s="88">
        <v>3.5887323667278398E-2</v>
      </c>
      <c r="AM1677" s="89">
        <f t="shared" si="26"/>
        <v>0.23924882444852266</v>
      </c>
    </row>
    <row r="1678" spans="1:39" x14ac:dyDescent="0.25">
      <c r="A1678" t="s">
        <v>44</v>
      </c>
      <c r="B1678" t="s">
        <v>52</v>
      </c>
      <c r="C1678" s="121" t="s">
        <v>174</v>
      </c>
      <c r="D1678" t="s">
        <v>196</v>
      </c>
      <c r="E1678" t="s">
        <v>61</v>
      </c>
      <c r="F1678">
        <v>3</v>
      </c>
      <c r="G1678">
        <v>25</v>
      </c>
      <c r="H1678" s="86">
        <v>45969.149930289401</v>
      </c>
      <c r="I1678" s="86">
        <v>45969.255423506998</v>
      </c>
      <c r="J1678" s="87">
        <v>2.5318372222222201</v>
      </c>
      <c r="K1678" s="69" t="s">
        <v>274</v>
      </c>
      <c r="P1678" s="71" t="s">
        <v>275</v>
      </c>
      <c r="Q1678" s="88">
        <v>1.3626125674503199E-2</v>
      </c>
      <c r="R1678" s="89" t="s">
        <v>276</v>
      </c>
      <c r="T1678">
        <v>8.1</v>
      </c>
      <c r="U1678" s="76">
        <v>0.2</v>
      </c>
      <c r="V1678">
        <v>10.1</v>
      </c>
      <c r="W1678" s="90">
        <v>0.1</v>
      </c>
      <c r="AG1678" s="91">
        <v>0</v>
      </c>
      <c r="AK1678" s="71">
        <v>0.15</v>
      </c>
      <c r="AL1678" s="88">
        <v>3.5887323667278398E-2</v>
      </c>
      <c r="AM1678" s="89">
        <f t="shared" si="26"/>
        <v>0.23924882444852266</v>
      </c>
    </row>
    <row r="1679" spans="1:39" x14ac:dyDescent="0.25">
      <c r="A1679" t="s">
        <v>44</v>
      </c>
      <c r="B1679" t="s">
        <v>52</v>
      </c>
      <c r="C1679" s="121" t="s">
        <v>174</v>
      </c>
      <c r="D1679" t="s">
        <v>196</v>
      </c>
      <c r="E1679" t="s">
        <v>61</v>
      </c>
      <c r="F1679">
        <v>3</v>
      </c>
      <c r="G1679">
        <v>26</v>
      </c>
      <c r="H1679" s="86">
        <v>45969.255423506998</v>
      </c>
      <c r="I1679" s="86">
        <v>45969.360933090298</v>
      </c>
      <c r="J1679" s="87">
        <v>2.5322300000000002</v>
      </c>
      <c r="K1679" s="69" t="s">
        <v>274</v>
      </c>
      <c r="P1679" s="71" t="s">
        <v>275</v>
      </c>
      <c r="Q1679" s="88">
        <v>1.33198438526101E-2</v>
      </c>
      <c r="R1679" s="89" t="s">
        <v>276</v>
      </c>
      <c r="T1679">
        <v>8</v>
      </c>
      <c r="U1679" s="76">
        <v>0.2</v>
      </c>
      <c r="V1679">
        <v>10.1</v>
      </c>
      <c r="W1679" s="90">
        <v>0.1</v>
      </c>
      <c r="AG1679" s="91">
        <v>0</v>
      </c>
      <c r="AK1679" s="71">
        <v>0.15</v>
      </c>
      <c r="AL1679" s="88">
        <v>3.5887323667278398E-2</v>
      </c>
      <c r="AM1679" s="89">
        <f t="shared" si="26"/>
        <v>0.23924882444852266</v>
      </c>
    </row>
    <row r="1680" spans="1:39" x14ac:dyDescent="0.25">
      <c r="A1680" t="s">
        <v>44</v>
      </c>
      <c r="B1680" t="s">
        <v>52</v>
      </c>
      <c r="C1680" s="121" t="s">
        <v>174</v>
      </c>
      <c r="D1680" t="s">
        <v>196</v>
      </c>
      <c r="E1680" t="s">
        <v>61</v>
      </c>
      <c r="F1680">
        <v>3</v>
      </c>
      <c r="G1680">
        <v>27</v>
      </c>
      <c r="H1680" s="86">
        <v>45969.360933090298</v>
      </c>
      <c r="I1680" s="86">
        <v>45969.466443333302</v>
      </c>
      <c r="J1680" s="87">
        <v>2.53224583333333</v>
      </c>
      <c r="K1680" s="69" t="s">
        <v>274</v>
      </c>
      <c r="P1680" s="71" t="s">
        <v>275</v>
      </c>
      <c r="Q1680" s="88">
        <v>1.4282820289509701E-2</v>
      </c>
      <c r="R1680" s="89" t="s">
        <v>276</v>
      </c>
      <c r="T1680">
        <v>8.1999999999999993</v>
      </c>
      <c r="U1680" s="76">
        <v>0.2</v>
      </c>
      <c r="V1680">
        <v>10.1</v>
      </c>
      <c r="W1680" s="90">
        <v>0.1</v>
      </c>
      <c r="AG1680" s="91">
        <v>0</v>
      </c>
      <c r="AK1680" s="71">
        <v>0.15</v>
      </c>
      <c r="AL1680" s="88">
        <v>3.5887323667278398E-2</v>
      </c>
      <c r="AM1680" s="89">
        <f t="shared" si="26"/>
        <v>0.23924882444852266</v>
      </c>
    </row>
    <row r="1681" spans="1:39" x14ac:dyDescent="0.25">
      <c r="A1681" t="s">
        <v>44</v>
      </c>
      <c r="B1681" t="s">
        <v>52</v>
      </c>
      <c r="C1681" s="121" t="s">
        <v>174</v>
      </c>
      <c r="D1681" t="s">
        <v>196</v>
      </c>
      <c r="E1681" t="s">
        <v>61</v>
      </c>
      <c r="F1681">
        <v>3</v>
      </c>
      <c r="G1681">
        <v>28</v>
      </c>
      <c r="H1681" s="86">
        <v>45969.466443333302</v>
      </c>
      <c r="I1681" s="86">
        <v>45969.571938530098</v>
      </c>
      <c r="J1681" s="87">
        <v>2.5318847222222201</v>
      </c>
      <c r="K1681" s="69" t="s">
        <v>274</v>
      </c>
      <c r="P1681" s="71" t="s">
        <v>275</v>
      </c>
      <c r="Q1681" s="88">
        <v>1.7302168482219001E-2</v>
      </c>
      <c r="R1681" s="89" t="s">
        <v>276</v>
      </c>
      <c r="T1681">
        <v>8.5</v>
      </c>
      <c r="U1681" s="76">
        <v>0.2</v>
      </c>
      <c r="V1681">
        <v>10.1</v>
      </c>
      <c r="W1681" s="90">
        <v>0.1</v>
      </c>
      <c r="AG1681" s="91">
        <v>0</v>
      </c>
      <c r="AK1681" s="71">
        <v>0.15</v>
      </c>
      <c r="AL1681" s="88">
        <v>3.5887323667278398E-2</v>
      </c>
      <c r="AM1681" s="89">
        <f t="shared" si="26"/>
        <v>0.23924882444852266</v>
      </c>
    </row>
    <row r="1682" spans="1:39" x14ac:dyDescent="0.25">
      <c r="A1682" t="s">
        <v>44</v>
      </c>
      <c r="B1682" t="s">
        <v>52</v>
      </c>
      <c r="C1682" s="121" t="s">
        <v>174</v>
      </c>
      <c r="D1682" t="s">
        <v>196</v>
      </c>
      <c r="E1682" t="s">
        <v>61</v>
      </c>
      <c r="F1682">
        <v>3</v>
      </c>
      <c r="G1682">
        <v>29</v>
      </c>
      <c r="H1682" s="86">
        <v>45969.571938530098</v>
      </c>
      <c r="I1682" s="86">
        <v>45969.677448761598</v>
      </c>
      <c r="J1682" s="87">
        <v>2.5322455555555599</v>
      </c>
      <c r="K1682" s="69" t="s">
        <v>274</v>
      </c>
      <c r="P1682" s="71" t="s">
        <v>275</v>
      </c>
      <c r="Q1682" s="88">
        <v>1.79447869949463E-2</v>
      </c>
      <c r="R1682" s="89" t="s">
        <v>276</v>
      </c>
      <c r="T1682">
        <v>8.6</v>
      </c>
      <c r="U1682" s="76">
        <v>0.2</v>
      </c>
      <c r="V1682">
        <v>10.199999999999999</v>
      </c>
      <c r="W1682" s="90">
        <v>0.1</v>
      </c>
      <c r="AG1682" s="91">
        <v>0</v>
      </c>
      <c r="AK1682" s="71">
        <v>0.15</v>
      </c>
      <c r="AL1682" s="88">
        <v>3.5887323667278398E-2</v>
      </c>
      <c r="AM1682" s="89">
        <f t="shared" si="26"/>
        <v>0.23924882444852266</v>
      </c>
    </row>
    <row r="1683" spans="1:39" x14ac:dyDescent="0.25">
      <c r="A1683" t="s">
        <v>44</v>
      </c>
      <c r="B1683" t="s">
        <v>52</v>
      </c>
      <c r="C1683" s="121" t="s">
        <v>174</v>
      </c>
      <c r="D1683" t="s">
        <v>196</v>
      </c>
      <c r="E1683" t="s">
        <v>61</v>
      </c>
      <c r="F1683">
        <v>3</v>
      </c>
      <c r="G1683">
        <v>30</v>
      </c>
      <c r="H1683" s="86">
        <v>45969.677448761598</v>
      </c>
      <c r="I1683" s="86">
        <v>45969.782940335601</v>
      </c>
      <c r="J1683" s="87">
        <v>2.53179777777778</v>
      </c>
      <c r="K1683" s="69" t="s">
        <v>274</v>
      </c>
      <c r="P1683" s="71" t="s">
        <v>275</v>
      </c>
      <c r="Q1683" s="88">
        <v>1.21286971730479E-2</v>
      </c>
      <c r="R1683" s="89" t="s">
        <v>276</v>
      </c>
      <c r="T1683">
        <v>8.1999999999999993</v>
      </c>
      <c r="U1683" s="76">
        <v>0.2</v>
      </c>
      <c r="V1683">
        <v>10.199999999999999</v>
      </c>
      <c r="W1683" s="90">
        <v>0.1</v>
      </c>
      <c r="AG1683" s="91">
        <v>0</v>
      </c>
      <c r="AK1683" s="71">
        <v>0.15</v>
      </c>
      <c r="AL1683" s="88">
        <v>3.5887323667278398E-2</v>
      </c>
      <c r="AM1683" s="89">
        <f t="shared" si="26"/>
        <v>0.23924882444852266</v>
      </c>
    </row>
    <row r="1684" spans="1:39" x14ac:dyDescent="0.25">
      <c r="A1684" t="s">
        <v>44</v>
      </c>
      <c r="B1684" t="s">
        <v>52</v>
      </c>
      <c r="C1684" s="121" t="s">
        <v>174</v>
      </c>
      <c r="D1684" t="s">
        <v>196</v>
      </c>
      <c r="E1684" t="s">
        <v>61</v>
      </c>
      <c r="F1684">
        <v>3</v>
      </c>
      <c r="G1684">
        <v>31</v>
      </c>
      <c r="H1684" s="86">
        <v>45969.782940335601</v>
      </c>
      <c r="I1684" s="86">
        <v>45969.888440960698</v>
      </c>
      <c r="J1684" s="87">
        <v>2.5320149999999999</v>
      </c>
      <c r="K1684" s="69" t="s">
        <v>274</v>
      </c>
      <c r="P1684" s="71" t="s">
        <v>275</v>
      </c>
      <c r="Q1684" s="88">
        <v>1.1914900968331799E-2</v>
      </c>
      <c r="R1684" s="89" t="s">
        <v>276</v>
      </c>
      <c r="T1684">
        <v>7.9</v>
      </c>
      <c r="U1684" s="76">
        <v>0.2</v>
      </c>
      <c r="V1684">
        <v>10.199999999999999</v>
      </c>
      <c r="W1684" s="90">
        <v>0.1</v>
      </c>
      <c r="AG1684" s="91">
        <v>0</v>
      </c>
      <c r="AK1684" s="71">
        <v>0.15</v>
      </c>
      <c r="AL1684" s="88">
        <v>3.5887323667278398E-2</v>
      </c>
      <c r="AM1684" s="89">
        <f t="shared" si="26"/>
        <v>0.23924882444852266</v>
      </c>
    </row>
    <row r="1685" spans="1:39" x14ac:dyDescent="0.25">
      <c r="A1685" t="s">
        <v>44</v>
      </c>
      <c r="B1685" t="s">
        <v>52</v>
      </c>
      <c r="C1685" s="121" t="s">
        <v>174</v>
      </c>
      <c r="D1685" t="s">
        <v>196</v>
      </c>
      <c r="E1685" t="s">
        <v>61</v>
      </c>
      <c r="F1685">
        <v>3</v>
      </c>
      <c r="G1685">
        <v>32</v>
      </c>
      <c r="H1685" s="86">
        <v>45969.888440960698</v>
      </c>
      <c r="I1685" s="86">
        <v>45969.993945046299</v>
      </c>
      <c r="J1685" s="87">
        <v>2.5320980555555601</v>
      </c>
      <c r="K1685" s="69" t="s">
        <v>274</v>
      </c>
      <c r="P1685" s="71" t="s">
        <v>275</v>
      </c>
      <c r="Q1685" s="88">
        <v>1.3077463150392101E-2</v>
      </c>
      <c r="R1685" s="89" t="s">
        <v>276</v>
      </c>
      <c r="T1685">
        <v>7.8</v>
      </c>
      <c r="U1685" s="76">
        <v>0.2</v>
      </c>
      <c r="V1685">
        <v>10.199999999999999</v>
      </c>
      <c r="W1685" s="90">
        <v>0.1</v>
      </c>
      <c r="AG1685" s="91">
        <v>0</v>
      </c>
      <c r="AK1685" s="71">
        <v>0.15</v>
      </c>
      <c r="AL1685" s="88">
        <v>3.5887323667278398E-2</v>
      </c>
      <c r="AM1685" s="89">
        <f t="shared" si="26"/>
        <v>0.23924882444852266</v>
      </c>
    </row>
    <row r="1686" spans="1:39" x14ac:dyDescent="0.25">
      <c r="A1686" t="s">
        <v>44</v>
      </c>
      <c r="B1686" t="s">
        <v>52</v>
      </c>
      <c r="C1686" s="121" t="s">
        <v>174</v>
      </c>
      <c r="D1686" t="s">
        <v>196</v>
      </c>
      <c r="E1686" t="s">
        <v>61</v>
      </c>
      <c r="F1686">
        <v>3</v>
      </c>
      <c r="G1686">
        <v>33</v>
      </c>
      <c r="H1686" s="86">
        <v>45969.993945046299</v>
      </c>
      <c r="I1686" s="86">
        <v>45970.099447407403</v>
      </c>
      <c r="J1686" s="87">
        <v>2.5320566666666702</v>
      </c>
      <c r="K1686" s="69" t="s">
        <v>274</v>
      </c>
      <c r="P1686" s="71" t="s">
        <v>275</v>
      </c>
      <c r="Q1686" s="88">
        <v>1.1219779795053401E-2</v>
      </c>
      <c r="R1686" s="89" t="s">
        <v>276</v>
      </c>
      <c r="T1686">
        <v>7.5</v>
      </c>
      <c r="U1686" s="76">
        <v>0.2</v>
      </c>
      <c r="V1686">
        <v>10.1</v>
      </c>
      <c r="W1686" s="90">
        <v>0.1</v>
      </c>
      <c r="AG1686" s="91">
        <v>0</v>
      </c>
      <c r="AK1686" s="71">
        <v>0.15</v>
      </c>
      <c r="AL1686" s="88">
        <v>3.5887323667278398E-2</v>
      </c>
      <c r="AM1686" s="89">
        <f t="shared" si="26"/>
        <v>0.23924882444852266</v>
      </c>
    </row>
    <row r="1687" spans="1:39" x14ac:dyDescent="0.25">
      <c r="A1687" t="s">
        <v>44</v>
      </c>
      <c r="B1687" t="s">
        <v>52</v>
      </c>
      <c r="C1687" s="121" t="s">
        <v>174</v>
      </c>
      <c r="D1687" t="s">
        <v>196</v>
      </c>
      <c r="E1687" t="s">
        <v>61</v>
      </c>
      <c r="F1687">
        <v>3</v>
      </c>
      <c r="G1687">
        <v>34</v>
      </c>
      <c r="H1687" s="86">
        <v>45970.099447407403</v>
      </c>
      <c r="I1687" s="86">
        <v>45970.204948286999</v>
      </c>
      <c r="J1687" s="87">
        <v>2.5320211111111099</v>
      </c>
      <c r="K1687" s="69" t="s">
        <v>274</v>
      </c>
      <c r="P1687" s="71" t="s">
        <v>275</v>
      </c>
      <c r="Q1687" s="88">
        <v>1.04652142476881E-2</v>
      </c>
      <c r="R1687" s="89" t="s">
        <v>276</v>
      </c>
      <c r="T1687">
        <v>7.2</v>
      </c>
      <c r="U1687" s="76">
        <v>0.2</v>
      </c>
      <c r="V1687">
        <v>10.1</v>
      </c>
      <c r="W1687" s="90">
        <v>0.1</v>
      </c>
      <c r="AG1687" s="91">
        <v>0.1</v>
      </c>
      <c r="AK1687" s="71">
        <v>0.15</v>
      </c>
      <c r="AL1687" s="88">
        <v>3.5887323667278398E-2</v>
      </c>
      <c r="AM1687" s="89">
        <f t="shared" si="26"/>
        <v>0.23924882444852266</v>
      </c>
    </row>
    <row r="1688" spans="1:39" x14ac:dyDescent="0.25">
      <c r="A1688" t="s">
        <v>44</v>
      </c>
      <c r="B1688" t="s">
        <v>52</v>
      </c>
      <c r="C1688" s="121" t="s">
        <v>174</v>
      </c>
      <c r="D1688" t="s">
        <v>196</v>
      </c>
      <c r="E1688" t="s">
        <v>61</v>
      </c>
      <c r="F1688">
        <v>3</v>
      </c>
      <c r="G1688">
        <v>35</v>
      </c>
      <c r="H1688" s="86">
        <v>45970.204948286999</v>
      </c>
      <c r="I1688" s="86">
        <v>45970.310442245398</v>
      </c>
      <c r="J1688" s="87">
        <v>2.5318550000000002</v>
      </c>
      <c r="K1688" s="69" t="s">
        <v>274</v>
      </c>
      <c r="P1688" s="71" t="s">
        <v>275</v>
      </c>
      <c r="Q1688" s="88">
        <v>1.09023258173701E-2</v>
      </c>
      <c r="R1688" s="89" t="s">
        <v>276</v>
      </c>
      <c r="T1688">
        <v>6.9</v>
      </c>
      <c r="U1688" s="76">
        <v>0.2</v>
      </c>
      <c r="V1688">
        <v>10.1</v>
      </c>
      <c r="W1688" s="90">
        <v>0.1</v>
      </c>
      <c r="AG1688" s="91">
        <v>0</v>
      </c>
      <c r="AK1688" s="71">
        <v>0.15</v>
      </c>
      <c r="AL1688" s="88">
        <v>3.5887323667278398E-2</v>
      </c>
      <c r="AM1688" s="89">
        <f t="shared" si="26"/>
        <v>0.23924882444852266</v>
      </c>
    </row>
    <row r="1689" spans="1:39" x14ac:dyDescent="0.25">
      <c r="A1689" t="s">
        <v>44</v>
      </c>
      <c r="B1689" t="s">
        <v>52</v>
      </c>
      <c r="C1689" s="121" t="s">
        <v>174</v>
      </c>
      <c r="D1689" t="s">
        <v>196</v>
      </c>
      <c r="E1689" t="s">
        <v>61</v>
      </c>
      <c r="F1689">
        <v>3</v>
      </c>
      <c r="G1689">
        <v>36</v>
      </c>
      <c r="H1689" s="86">
        <v>45970.310442245398</v>
      </c>
      <c r="I1689" s="86">
        <v>45970.415954849501</v>
      </c>
      <c r="J1689" s="87">
        <v>2.5323025000000001</v>
      </c>
      <c r="K1689" s="69" t="s">
        <v>274</v>
      </c>
      <c r="P1689" s="71" t="s">
        <v>275</v>
      </c>
      <c r="Q1689" s="88">
        <v>1.1207501034464299E-2</v>
      </c>
      <c r="R1689" s="89" t="s">
        <v>276</v>
      </c>
      <c r="T1689">
        <v>6.8</v>
      </c>
      <c r="U1689" s="76">
        <v>0.2</v>
      </c>
      <c r="V1689">
        <v>10</v>
      </c>
      <c r="W1689" s="90">
        <v>0.1</v>
      </c>
      <c r="AG1689" s="91">
        <v>0</v>
      </c>
      <c r="AK1689" s="71">
        <v>0.15</v>
      </c>
      <c r="AL1689" s="88">
        <v>3.5887323667278398E-2</v>
      </c>
      <c r="AM1689" s="89">
        <f t="shared" si="26"/>
        <v>0.23924882444852266</v>
      </c>
    </row>
    <row r="1690" spans="1:39" x14ac:dyDescent="0.25">
      <c r="A1690" t="s">
        <v>44</v>
      </c>
      <c r="B1690" t="s">
        <v>52</v>
      </c>
      <c r="C1690" s="121" t="s">
        <v>174</v>
      </c>
      <c r="D1690" t="s">
        <v>196</v>
      </c>
      <c r="E1690" t="s">
        <v>61</v>
      </c>
      <c r="F1690">
        <v>3</v>
      </c>
      <c r="G1690">
        <v>37</v>
      </c>
      <c r="H1690" s="86">
        <v>45970.415954849501</v>
      </c>
      <c r="I1690" s="86">
        <v>45970.521448587999</v>
      </c>
      <c r="J1690" s="87">
        <v>2.53184972222222</v>
      </c>
      <c r="K1690" s="69" t="s">
        <v>274</v>
      </c>
      <c r="P1690" s="71" t="s">
        <v>275</v>
      </c>
      <c r="Q1690" s="88">
        <v>1.6087140867550701E-2</v>
      </c>
      <c r="R1690" s="89" t="s">
        <v>276</v>
      </c>
      <c r="T1690">
        <v>7.2</v>
      </c>
      <c r="U1690" s="76">
        <v>0.2</v>
      </c>
      <c r="V1690">
        <v>10</v>
      </c>
      <c r="W1690" s="90">
        <v>0.1</v>
      </c>
      <c r="AG1690" s="91">
        <v>0</v>
      </c>
      <c r="AK1690" s="71">
        <v>0.15</v>
      </c>
      <c r="AL1690" s="88">
        <v>3.5887323667278398E-2</v>
      </c>
      <c r="AM1690" s="89">
        <f t="shared" si="26"/>
        <v>0.23924882444852266</v>
      </c>
    </row>
    <row r="1691" spans="1:39" x14ac:dyDescent="0.25">
      <c r="A1691" t="s">
        <v>44</v>
      </c>
      <c r="B1691" t="s">
        <v>52</v>
      </c>
      <c r="C1691" s="121" t="s">
        <v>174</v>
      </c>
      <c r="D1691" t="s">
        <v>196</v>
      </c>
      <c r="E1691" t="s">
        <v>61</v>
      </c>
      <c r="F1691">
        <v>3</v>
      </c>
      <c r="G1691">
        <v>38</v>
      </c>
      <c r="H1691" s="86">
        <v>45970.521448587999</v>
      </c>
      <c r="I1691" s="86">
        <v>45970.626955393498</v>
      </c>
      <c r="J1691" s="87">
        <v>2.53216333333333</v>
      </c>
      <c r="K1691" s="69" t="s">
        <v>274</v>
      </c>
      <c r="P1691" s="71" t="s">
        <v>275</v>
      </c>
      <c r="Q1691" s="88">
        <v>2.5212173873724701E-2</v>
      </c>
      <c r="R1691" s="89" t="s">
        <v>276</v>
      </c>
      <c r="T1691">
        <v>7.5</v>
      </c>
      <c r="U1691" s="76">
        <v>0.2</v>
      </c>
      <c r="V1691">
        <v>10</v>
      </c>
      <c r="W1691" s="90">
        <v>0.1</v>
      </c>
      <c r="AG1691" s="91">
        <v>0</v>
      </c>
      <c r="AK1691" s="71">
        <v>0.15</v>
      </c>
      <c r="AL1691" s="88">
        <v>3.5887323667278398E-2</v>
      </c>
      <c r="AM1691" s="89">
        <f t="shared" si="26"/>
        <v>0.23924882444852266</v>
      </c>
    </row>
    <row r="1692" spans="1:39" x14ac:dyDescent="0.25">
      <c r="A1692" t="s">
        <v>44</v>
      </c>
      <c r="B1692" t="s">
        <v>52</v>
      </c>
      <c r="C1692" s="121" t="s">
        <v>174</v>
      </c>
      <c r="D1692" t="s">
        <v>196</v>
      </c>
      <c r="E1692" t="s">
        <v>61</v>
      </c>
      <c r="F1692">
        <v>3</v>
      </c>
      <c r="G1692">
        <v>39</v>
      </c>
      <c r="H1692" s="86">
        <v>45970.626955393498</v>
      </c>
      <c r="I1692" s="86">
        <v>45970.732456921301</v>
      </c>
      <c r="J1692" s="87">
        <v>2.53203666666667</v>
      </c>
      <c r="K1692" s="69" t="s">
        <v>274</v>
      </c>
      <c r="P1692" s="71" t="s">
        <v>275</v>
      </c>
      <c r="Q1692" s="88">
        <v>2.0095064871148101E-2</v>
      </c>
      <c r="R1692" s="89" t="s">
        <v>276</v>
      </c>
      <c r="T1692">
        <v>7.3</v>
      </c>
      <c r="U1692" s="76">
        <v>0.2</v>
      </c>
      <c r="V1692">
        <v>10.1</v>
      </c>
      <c r="W1692" s="90">
        <v>0.1</v>
      </c>
      <c r="AG1692" s="91">
        <v>0</v>
      </c>
      <c r="AK1692" s="71">
        <v>0.15</v>
      </c>
      <c r="AL1692" s="88">
        <v>3.5887323667278398E-2</v>
      </c>
      <c r="AM1692" s="89">
        <f t="shared" si="26"/>
        <v>0.23924882444852266</v>
      </c>
    </row>
    <row r="1693" spans="1:39" x14ac:dyDescent="0.25">
      <c r="A1693" t="s">
        <v>44</v>
      </c>
      <c r="B1693" t="s">
        <v>52</v>
      </c>
      <c r="C1693" s="121" t="s">
        <v>174</v>
      </c>
      <c r="D1693" t="s">
        <v>196</v>
      </c>
      <c r="E1693" t="s">
        <v>61</v>
      </c>
      <c r="F1693">
        <v>3</v>
      </c>
      <c r="G1693">
        <v>40</v>
      </c>
      <c r="H1693" s="86">
        <v>45970.732456921301</v>
      </c>
      <c r="I1693" s="86">
        <v>45970.837957094896</v>
      </c>
      <c r="J1693" s="87">
        <v>2.5320041666666699</v>
      </c>
      <c r="K1693" s="69" t="s">
        <v>274</v>
      </c>
      <c r="P1693" s="71" t="s">
        <v>275</v>
      </c>
      <c r="Q1693" s="88">
        <v>1.0259046973657201E-2</v>
      </c>
      <c r="R1693" s="89" t="s">
        <v>276</v>
      </c>
      <c r="T1693">
        <v>6.3</v>
      </c>
      <c r="U1693" s="76">
        <v>0.2</v>
      </c>
      <c r="V1693">
        <v>10.1</v>
      </c>
      <c r="W1693" s="90">
        <v>0.1</v>
      </c>
      <c r="AG1693" s="91">
        <v>0</v>
      </c>
      <c r="AK1693" s="71">
        <v>0.15</v>
      </c>
      <c r="AL1693" s="88">
        <v>3.5887323667278398E-2</v>
      </c>
      <c r="AM1693" s="89">
        <f t="shared" si="26"/>
        <v>0.23924882444852266</v>
      </c>
    </row>
    <row r="1694" spans="1:39" x14ac:dyDescent="0.25">
      <c r="A1694" t="s">
        <v>44</v>
      </c>
      <c r="B1694" t="s">
        <v>52</v>
      </c>
      <c r="C1694" s="121" t="s">
        <v>174</v>
      </c>
      <c r="D1694" t="s">
        <v>196</v>
      </c>
      <c r="E1694" t="s">
        <v>61</v>
      </c>
      <c r="F1694">
        <v>3</v>
      </c>
      <c r="G1694">
        <v>41</v>
      </c>
      <c r="H1694" s="86">
        <v>45970.837957094896</v>
      </c>
      <c r="I1694" s="86">
        <v>45970.943469236103</v>
      </c>
      <c r="J1694" s="87">
        <v>2.5322913888888898</v>
      </c>
      <c r="K1694" s="69" t="s">
        <v>274</v>
      </c>
      <c r="P1694" s="71" t="s">
        <v>275</v>
      </c>
      <c r="Q1694" s="88">
        <v>9.7808479449609208E-3</v>
      </c>
      <c r="R1694" s="89" t="s">
        <v>276</v>
      </c>
      <c r="T1694">
        <v>6.2</v>
      </c>
      <c r="U1694" s="76">
        <v>0.2</v>
      </c>
      <c r="V1694">
        <v>10</v>
      </c>
      <c r="W1694" s="90">
        <v>0.1</v>
      </c>
      <c r="AG1694" s="91">
        <v>0</v>
      </c>
      <c r="AK1694" s="71">
        <v>0.15</v>
      </c>
      <c r="AL1694" s="88">
        <v>3.5887323667278398E-2</v>
      </c>
      <c r="AM1694" s="89">
        <f t="shared" si="26"/>
        <v>0.23924882444852266</v>
      </c>
    </row>
    <row r="1695" spans="1:39" x14ac:dyDescent="0.25">
      <c r="A1695" t="s">
        <v>44</v>
      </c>
      <c r="B1695" t="s">
        <v>52</v>
      </c>
      <c r="C1695" s="121" t="s">
        <v>174</v>
      </c>
      <c r="D1695" t="s">
        <v>196</v>
      </c>
      <c r="E1695" t="s">
        <v>61</v>
      </c>
      <c r="F1695">
        <v>3</v>
      </c>
      <c r="G1695">
        <v>42</v>
      </c>
      <c r="H1695" s="86">
        <v>45970.943469236103</v>
      </c>
      <c r="I1695" s="86">
        <v>45971.048971435201</v>
      </c>
      <c r="J1695" s="87">
        <v>2.5320527777777802</v>
      </c>
      <c r="K1695" s="69" t="s">
        <v>274</v>
      </c>
      <c r="P1695" s="71" t="s">
        <v>275</v>
      </c>
      <c r="Q1695" s="88">
        <v>1.0080382423012299E-2</v>
      </c>
      <c r="R1695" s="89" t="s">
        <v>276</v>
      </c>
      <c r="T1695">
        <v>5.0999999999999996</v>
      </c>
      <c r="U1695" s="76">
        <v>0.2</v>
      </c>
      <c r="V1695">
        <v>9.9</v>
      </c>
      <c r="W1695" s="90">
        <v>0.1</v>
      </c>
      <c r="AG1695" s="91">
        <v>0</v>
      </c>
      <c r="AK1695" s="71">
        <v>0.15</v>
      </c>
      <c r="AL1695" s="88">
        <v>3.5887323667278398E-2</v>
      </c>
      <c r="AM1695" s="89">
        <f t="shared" si="26"/>
        <v>0.23924882444852266</v>
      </c>
    </row>
    <row r="1696" spans="1:39" x14ac:dyDescent="0.25">
      <c r="A1696" t="s">
        <v>44</v>
      </c>
      <c r="B1696" t="s">
        <v>52</v>
      </c>
      <c r="C1696" s="121" t="s">
        <v>174</v>
      </c>
      <c r="D1696" t="s">
        <v>196</v>
      </c>
      <c r="E1696" t="s">
        <v>61</v>
      </c>
      <c r="F1696">
        <v>3</v>
      </c>
      <c r="G1696">
        <v>43</v>
      </c>
      <c r="H1696" s="86">
        <v>45971.048971435201</v>
      </c>
      <c r="I1696" s="86">
        <v>45971.154471203699</v>
      </c>
      <c r="J1696" s="87">
        <v>2.53199444444444</v>
      </c>
      <c r="K1696" s="69" t="s">
        <v>274</v>
      </c>
      <c r="P1696" s="71" t="s">
        <v>275</v>
      </c>
      <c r="Q1696" s="88">
        <v>1.32054426773876E-2</v>
      </c>
      <c r="R1696" s="89" t="s">
        <v>276</v>
      </c>
      <c r="T1696">
        <v>6.1</v>
      </c>
      <c r="U1696" s="76">
        <v>0.2</v>
      </c>
      <c r="V1696">
        <v>9.8000000000000007</v>
      </c>
      <c r="W1696" s="90">
        <v>0.1</v>
      </c>
      <c r="AG1696" s="91">
        <v>0</v>
      </c>
      <c r="AK1696" s="71">
        <v>0.15</v>
      </c>
      <c r="AL1696" s="88">
        <v>3.5887323667278398E-2</v>
      </c>
      <c r="AM1696" s="89">
        <f t="shared" si="26"/>
        <v>0.23924882444852266</v>
      </c>
    </row>
    <row r="1697" spans="1:39" x14ac:dyDescent="0.25">
      <c r="A1697" t="s">
        <v>44</v>
      </c>
      <c r="B1697" t="s">
        <v>52</v>
      </c>
      <c r="C1697" s="121" t="s">
        <v>174</v>
      </c>
      <c r="D1697" t="s">
        <v>196</v>
      </c>
      <c r="E1697" t="s">
        <v>61</v>
      </c>
      <c r="F1697">
        <v>3</v>
      </c>
      <c r="G1697">
        <v>44</v>
      </c>
      <c r="H1697" s="86">
        <v>45971.154471203699</v>
      </c>
      <c r="I1697" s="86">
        <v>45971.259970949097</v>
      </c>
      <c r="J1697" s="87">
        <v>2.53199388888889</v>
      </c>
      <c r="K1697" s="69" t="s">
        <v>274</v>
      </c>
      <c r="P1697" s="71" t="s">
        <v>275</v>
      </c>
      <c r="Q1697" s="88">
        <v>1.4672381195804499E-2</v>
      </c>
      <c r="R1697" s="89" t="s">
        <v>276</v>
      </c>
      <c r="T1697">
        <v>5.6</v>
      </c>
      <c r="U1697" s="76">
        <v>0.2</v>
      </c>
      <c r="V1697">
        <v>9.6999999999999993</v>
      </c>
      <c r="W1697" s="90">
        <v>0.1</v>
      </c>
      <c r="AG1697" s="91">
        <v>0</v>
      </c>
      <c r="AK1697" s="71">
        <v>0.15</v>
      </c>
      <c r="AL1697" s="88">
        <v>3.5887323667278398E-2</v>
      </c>
      <c r="AM1697" s="89">
        <f t="shared" si="26"/>
        <v>0.23924882444852266</v>
      </c>
    </row>
    <row r="1698" spans="1:39" x14ac:dyDescent="0.25">
      <c r="A1698" t="s">
        <v>44</v>
      </c>
      <c r="B1698" t="s">
        <v>52</v>
      </c>
      <c r="C1698" s="121" t="s">
        <v>174</v>
      </c>
      <c r="D1698" t="s">
        <v>196</v>
      </c>
      <c r="E1698" t="s">
        <v>61</v>
      </c>
      <c r="F1698">
        <v>3</v>
      </c>
      <c r="G1698">
        <v>45</v>
      </c>
      <c r="H1698" s="86">
        <v>45971.259970949097</v>
      </c>
      <c r="I1698" s="86">
        <v>45971.365474791703</v>
      </c>
      <c r="J1698" s="87">
        <v>2.5320922222222202</v>
      </c>
      <c r="K1698" s="69" t="s">
        <v>274</v>
      </c>
      <c r="P1698" s="71" t="s">
        <v>275</v>
      </c>
      <c r="Q1698" s="88">
        <v>9.8480715121381096E-3</v>
      </c>
      <c r="R1698" s="89" t="s">
        <v>276</v>
      </c>
      <c r="T1698">
        <v>5.5</v>
      </c>
      <c r="U1698" s="76">
        <v>0.2</v>
      </c>
      <c r="V1698">
        <v>9.6</v>
      </c>
      <c r="W1698" s="90">
        <v>0.1</v>
      </c>
      <c r="AG1698" s="91">
        <v>0</v>
      </c>
      <c r="AK1698" s="71">
        <v>0.15</v>
      </c>
      <c r="AL1698" s="88">
        <v>3.5887323667278398E-2</v>
      </c>
      <c r="AM1698" s="89">
        <f t="shared" si="26"/>
        <v>0.23924882444852266</v>
      </c>
    </row>
    <row r="1699" spans="1:39" x14ac:dyDescent="0.25">
      <c r="A1699" t="s">
        <v>44</v>
      </c>
      <c r="B1699" t="s">
        <v>52</v>
      </c>
      <c r="C1699" s="121" t="s">
        <v>174</v>
      </c>
      <c r="D1699" t="s">
        <v>196</v>
      </c>
      <c r="E1699" t="s">
        <v>61</v>
      </c>
      <c r="F1699">
        <v>3</v>
      </c>
      <c r="G1699">
        <v>46</v>
      </c>
      <c r="H1699" s="86">
        <v>45971.365474791703</v>
      </c>
      <c r="I1699" s="86">
        <v>45971.470968981499</v>
      </c>
      <c r="J1699" s="87">
        <v>2.5318605555555602</v>
      </c>
      <c r="K1699" s="69" t="s">
        <v>274</v>
      </c>
      <c r="P1699" s="71" t="s">
        <v>275</v>
      </c>
      <c r="Q1699" s="88">
        <v>8.9557513626414096E-3</v>
      </c>
      <c r="R1699" s="89" t="s">
        <v>276</v>
      </c>
      <c r="T1699">
        <v>5.7</v>
      </c>
      <c r="U1699" s="76">
        <v>0.2</v>
      </c>
      <c r="V1699">
        <v>9.5</v>
      </c>
      <c r="W1699" s="90">
        <v>0.1</v>
      </c>
      <c r="AG1699" s="91">
        <v>0</v>
      </c>
      <c r="AK1699" s="71">
        <v>0.15</v>
      </c>
      <c r="AL1699" s="88">
        <v>3.5887323667278398E-2</v>
      </c>
      <c r="AM1699" s="89">
        <f t="shared" si="26"/>
        <v>0.23924882444852266</v>
      </c>
    </row>
    <row r="1700" spans="1:39" x14ac:dyDescent="0.25">
      <c r="A1700" t="s">
        <v>44</v>
      </c>
      <c r="B1700" t="s">
        <v>52</v>
      </c>
      <c r="C1700" s="121" t="s">
        <v>174</v>
      </c>
      <c r="D1700" t="s">
        <v>196</v>
      </c>
      <c r="E1700" t="s">
        <v>61</v>
      </c>
      <c r="F1700">
        <v>3</v>
      </c>
      <c r="G1700">
        <v>47</v>
      </c>
      <c r="H1700" s="86">
        <v>45971.470968981499</v>
      </c>
      <c r="I1700" s="86">
        <v>45971.576475578702</v>
      </c>
      <c r="J1700" s="87">
        <v>2.5321583333333302</v>
      </c>
      <c r="K1700" s="69" t="s">
        <v>274</v>
      </c>
      <c r="P1700" s="71" t="s">
        <v>275</v>
      </c>
      <c r="Q1700" s="88">
        <v>3.5866231473576302E-2</v>
      </c>
      <c r="R1700" s="89" t="s">
        <v>276</v>
      </c>
      <c r="T1700">
        <v>8.1</v>
      </c>
      <c r="U1700" s="76">
        <v>0.2</v>
      </c>
      <c r="V1700">
        <v>9.5</v>
      </c>
      <c r="W1700" s="90">
        <v>0.1</v>
      </c>
      <c r="AG1700" s="91">
        <v>0</v>
      </c>
      <c r="AK1700" s="71">
        <v>0.15</v>
      </c>
      <c r="AL1700" s="88">
        <v>3.5887323667278398E-2</v>
      </c>
      <c r="AM1700" s="89">
        <f t="shared" si="26"/>
        <v>0.23924882444852266</v>
      </c>
    </row>
    <row r="1701" spans="1:39" x14ac:dyDescent="0.25">
      <c r="A1701" t="s">
        <v>44</v>
      </c>
      <c r="B1701" t="s">
        <v>52</v>
      </c>
      <c r="C1701" s="121" t="s">
        <v>174</v>
      </c>
      <c r="D1701" t="s">
        <v>196</v>
      </c>
      <c r="E1701" t="s">
        <v>61</v>
      </c>
      <c r="F1701">
        <v>3</v>
      </c>
      <c r="G1701">
        <v>48</v>
      </c>
      <c r="H1701" s="86">
        <v>45971.576475578702</v>
      </c>
      <c r="I1701" s="86">
        <v>45971.681980486101</v>
      </c>
      <c r="J1701" s="87">
        <v>2.5321177777777799</v>
      </c>
      <c r="K1701" s="69" t="s">
        <v>274</v>
      </c>
      <c r="P1701" s="71" t="s">
        <v>275</v>
      </c>
      <c r="Q1701" s="88">
        <v>3.87916401961192E-2</v>
      </c>
      <c r="R1701" s="89" t="s">
        <v>276</v>
      </c>
      <c r="T1701">
        <v>9</v>
      </c>
      <c r="U1701" s="76">
        <v>0.2</v>
      </c>
      <c r="V1701">
        <v>9.6999999999999993</v>
      </c>
      <c r="W1701" s="90">
        <v>0.1</v>
      </c>
      <c r="AG1701" s="91">
        <v>0</v>
      </c>
      <c r="AK1701" s="71">
        <v>0.15</v>
      </c>
      <c r="AL1701" s="88">
        <v>3.5887323667278398E-2</v>
      </c>
      <c r="AM1701" s="89">
        <f t="shared" si="26"/>
        <v>0.23924882444852266</v>
      </c>
    </row>
    <row r="1702" spans="1:39" x14ac:dyDescent="0.25">
      <c r="A1702" t="s">
        <v>44</v>
      </c>
      <c r="B1702" t="s">
        <v>52</v>
      </c>
      <c r="C1702" s="121" t="s">
        <v>174</v>
      </c>
      <c r="D1702" t="s">
        <v>196</v>
      </c>
      <c r="E1702" t="s">
        <v>61</v>
      </c>
      <c r="F1702">
        <v>3</v>
      </c>
      <c r="G1702">
        <v>49</v>
      </c>
      <c r="H1702" s="86">
        <v>45971.681980486101</v>
      </c>
      <c r="I1702" s="86">
        <v>45971.787497488403</v>
      </c>
      <c r="J1702" s="87">
        <v>2.5324080555555599</v>
      </c>
      <c r="K1702" s="69" t="s">
        <v>274</v>
      </c>
      <c r="P1702" s="71" t="s">
        <v>275</v>
      </c>
      <c r="Q1702" s="88">
        <v>1.9804798467505099E-2</v>
      </c>
      <c r="R1702" s="89" t="s">
        <v>276</v>
      </c>
      <c r="T1702">
        <v>8</v>
      </c>
      <c r="U1702" s="76">
        <v>0.2</v>
      </c>
      <c r="V1702">
        <v>9.8000000000000007</v>
      </c>
      <c r="W1702" s="90">
        <v>0.1</v>
      </c>
      <c r="AG1702" s="91">
        <v>0</v>
      </c>
      <c r="AK1702" s="71">
        <v>0.15</v>
      </c>
      <c r="AL1702" s="88">
        <v>3.5887323667278398E-2</v>
      </c>
      <c r="AM1702" s="89">
        <f t="shared" si="26"/>
        <v>0.23924882444852266</v>
      </c>
    </row>
    <row r="1703" spans="1:39" x14ac:dyDescent="0.25">
      <c r="A1703" t="s">
        <v>44</v>
      </c>
      <c r="B1703" t="s">
        <v>52</v>
      </c>
      <c r="C1703" s="121" t="s">
        <v>174</v>
      </c>
      <c r="D1703" t="s">
        <v>196</v>
      </c>
      <c r="E1703" t="s">
        <v>61</v>
      </c>
      <c r="F1703">
        <v>3</v>
      </c>
      <c r="G1703">
        <v>50</v>
      </c>
      <c r="H1703" s="86">
        <v>45971.787497488403</v>
      </c>
      <c r="I1703" s="86">
        <v>45971.893022997698</v>
      </c>
      <c r="J1703" s="87">
        <v>2.53261222222222</v>
      </c>
      <c r="K1703" s="69" t="s">
        <v>274</v>
      </c>
      <c r="P1703" s="71" t="s">
        <v>275</v>
      </c>
      <c r="Q1703" s="88">
        <v>1.8323659760667799E-2</v>
      </c>
      <c r="R1703" s="89" t="s">
        <v>276</v>
      </c>
      <c r="T1703">
        <v>7.8</v>
      </c>
      <c r="U1703" s="76">
        <v>0.2</v>
      </c>
      <c r="V1703">
        <v>9.8000000000000007</v>
      </c>
      <c r="W1703" s="90">
        <v>0.1</v>
      </c>
      <c r="AG1703" s="91">
        <v>0</v>
      </c>
      <c r="AK1703" s="71">
        <v>0.15</v>
      </c>
      <c r="AL1703" s="88">
        <v>3.5887323667278398E-2</v>
      </c>
      <c r="AM1703" s="89">
        <f t="shared" si="26"/>
        <v>0.23924882444852266</v>
      </c>
    </row>
    <row r="1704" spans="1:39" x14ac:dyDescent="0.25">
      <c r="A1704" t="s">
        <v>44</v>
      </c>
      <c r="B1704" t="s">
        <v>52</v>
      </c>
      <c r="C1704" s="121" t="s">
        <v>174</v>
      </c>
      <c r="D1704" t="s">
        <v>196</v>
      </c>
      <c r="E1704" t="s">
        <v>61</v>
      </c>
      <c r="F1704">
        <v>3</v>
      </c>
      <c r="G1704">
        <v>51</v>
      </c>
      <c r="H1704" s="86">
        <v>45971.893022997698</v>
      </c>
      <c r="I1704" s="86">
        <v>45971.998549780103</v>
      </c>
      <c r="J1704" s="87">
        <v>2.53264277777778</v>
      </c>
      <c r="K1704" s="69" t="s">
        <v>274</v>
      </c>
      <c r="P1704" s="71" t="s">
        <v>275</v>
      </c>
      <c r="Q1704" s="88">
        <v>1.8612657240142601E-2</v>
      </c>
      <c r="R1704" s="89" t="s">
        <v>276</v>
      </c>
      <c r="T1704">
        <v>7.9</v>
      </c>
      <c r="U1704" s="76">
        <v>0.2</v>
      </c>
      <c r="V1704">
        <v>9.8000000000000007</v>
      </c>
      <c r="W1704" s="90">
        <v>0.1</v>
      </c>
      <c r="AG1704" s="91">
        <v>0</v>
      </c>
      <c r="AK1704" s="71">
        <v>0.15</v>
      </c>
      <c r="AL1704" s="88">
        <v>3.5887323667278398E-2</v>
      </c>
      <c r="AM1704" s="89">
        <f t="shared" si="26"/>
        <v>0.23924882444852266</v>
      </c>
    </row>
    <row r="1705" spans="1:39" x14ac:dyDescent="0.25">
      <c r="A1705" t="s">
        <v>44</v>
      </c>
      <c r="B1705" t="s">
        <v>52</v>
      </c>
      <c r="C1705" s="121" t="s">
        <v>174</v>
      </c>
      <c r="D1705" t="s">
        <v>196</v>
      </c>
      <c r="E1705" t="s">
        <v>61</v>
      </c>
      <c r="F1705">
        <v>3</v>
      </c>
      <c r="G1705">
        <v>52</v>
      </c>
      <c r="H1705" s="86">
        <v>45971.998549780103</v>
      </c>
      <c r="I1705" s="86">
        <v>45972.104063680599</v>
      </c>
      <c r="J1705" s="87">
        <v>2.5323336111111101</v>
      </c>
      <c r="K1705" s="69" t="s">
        <v>274</v>
      </c>
      <c r="P1705" s="71" t="s">
        <v>275</v>
      </c>
      <c r="Q1705" s="88">
        <v>1.8105831475668799E-2</v>
      </c>
      <c r="R1705" s="89" t="s">
        <v>276</v>
      </c>
      <c r="T1705">
        <v>6.6</v>
      </c>
      <c r="U1705" s="76">
        <v>0.2</v>
      </c>
      <c r="V1705">
        <v>9.6999999999999993</v>
      </c>
      <c r="W1705" s="90">
        <v>0.1</v>
      </c>
      <c r="AG1705" s="91">
        <v>0</v>
      </c>
      <c r="AK1705" s="71">
        <v>0.15</v>
      </c>
      <c r="AL1705" s="88">
        <v>3.5887323667278398E-2</v>
      </c>
      <c r="AM1705" s="89">
        <f t="shared" si="26"/>
        <v>0.23924882444852266</v>
      </c>
    </row>
    <row r="1706" spans="1:39" x14ac:dyDescent="0.25">
      <c r="A1706" t="s">
        <v>44</v>
      </c>
      <c r="B1706" t="s">
        <v>52</v>
      </c>
      <c r="C1706" s="121" t="s">
        <v>174</v>
      </c>
      <c r="D1706" t="s">
        <v>196</v>
      </c>
      <c r="E1706" t="s">
        <v>61</v>
      </c>
      <c r="F1706">
        <v>3</v>
      </c>
      <c r="G1706">
        <v>53</v>
      </c>
      <c r="H1706" s="86">
        <v>45972.104063680599</v>
      </c>
      <c r="I1706" s="86">
        <v>45972.209594166699</v>
      </c>
      <c r="J1706" s="87">
        <v>2.5327316666666699</v>
      </c>
      <c r="K1706" s="69" t="s">
        <v>274</v>
      </c>
      <c r="P1706" s="71" t="s">
        <v>275</v>
      </c>
      <c r="Q1706" s="88">
        <v>1.1016837983454699E-2</v>
      </c>
      <c r="R1706" s="89" t="s">
        <v>276</v>
      </c>
      <c r="T1706">
        <v>6.1</v>
      </c>
      <c r="U1706" s="76">
        <v>0.2</v>
      </c>
      <c r="V1706">
        <v>9.6</v>
      </c>
      <c r="W1706" s="90">
        <v>0.1</v>
      </c>
      <c r="AG1706" s="91">
        <v>0</v>
      </c>
      <c r="AK1706" s="71">
        <v>0.15</v>
      </c>
      <c r="AL1706" s="88">
        <v>3.5887323667278398E-2</v>
      </c>
      <c r="AM1706" s="89">
        <f t="shared" si="26"/>
        <v>0.23924882444852266</v>
      </c>
    </row>
    <row r="1707" spans="1:39" x14ac:dyDescent="0.25">
      <c r="A1707" t="s">
        <v>44</v>
      </c>
      <c r="B1707" t="s">
        <v>52</v>
      </c>
      <c r="C1707" s="121" t="s">
        <v>174</v>
      </c>
      <c r="D1707" t="s">
        <v>196</v>
      </c>
      <c r="E1707" t="s">
        <v>61</v>
      </c>
      <c r="F1707">
        <v>3</v>
      </c>
      <c r="G1707">
        <v>54</v>
      </c>
      <c r="H1707" s="86">
        <v>45972.209594166699</v>
      </c>
      <c r="I1707" s="86">
        <v>45972.315103287001</v>
      </c>
      <c r="J1707" s="87">
        <v>2.5322188888888899</v>
      </c>
      <c r="K1707" s="69" t="s">
        <v>274</v>
      </c>
      <c r="P1707" s="71" t="s">
        <v>275</v>
      </c>
      <c r="Q1707" s="88">
        <v>1.06000191108757E-2</v>
      </c>
      <c r="R1707" s="89" t="s">
        <v>276</v>
      </c>
      <c r="T1707">
        <v>6.2</v>
      </c>
      <c r="U1707" s="76">
        <v>0.2</v>
      </c>
      <c r="V1707">
        <v>9.4</v>
      </c>
      <c r="W1707" s="90">
        <v>0.1</v>
      </c>
      <c r="AG1707" s="91">
        <v>0</v>
      </c>
      <c r="AK1707" s="71">
        <v>0.15</v>
      </c>
      <c r="AL1707" s="88">
        <v>3.5887323667278398E-2</v>
      </c>
      <c r="AM1707" s="89">
        <f t="shared" si="26"/>
        <v>0.23924882444852266</v>
      </c>
    </row>
    <row r="1708" spans="1:39" x14ac:dyDescent="0.25">
      <c r="A1708" t="s">
        <v>44</v>
      </c>
      <c r="B1708" t="s">
        <v>52</v>
      </c>
      <c r="C1708" s="121" t="s">
        <v>174</v>
      </c>
      <c r="D1708" t="s">
        <v>196</v>
      </c>
      <c r="E1708" t="s">
        <v>61</v>
      </c>
      <c r="F1708">
        <v>3</v>
      </c>
      <c r="G1708">
        <v>55</v>
      </c>
      <c r="H1708" s="86">
        <v>45972.315103287001</v>
      </c>
      <c r="I1708" s="86">
        <v>45972.420642592602</v>
      </c>
      <c r="J1708" s="87">
        <v>2.5329433333333302</v>
      </c>
      <c r="K1708" s="69" t="s">
        <v>274</v>
      </c>
      <c r="P1708" s="71" t="s">
        <v>275</v>
      </c>
      <c r="Q1708" s="88">
        <v>2.2770517172858801E-2</v>
      </c>
      <c r="R1708" s="89" t="s">
        <v>276</v>
      </c>
      <c r="T1708">
        <v>7.2</v>
      </c>
      <c r="U1708" s="76">
        <v>0.2</v>
      </c>
      <c r="V1708">
        <v>9.3000000000000007</v>
      </c>
      <c r="W1708" s="90">
        <v>0.1</v>
      </c>
      <c r="AG1708" s="91">
        <v>0</v>
      </c>
      <c r="AK1708" s="71">
        <v>0.15</v>
      </c>
      <c r="AL1708" s="88">
        <v>3.5887323667278398E-2</v>
      </c>
      <c r="AM1708" s="89">
        <f t="shared" si="26"/>
        <v>0.23924882444852266</v>
      </c>
    </row>
    <row r="1709" spans="1:39" x14ac:dyDescent="0.25">
      <c r="A1709" t="s">
        <v>44</v>
      </c>
      <c r="B1709" t="s">
        <v>52</v>
      </c>
      <c r="C1709" s="121" t="s">
        <v>174</v>
      </c>
      <c r="D1709" t="s">
        <v>196</v>
      </c>
      <c r="E1709" t="s">
        <v>61</v>
      </c>
      <c r="F1709">
        <v>3</v>
      </c>
      <c r="G1709">
        <v>56</v>
      </c>
      <c r="H1709" s="86">
        <v>45972.420642592602</v>
      </c>
      <c r="I1709" s="86">
        <v>45972.526163067101</v>
      </c>
      <c r="J1709" s="87">
        <v>2.5324913888888898</v>
      </c>
      <c r="K1709" s="69" t="s">
        <v>274</v>
      </c>
      <c r="P1709" s="71" t="s">
        <v>275</v>
      </c>
      <c r="Q1709" s="88">
        <v>2.5144064345270799E-2</v>
      </c>
      <c r="R1709" s="89" t="s">
        <v>276</v>
      </c>
      <c r="T1709">
        <v>7.8</v>
      </c>
      <c r="U1709" s="76">
        <v>0.2</v>
      </c>
      <c r="V1709">
        <v>9.3000000000000007</v>
      </c>
      <c r="W1709" s="90">
        <v>0.1</v>
      </c>
      <c r="AG1709" s="91">
        <v>0</v>
      </c>
      <c r="AK1709" s="71">
        <v>0.15</v>
      </c>
      <c r="AL1709" s="88">
        <v>3.5887323667278398E-2</v>
      </c>
      <c r="AM1709" s="89">
        <f t="shared" si="26"/>
        <v>0.23924882444852266</v>
      </c>
    </row>
    <row r="1710" spans="1:39" x14ac:dyDescent="0.25">
      <c r="A1710" t="s">
        <v>44</v>
      </c>
      <c r="B1710" t="s">
        <v>52</v>
      </c>
      <c r="C1710" s="121" t="s">
        <v>174</v>
      </c>
      <c r="D1710" t="s">
        <v>196</v>
      </c>
      <c r="E1710" t="s">
        <v>61</v>
      </c>
      <c r="F1710">
        <v>3</v>
      </c>
      <c r="G1710">
        <v>57</v>
      </c>
      <c r="H1710" s="86">
        <v>45972.526163067101</v>
      </c>
      <c r="I1710" s="86">
        <v>45972.631696400502</v>
      </c>
      <c r="J1710" s="87">
        <v>2.5327999999999999</v>
      </c>
      <c r="K1710" s="69" t="s">
        <v>274</v>
      </c>
      <c r="P1710" s="71" t="s">
        <v>275</v>
      </c>
      <c r="Q1710" s="88">
        <v>3.1454967194852503E-2</v>
      </c>
      <c r="R1710" s="89" t="s">
        <v>276</v>
      </c>
      <c r="T1710">
        <v>9.1</v>
      </c>
      <c r="U1710" s="76">
        <v>0.2</v>
      </c>
      <c r="V1710">
        <v>9.3000000000000007</v>
      </c>
      <c r="W1710" s="90">
        <v>0.1</v>
      </c>
      <c r="AG1710" s="91">
        <v>0</v>
      </c>
      <c r="AK1710" s="71">
        <v>0.15</v>
      </c>
      <c r="AL1710" s="88">
        <v>3.5887323667278398E-2</v>
      </c>
      <c r="AM1710" s="89">
        <f t="shared" si="26"/>
        <v>0.23924882444852266</v>
      </c>
    </row>
    <row r="1711" spans="1:39" x14ac:dyDescent="0.25">
      <c r="A1711" t="s">
        <v>44</v>
      </c>
      <c r="B1711" t="s">
        <v>52</v>
      </c>
      <c r="C1711" s="121" t="s">
        <v>174</v>
      </c>
      <c r="D1711" t="s">
        <v>196</v>
      </c>
      <c r="E1711" t="s">
        <v>61</v>
      </c>
      <c r="F1711">
        <v>3</v>
      </c>
      <c r="G1711">
        <v>58</v>
      </c>
      <c r="H1711" s="86">
        <v>45972.631696400502</v>
      </c>
      <c r="I1711" s="86">
        <v>45972.7372146528</v>
      </c>
      <c r="J1711" s="87">
        <v>2.5324380555555601</v>
      </c>
      <c r="K1711" s="69" t="s">
        <v>274</v>
      </c>
      <c r="P1711" s="71" t="s">
        <v>275</v>
      </c>
      <c r="Q1711" s="88">
        <v>3.0638083478605398E-2</v>
      </c>
      <c r="R1711" s="89" t="s">
        <v>276</v>
      </c>
      <c r="T1711">
        <v>9.1999999999999993</v>
      </c>
      <c r="U1711" s="76">
        <v>0.2</v>
      </c>
      <c r="V1711">
        <v>9.4</v>
      </c>
      <c r="W1711" s="90">
        <v>0.1</v>
      </c>
      <c r="AG1711" s="91">
        <v>0</v>
      </c>
      <c r="AK1711" s="71">
        <v>0.15</v>
      </c>
      <c r="AL1711" s="88">
        <v>3.5887323667278398E-2</v>
      </c>
      <c r="AM1711" s="89">
        <f t="shared" si="26"/>
        <v>0.23924882444852266</v>
      </c>
    </row>
    <row r="1712" spans="1:39" x14ac:dyDescent="0.25">
      <c r="A1712" t="s">
        <v>44</v>
      </c>
      <c r="B1712" t="s">
        <v>52</v>
      </c>
      <c r="C1712" s="121" t="s">
        <v>174</v>
      </c>
      <c r="D1712" t="s">
        <v>196</v>
      </c>
      <c r="E1712" t="s">
        <v>61</v>
      </c>
      <c r="F1712">
        <v>3</v>
      </c>
      <c r="G1712">
        <v>59</v>
      </c>
      <c r="H1712" s="86">
        <v>45972.7372146528</v>
      </c>
      <c r="I1712" s="86">
        <v>45972.842743205998</v>
      </c>
      <c r="J1712" s="87">
        <v>2.5326852777777802</v>
      </c>
      <c r="K1712" s="69" t="s">
        <v>274</v>
      </c>
      <c r="P1712" s="71" t="s">
        <v>275</v>
      </c>
      <c r="Q1712" s="88">
        <v>1.6512238210597101E-2</v>
      </c>
      <c r="R1712" s="89" t="s">
        <v>276</v>
      </c>
      <c r="T1712">
        <v>8</v>
      </c>
      <c r="U1712" s="76">
        <v>0.2</v>
      </c>
      <c r="V1712">
        <v>9.5</v>
      </c>
      <c r="W1712" s="90">
        <v>0.1</v>
      </c>
      <c r="AG1712" s="91">
        <v>0</v>
      </c>
      <c r="AK1712" s="71">
        <v>0.15</v>
      </c>
      <c r="AL1712" s="88">
        <v>3.5887323667278398E-2</v>
      </c>
      <c r="AM1712" s="89">
        <f t="shared" si="26"/>
        <v>0.23924882444852266</v>
      </c>
    </row>
    <row r="1713" spans="1:39" x14ac:dyDescent="0.25">
      <c r="A1713" t="s">
        <v>44</v>
      </c>
      <c r="B1713" t="s">
        <v>52</v>
      </c>
      <c r="C1713" s="121" t="s">
        <v>174</v>
      </c>
      <c r="D1713" t="s">
        <v>196</v>
      </c>
      <c r="E1713" t="s">
        <v>61</v>
      </c>
      <c r="F1713">
        <v>3</v>
      </c>
      <c r="G1713">
        <v>60</v>
      </c>
      <c r="H1713" s="86">
        <v>45972.842743205998</v>
      </c>
      <c r="I1713" s="86">
        <v>45972.948267615699</v>
      </c>
      <c r="J1713" s="87">
        <v>2.53258583333333</v>
      </c>
      <c r="K1713" s="69" t="s">
        <v>274</v>
      </c>
      <c r="P1713" s="71" t="s">
        <v>275</v>
      </c>
      <c r="Q1713" s="88">
        <v>1.28253907226574E-2</v>
      </c>
      <c r="R1713" s="89" t="s">
        <v>276</v>
      </c>
      <c r="T1713">
        <v>6.6</v>
      </c>
      <c r="U1713" s="76">
        <v>0.2</v>
      </c>
      <c r="V1713">
        <v>9.5</v>
      </c>
      <c r="W1713" s="90">
        <v>0.1</v>
      </c>
      <c r="AG1713" s="91">
        <v>0</v>
      </c>
      <c r="AK1713" s="71">
        <v>0.15</v>
      </c>
      <c r="AL1713" s="88">
        <v>3.5887323667278398E-2</v>
      </c>
      <c r="AM1713" s="89">
        <f t="shared" si="26"/>
        <v>0.23924882444852266</v>
      </c>
    </row>
    <row r="1714" spans="1:39" x14ac:dyDescent="0.25">
      <c r="A1714" t="s">
        <v>44</v>
      </c>
      <c r="B1714" t="s">
        <v>52</v>
      </c>
      <c r="C1714" s="121" t="s">
        <v>174</v>
      </c>
      <c r="D1714" t="s">
        <v>196</v>
      </c>
      <c r="E1714" t="s">
        <v>61</v>
      </c>
      <c r="F1714">
        <v>3</v>
      </c>
      <c r="G1714">
        <v>61</v>
      </c>
      <c r="H1714" s="86">
        <v>45972.948267615699</v>
      </c>
      <c r="I1714" s="86">
        <v>45973.053783946802</v>
      </c>
      <c r="J1714" s="87">
        <v>2.53239194444444</v>
      </c>
      <c r="K1714" s="69" t="s">
        <v>274</v>
      </c>
      <c r="P1714" s="71" t="s">
        <v>275</v>
      </c>
      <c r="Q1714" s="88">
        <v>1.1576074823653099E-2</v>
      </c>
      <c r="R1714" s="89" t="s">
        <v>276</v>
      </c>
      <c r="T1714">
        <v>8.6</v>
      </c>
      <c r="U1714" s="76">
        <v>0.2</v>
      </c>
      <c r="V1714">
        <v>9.3000000000000007</v>
      </c>
      <c r="W1714" s="90">
        <v>0.1</v>
      </c>
      <c r="AG1714" s="91">
        <v>0</v>
      </c>
      <c r="AK1714" s="71">
        <v>0.15</v>
      </c>
      <c r="AL1714" s="88">
        <v>3.5887323667278398E-2</v>
      </c>
      <c r="AM1714" s="89">
        <f t="shared" si="26"/>
        <v>0.23924882444852266</v>
      </c>
    </row>
    <row r="1715" spans="1:39" x14ac:dyDescent="0.25">
      <c r="A1715" t="s">
        <v>44</v>
      </c>
      <c r="B1715" t="s">
        <v>52</v>
      </c>
      <c r="C1715" s="121" t="s">
        <v>174</v>
      </c>
      <c r="D1715" t="s">
        <v>196</v>
      </c>
      <c r="E1715" t="s">
        <v>61</v>
      </c>
      <c r="F1715">
        <v>3</v>
      </c>
      <c r="G1715">
        <v>62</v>
      </c>
      <c r="H1715" s="86">
        <v>45973.053783946802</v>
      </c>
      <c r="I1715" s="86">
        <v>45973.159309513903</v>
      </c>
      <c r="J1715" s="87">
        <v>2.5326136111111102</v>
      </c>
      <c r="K1715" s="69" t="s">
        <v>274</v>
      </c>
      <c r="P1715" s="71" t="s">
        <v>275</v>
      </c>
      <c r="Q1715" s="88">
        <v>3.1413126135706501E-2</v>
      </c>
      <c r="R1715" s="89" t="s">
        <v>276</v>
      </c>
      <c r="T1715">
        <v>9.5</v>
      </c>
      <c r="U1715" s="76">
        <v>0.2</v>
      </c>
      <c r="V1715">
        <v>9.3000000000000007</v>
      </c>
      <c r="W1715" s="90">
        <v>0.1</v>
      </c>
      <c r="AG1715" s="91">
        <v>0</v>
      </c>
      <c r="AK1715" s="71">
        <v>0.15</v>
      </c>
      <c r="AL1715" s="88">
        <v>3.5887323667278398E-2</v>
      </c>
      <c r="AM1715" s="89">
        <f t="shared" si="26"/>
        <v>0.23924882444852266</v>
      </c>
    </row>
    <row r="1716" spans="1:39" x14ac:dyDescent="0.25">
      <c r="A1716" t="s">
        <v>44</v>
      </c>
      <c r="B1716" t="s">
        <v>52</v>
      </c>
      <c r="C1716" s="121" t="s">
        <v>174</v>
      </c>
      <c r="D1716" t="s">
        <v>196</v>
      </c>
      <c r="E1716" t="s">
        <v>61</v>
      </c>
      <c r="F1716">
        <v>3</v>
      </c>
      <c r="G1716">
        <v>63</v>
      </c>
      <c r="H1716" s="86">
        <v>45973.159309513903</v>
      </c>
      <c r="I1716" s="86">
        <v>45973.264846099497</v>
      </c>
      <c r="J1716" s="87">
        <v>2.5328780555555599</v>
      </c>
      <c r="K1716" s="69" t="s">
        <v>274</v>
      </c>
      <c r="P1716" s="71" t="s">
        <v>275</v>
      </c>
      <c r="Q1716" s="88">
        <v>3.7518763325189802E-2</v>
      </c>
      <c r="R1716" s="89" t="s">
        <v>276</v>
      </c>
      <c r="T1716">
        <v>9.1999999999999993</v>
      </c>
      <c r="U1716" s="76">
        <v>0.2</v>
      </c>
      <c r="V1716">
        <v>9.4</v>
      </c>
      <c r="W1716" s="90">
        <v>0.1</v>
      </c>
      <c r="AG1716" s="91">
        <v>0</v>
      </c>
      <c r="AK1716" s="71">
        <v>0.15</v>
      </c>
      <c r="AL1716" s="88">
        <v>3.5887323667278398E-2</v>
      </c>
      <c r="AM1716" s="89">
        <f t="shared" si="26"/>
        <v>0.23924882444852266</v>
      </c>
    </row>
    <row r="1717" spans="1:39" x14ac:dyDescent="0.25">
      <c r="A1717" t="s">
        <v>44</v>
      </c>
      <c r="B1717" t="s">
        <v>52</v>
      </c>
      <c r="C1717" s="121" t="s">
        <v>174</v>
      </c>
      <c r="D1717" t="s">
        <v>196</v>
      </c>
      <c r="E1717" t="s">
        <v>61</v>
      </c>
      <c r="F1717">
        <v>3</v>
      </c>
      <c r="G1717">
        <v>64</v>
      </c>
      <c r="H1717" s="86">
        <v>45973.264846099497</v>
      </c>
      <c r="I1717" s="86">
        <v>45973.370367534699</v>
      </c>
      <c r="J1717" s="87">
        <v>2.5325144444444398</v>
      </c>
      <c r="K1717" s="69" t="s">
        <v>274</v>
      </c>
      <c r="P1717" s="71" t="s">
        <v>275</v>
      </c>
      <c r="Q1717" s="88">
        <v>3.4125075841792703E-2</v>
      </c>
      <c r="R1717" s="89" t="s">
        <v>276</v>
      </c>
      <c r="T1717">
        <v>8.9</v>
      </c>
      <c r="U1717" s="76">
        <v>0.2</v>
      </c>
      <c r="V1717">
        <v>9.4</v>
      </c>
      <c r="W1717" s="90">
        <v>0.1</v>
      </c>
      <c r="AG1717" s="91">
        <v>0</v>
      </c>
      <c r="AK1717" s="71">
        <v>0.15</v>
      </c>
      <c r="AL1717" s="88">
        <v>3.5887323667278398E-2</v>
      </c>
      <c r="AM1717" s="89">
        <f t="shared" si="26"/>
        <v>0.23924882444852266</v>
      </c>
    </row>
    <row r="1718" spans="1:39" x14ac:dyDescent="0.25">
      <c r="A1718" t="s">
        <v>44</v>
      </c>
      <c r="B1718" t="s">
        <v>52</v>
      </c>
      <c r="C1718" s="121" t="s">
        <v>174</v>
      </c>
      <c r="D1718" t="s">
        <v>190</v>
      </c>
      <c r="E1718" t="s">
        <v>57</v>
      </c>
      <c r="F1718">
        <v>3</v>
      </c>
      <c r="G1718">
        <v>1</v>
      </c>
      <c r="H1718" s="86">
        <v>45966.628589664397</v>
      </c>
      <c r="I1718" s="86">
        <v>45966.734108946803</v>
      </c>
      <c r="J1718" s="87">
        <v>2.5324627777777802</v>
      </c>
      <c r="K1718" s="69" t="s">
        <v>274</v>
      </c>
      <c r="P1718" s="71" t="s">
        <v>275</v>
      </c>
      <c r="Q1718" s="88">
        <v>1.1873183621366501E-2</v>
      </c>
      <c r="R1718" s="89" t="s">
        <v>276</v>
      </c>
      <c r="T1718">
        <v>12.8</v>
      </c>
      <c r="U1718" s="76">
        <v>0.2</v>
      </c>
      <c r="V1718">
        <v>11</v>
      </c>
      <c r="W1718" s="90">
        <v>0.1</v>
      </c>
      <c r="AG1718" s="91">
        <v>0</v>
      </c>
      <c r="AK1718" s="71">
        <v>0.15</v>
      </c>
      <c r="AL1718" s="88">
        <v>3.4895558456628797E-2</v>
      </c>
      <c r="AM1718" s="89">
        <f t="shared" si="26"/>
        <v>0.23263705637752533</v>
      </c>
    </row>
    <row r="1719" spans="1:39" x14ac:dyDescent="0.25">
      <c r="A1719" t="s">
        <v>44</v>
      </c>
      <c r="B1719" t="s">
        <v>52</v>
      </c>
      <c r="C1719" s="121" t="s">
        <v>174</v>
      </c>
      <c r="D1719" t="s">
        <v>190</v>
      </c>
      <c r="E1719" t="s">
        <v>57</v>
      </c>
      <c r="F1719">
        <v>3</v>
      </c>
      <c r="G1719">
        <v>2</v>
      </c>
      <c r="H1719" s="86">
        <v>45966.734108946803</v>
      </c>
      <c r="I1719" s="86">
        <v>45966.839632488402</v>
      </c>
      <c r="J1719" s="87">
        <v>2.532565</v>
      </c>
      <c r="K1719" s="69" t="s">
        <v>274</v>
      </c>
      <c r="P1719" s="71" t="s">
        <v>275</v>
      </c>
      <c r="Q1719" s="88">
        <v>5.0681906496435596E-3</v>
      </c>
      <c r="R1719" s="89" t="s">
        <v>276</v>
      </c>
      <c r="T1719">
        <v>10.6</v>
      </c>
      <c r="U1719" s="76">
        <v>0.2</v>
      </c>
      <c r="V1719">
        <v>11.1</v>
      </c>
      <c r="W1719" s="90">
        <v>0.1</v>
      </c>
      <c r="AG1719" s="91">
        <v>0</v>
      </c>
      <c r="AK1719" s="71">
        <v>0.15</v>
      </c>
      <c r="AL1719" s="88">
        <v>3.4895558456628797E-2</v>
      </c>
      <c r="AM1719" s="89">
        <f t="shared" si="26"/>
        <v>0.23263705637752533</v>
      </c>
    </row>
    <row r="1720" spans="1:39" x14ac:dyDescent="0.25">
      <c r="A1720" t="s">
        <v>44</v>
      </c>
      <c r="B1720" t="s">
        <v>52</v>
      </c>
      <c r="C1720" s="121" t="s">
        <v>174</v>
      </c>
      <c r="D1720" t="s">
        <v>190</v>
      </c>
      <c r="E1720" t="s">
        <v>57</v>
      </c>
      <c r="F1720">
        <v>3</v>
      </c>
      <c r="G1720">
        <v>3</v>
      </c>
      <c r="H1720" s="86">
        <v>45966.839632488402</v>
      </c>
      <c r="I1720" s="86">
        <v>45966.945161875003</v>
      </c>
      <c r="J1720" s="87">
        <v>2.5327052777777799</v>
      </c>
      <c r="K1720" s="69" t="s">
        <v>274</v>
      </c>
      <c r="P1720" s="71" t="s">
        <v>275</v>
      </c>
      <c r="Q1720" s="88">
        <v>5.3249177481281603E-3</v>
      </c>
      <c r="R1720" s="89" t="s">
        <v>276</v>
      </c>
      <c r="T1720">
        <v>10.7</v>
      </c>
      <c r="U1720" s="76">
        <v>0.2</v>
      </c>
      <c r="V1720">
        <v>11.1</v>
      </c>
      <c r="W1720" s="90">
        <v>0.1</v>
      </c>
      <c r="AG1720" s="91">
        <v>0</v>
      </c>
      <c r="AK1720" s="71">
        <v>0.15</v>
      </c>
      <c r="AL1720" s="88">
        <v>3.4895558456628797E-2</v>
      </c>
      <c r="AM1720" s="89">
        <f t="shared" si="26"/>
        <v>0.23263705637752533</v>
      </c>
    </row>
    <row r="1721" spans="1:39" x14ac:dyDescent="0.25">
      <c r="A1721" t="s">
        <v>44</v>
      </c>
      <c r="B1721" t="s">
        <v>52</v>
      </c>
      <c r="C1721" s="121" t="s">
        <v>174</v>
      </c>
      <c r="D1721" t="s">
        <v>190</v>
      </c>
      <c r="E1721" t="s">
        <v>57</v>
      </c>
      <c r="F1721">
        <v>3</v>
      </c>
      <c r="G1721">
        <v>4</v>
      </c>
      <c r="H1721" s="86">
        <v>45966.945161875003</v>
      </c>
      <c r="I1721" s="86">
        <v>45967.0506846875</v>
      </c>
      <c r="J1721" s="87">
        <v>2.5325475000000002</v>
      </c>
      <c r="K1721" s="69" t="s">
        <v>274</v>
      </c>
      <c r="P1721" s="71" t="s">
        <v>275</v>
      </c>
      <c r="Q1721" s="88">
        <v>7.5858907543007196E-3</v>
      </c>
      <c r="R1721" s="89" t="s">
        <v>276</v>
      </c>
      <c r="T1721">
        <v>10.7</v>
      </c>
      <c r="U1721" s="76">
        <v>0.2</v>
      </c>
      <c r="V1721">
        <v>11</v>
      </c>
      <c r="W1721" s="90">
        <v>0.1</v>
      </c>
      <c r="AG1721" s="91">
        <v>0</v>
      </c>
      <c r="AK1721" s="71">
        <v>0.15</v>
      </c>
      <c r="AL1721" s="88">
        <v>3.4895558456628797E-2</v>
      </c>
      <c r="AM1721" s="89">
        <f t="shared" si="26"/>
        <v>0.23263705637752533</v>
      </c>
    </row>
    <row r="1722" spans="1:39" x14ac:dyDescent="0.25">
      <c r="A1722" t="s">
        <v>44</v>
      </c>
      <c r="B1722" t="s">
        <v>52</v>
      </c>
      <c r="C1722" s="121" t="s">
        <v>174</v>
      </c>
      <c r="D1722" t="s">
        <v>190</v>
      </c>
      <c r="E1722" t="s">
        <v>57</v>
      </c>
      <c r="F1722">
        <v>3</v>
      </c>
      <c r="G1722">
        <v>5</v>
      </c>
      <c r="H1722" s="86">
        <v>45967.0506846875</v>
      </c>
      <c r="I1722" s="86">
        <v>45967.156218101904</v>
      </c>
      <c r="J1722" s="87">
        <v>2.5328019444444498</v>
      </c>
      <c r="K1722" s="69" t="s">
        <v>274</v>
      </c>
      <c r="P1722" s="71" t="s">
        <v>275</v>
      </c>
      <c r="Q1722" s="88">
        <v>5.6575498787943502E-3</v>
      </c>
      <c r="R1722" s="89" t="s">
        <v>276</v>
      </c>
      <c r="T1722">
        <v>10.5</v>
      </c>
      <c r="U1722" s="76">
        <v>0.2</v>
      </c>
      <c r="V1722">
        <v>11</v>
      </c>
      <c r="W1722" s="90">
        <v>0.1</v>
      </c>
      <c r="AG1722" s="91">
        <v>0</v>
      </c>
      <c r="AK1722" s="71">
        <v>0.15</v>
      </c>
      <c r="AL1722" s="88">
        <v>3.4895558456628797E-2</v>
      </c>
      <c r="AM1722" s="89">
        <f t="shared" si="26"/>
        <v>0.23263705637752533</v>
      </c>
    </row>
    <row r="1723" spans="1:39" x14ac:dyDescent="0.25">
      <c r="A1723" t="s">
        <v>44</v>
      </c>
      <c r="B1723" t="s">
        <v>52</v>
      </c>
      <c r="C1723" s="121" t="s">
        <v>174</v>
      </c>
      <c r="D1723" t="s">
        <v>190</v>
      </c>
      <c r="E1723" t="s">
        <v>57</v>
      </c>
      <c r="F1723">
        <v>3</v>
      </c>
      <c r="G1723">
        <v>6</v>
      </c>
      <c r="H1723" s="86">
        <v>45967.156218101904</v>
      </c>
      <c r="I1723" s="86">
        <v>45967.261744826399</v>
      </c>
      <c r="J1723" s="87">
        <v>2.5326413888888899</v>
      </c>
      <c r="K1723" s="69" t="s">
        <v>274</v>
      </c>
      <c r="P1723" s="71" t="s">
        <v>275</v>
      </c>
      <c r="Q1723" s="88">
        <v>8.0899059065114107E-3</v>
      </c>
      <c r="R1723" s="89" t="s">
        <v>276</v>
      </c>
      <c r="T1723">
        <v>10.5</v>
      </c>
      <c r="U1723" s="76">
        <v>0.2</v>
      </c>
      <c r="V1723">
        <v>10.9</v>
      </c>
      <c r="W1723" s="90">
        <v>0.1</v>
      </c>
      <c r="AG1723" s="91">
        <v>0</v>
      </c>
      <c r="AK1723" s="71">
        <v>0.15</v>
      </c>
      <c r="AL1723" s="88">
        <v>3.4895558456628797E-2</v>
      </c>
      <c r="AM1723" s="89">
        <f t="shared" si="26"/>
        <v>0.23263705637752533</v>
      </c>
    </row>
    <row r="1724" spans="1:39" x14ac:dyDescent="0.25">
      <c r="A1724" t="s">
        <v>44</v>
      </c>
      <c r="B1724" t="s">
        <v>52</v>
      </c>
      <c r="C1724" s="121" t="s">
        <v>174</v>
      </c>
      <c r="D1724" t="s">
        <v>190</v>
      </c>
      <c r="E1724" t="s">
        <v>57</v>
      </c>
      <c r="F1724">
        <v>3</v>
      </c>
      <c r="G1724">
        <v>7</v>
      </c>
      <c r="H1724" s="86">
        <v>45967.261744826399</v>
      </c>
      <c r="I1724" s="86">
        <v>45967.3672752083</v>
      </c>
      <c r="J1724" s="87">
        <v>2.53272916666667</v>
      </c>
      <c r="K1724" s="69" t="s">
        <v>274</v>
      </c>
      <c r="P1724" s="71" t="s">
        <v>275</v>
      </c>
      <c r="Q1724" s="88">
        <v>8.2156081269582799E-3</v>
      </c>
      <c r="R1724" s="89" t="s">
        <v>276</v>
      </c>
      <c r="T1724">
        <v>9.9</v>
      </c>
      <c r="U1724" s="76">
        <v>0.2</v>
      </c>
      <c r="V1724">
        <v>10.9</v>
      </c>
      <c r="W1724" s="90">
        <v>0.1</v>
      </c>
      <c r="AG1724" s="91">
        <v>0</v>
      </c>
      <c r="AK1724" s="71">
        <v>0.15</v>
      </c>
      <c r="AL1724" s="88">
        <v>3.4895558456628797E-2</v>
      </c>
      <c r="AM1724" s="89">
        <f t="shared" si="26"/>
        <v>0.23263705637752533</v>
      </c>
    </row>
    <row r="1725" spans="1:39" x14ac:dyDescent="0.25">
      <c r="A1725" t="s">
        <v>44</v>
      </c>
      <c r="B1725" t="s">
        <v>52</v>
      </c>
      <c r="C1725" s="121" t="s">
        <v>174</v>
      </c>
      <c r="D1725" t="s">
        <v>190</v>
      </c>
      <c r="E1725" t="s">
        <v>57</v>
      </c>
      <c r="F1725">
        <v>3</v>
      </c>
      <c r="G1725">
        <v>8</v>
      </c>
      <c r="H1725" s="86">
        <v>45967.3672752083</v>
      </c>
      <c r="I1725" s="86">
        <v>45967.472806215301</v>
      </c>
      <c r="J1725" s="87">
        <v>2.5327441666666699</v>
      </c>
      <c r="K1725" s="69" t="s">
        <v>274</v>
      </c>
      <c r="P1725" s="71" t="s">
        <v>275</v>
      </c>
      <c r="Q1725" s="88">
        <v>1.3129658738989899E-2</v>
      </c>
      <c r="R1725" s="89" t="s">
        <v>276</v>
      </c>
      <c r="T1725">
        <v>11.6</v>
      </c>
      <c r="U1725" s="76">
        <v>0.2</v>
      </c>
      <c r="V1725">
        <v>10.8</v>
      </c>
      <c r="W1725" s="90">
        <v>0.1</v>
      </c>
      <c r="AG1725" s="91">
        <v>0</v>
      </c>
      <c r="AK1725" s="71">
        <v>0.15</v>
      </c>
      <c r="AL1725" s="88">
        <v>3.4895558456628797E-2</v>
      </c>
      <c r="AM1725" s="89">
        <f t="shared" si="26"/>
        <v>0.23263705637752533</v>
      </c>
    </row>
    <row r="1726" spans="1:39" x14ac:dyDescent="0.25">
      <c r="A1726" t="s">
        <v>44</v>
      </c>
      <c r="B1726" t="s">
        <v>52</v>
      </c>
      <c r="C1726" s="121" t="s">
        <v>174</v>
      </c>
      <c r="D1726" t="s">
        <v>190</v>
      </c>
      <c r="E1726" t="s">
        <v>57</v>
      </c>
      <c r="F1726">
        <v>3</v>
      </c>
      <c r="G1726">
        <v>9</v>
      </c>
      <c r="H1726" s="86">
        <v>45967.472806215301</v>
      </c>
      <c r="I1726" s="86">
        <v>45967.578337858802</v>
      </c>
      <c r="J1726" s="87">
        <v>2.5327594444444399</v>
      </c>
      <c r="K1726" s="69" t="s">
        <v>274</v>
      </c>
      <c r="P1726" s="71" t="s">
        <v>275</v>
      </c>
      <c r="Q1726" s="88">
        <v>4.5837023436918999E-2</v>
      </c>
      <c r="R1726" s="89" t="s">
        <v>276</v>
      </c>
      <c r="T1726">
        <v>14</v>
      </c>
      <c r="U1726" s="76">
        <v>0.2</v>
      </c>
      <c r="V1726">
        <v>10.9</v>
      </c>
      <c r="W1726" s="90">
        <v>0.1</v>
      </c>
      <c r="AG1726" s="91">
        <v>0</v>
      </c>
      <c r="AK1726" s="71">
        <v>0.15</v>
      </c>
      <c r="AL1726" s="88">
        <v>3.4895558456628797E-2</v>
      </c>
      <c r="AM1726" s="89">
        <f t="shared" si="26"/>
        <v>0.23263705637752533</v>
      </c>
    </row>
    <row r="1727" spans="1:39" x14ac:dyDescent="0.25">
      <c r="A1727" t="s">
        <v>44</v>
      </c>
      <c r="B1727" t="s">
        <v>52</v>
      </c>
      <c r="C1727" s="121" t="s">
        <v>174</v>
      </c>
      <c r="D1727" t="s">
        <v>190</v>
      </c>
      <c r="E1727" t="s">
        <v>57</v>
      </c>
      <c r="F1727">
        <v>3</v>
      </c>
      <c r="G1727">
        <v>10</v>
      </c>
      <c r="H1727" s="86">
        <v>45967.578337858802</v>
      </c>
      <c r="I1727" s="86">
        <v>45967.683850775502</v>
      </c>
      <c r="J1727" s="87">
        <v>2.5323099999999998</v>
      </c>
      <c r="K1727" s="69" t="s">
        <v>274</v>
      </c>
      <c r="P1727" s="71" t="s">
        <v>275</v>
      </c>
      <c r="Q1727" s="88">
        <v>6.1070692085632101E-2</v>
      </c>
      <c r="R1727" s="89" t="s">
        <v>276</v>
      </c>
      <c r="T1727">
        <v>15.6</v>
      </c>
      <c r="U1727" s="76">
        <v>0.2</v>
      </c>
      <c r="V1727">
        <v>11.1</v>
      </c>
      <c r="W1727" s="90">
        <v>0.1</v>
      </c>
      <c r="AG1727" s="91">
        <v>0</v>
      </c>
      <c r="AK1727" s="71">
        <v>0.15</v>
      </c>
      <c r="AL1727" s="88">
        <v>3.4895558456628797E-2</v>
      </c>
      <c r="AM1727" s="89">
        <f t="shared" si="26"/>
        <v>0.23263705637752533</v>
      </c>
    </row>
    <row r="1728" spans="1:39" x14ac:dyDescent="0.25">
      <c r="A1728" t="s">
        <v>44</v>
      </c>
      <c r="B1728" t="s">
        <v>52</v>
      </c>
      <c r="C1728" s="121" t="s">
        <v>174</v>
      </c>
      <c r="D1728" t="s">
        <v>190</v>
      </c>
      <c r="E1728" t="s">
        <v>57</v>
      </c>
      <c r="F1728">
        <v>3</v>
      </c>
      <c r="G1728">
        <v>11</v>
      </c>
      <c r="H1728" s="86">
        <v>45967.683850775502</v>
      </c>
      <c r="I1728" s="86">
        <v>45967.789378842601</v>
      </c>
      <c r="J1728" s="87">
        <v>2.5326736111111101</v>
      </c>
      <c r="K1728" s="69" t="s">
        <v>274</v>
      </c>
      <c r="P1728" s="71" t="s">
        <v>275</v>
      </c>
      <c r="Q1728" s="88">
        <v>1.9873901509597999E-2</v>
      </c>
      <c r="R1728" s="89" t="s">
        <v>276</v>
      </c>
      <c r="T1728">
        <v>10.7</v>
      </c>
      <c r="U1728" s="76">
        <v>0.2</v>
      </c>
      <c r="V1728">
        <v>11.2</v>
      </c>
      <c r="W1728" s="90">
        <v>0.1</v>
      </c>
      <c r="AG1728" s="91">
        <v>0</v>
      </c>
      <c r="AK1728" s="71">
        <v>0.15</v>
      </c>
      <c r="AL1728" s="88">
        <v>3.4895558456628797E-2</v>
      </c>
      <c r="AM1728" s="89">
        <f t="shared" si="26"/>
        <v>0.23263705637752533</v>
      </c>
    </row>
    <row r="1729" spans="1:39" x14ac:dyDescent="0.25">
      <c r="A1729" t="s">
        <v>44</v>
      </c>
      <c r="B1729" t="s">
        <v>52</v>
      </c>
      <c r="C1729" s="121" t="s">
        <v>174</v>
      </c>
      <c r="D1729" t="s">
        <v>190</v>
      </c>
      <c r="E1729" t="s">
        <v>57</v>
      </c>
      <c r="F1729">
        <v>3</v>
      </c>
      <c r="G1729">
        <v>12</v>
      </c>
      <c r="H1729" s="86">
        <v>45967.789378842601</v>
      </c>
      <c r="I1729" s="86">
        <v>45967.894904247703</v>
      </c>
      <c r="J1729" s="87">
        <v>2.5326097222222201</v>
      </c>
      <c r="K1729" s="69" t="s">
        <v>274</v>
      </c>
      <c r="P1729" s="71" t="s">
        <v>275</v>
      </c>
      <c r="Q1729" s="88">
        <v>2.7119502066605601E-3</v>
      </c>
      <c r="R1729" s="89" t="s">
        <v>276</v>
      </c>
      <c r="T1729">
        <v>7</v>
      </c>
      <c r="U1729" s="76">
        <v>0.2</v>
      </c>
      <c r="V1729">
        <v>11.1</v>
      </c>
      <c r="W1729" s="90">
        <v>0.1</v>
      </c>
      <c r="AG1729" s="91">
        <v>0</v>
      </c>
      <c r="AK1729" s="71">
        <v>0.15</v>
      </c>
      <c r="AL1729" s="88">
        <v>3.4895558456628797E-2</v>
      </c>
      <c r="AM1729" s="89">
        <f t="shared" si="26"/>
        <v>0.23263705637752533</v>
      </c>
    </row>
    <row r="1730" spans="1:39" x14ac:dyDescent="0.25">
      <c r="A1730" t="s">
        <v>44</v>
      </c>
      <c r="B1730" t="s">
        <v>52</v>
      </c>
      <c r="C1730" s="121" t="s">
        <v>174</v>
      </c>
      <c r="D1730" t="s">
        <v>190</v>
      </c>
      <c r="E1730" t="s">
        <v>57</v>
      </c>
      <c r="F1730">
        <v>3</v>
      </c>
      <c r="G1730">
        <v>13</v>
      </c>
      <c r="H1730" s="86">
        <v>45967.894904247703</v>
      </c>
      <c r="I1730" s="86">
        <v>45968.000420196797</v>
      </c>
      <c r="J1730" s="87">
        <v>2.5323827777777801</v>
      </c>
      <c r="K1730" s="69" t="s">
        <v>274</v>
      </c>
      <c r="P1730" s="71" t="s">
        <v>275</v>
      </c>
      <c r="Q1730" s="88">
        <v>2.44252417994195E-3</v>
      </c>
      <c r="R1730" s="89" t="s">
        <v>276</v>
      </c>
      <c r="T1730">
        <v>6.8</v>
      </c>
      <c r="U1730" s="76">
        <v>0.2</v>
      </c>
      <c r="V1730">
        <v>10.9</v>
      </c>
      <c r="W1730" s="90">
        <v>0.1</v>
      </c>
      <c r="AG1730" s="91">
        <v>0</v>
      </c>
      <c r="AK1730" s="71">
        <v>0.15</v>
      </c>
      <c r="AL1730" s="88">
        <v>3.4895558456628797E-2</v>
      </c>
      <c r="AM1730" s="89">
        <f t="shared" si="26"/>
        <v>0.23263705637752533</v>
      </c>
    </row>
    <row r="1731" spans="1:39" x14ac:dyDescent="0.25">
      <c r="A1731" t="s">
        <v>44</v>
      </c>
      <c r="B1731" t="s">
        <v>52</v>
      </c>
      <c r="C1731" s="121" t="s">
        <v>174</v>
      </c>
      <c r="D1731" t="s">
        <v>190</v>
      </c>
      <c r="E1731" t="s">
        <v>57</v>
      </c>
      <c r="F1731">
        <v>3</v>
      </c>
      <c r="G1731">
        <v>14</v>
      </c>
      <c r="H1731" s="86">
        <v>45968.000420196797</v>
      </c>
      <c r="I1731" s="86">
        <v>45968.105935706</v>
      </c>
      <c r="J1731" s="87">
        <v>2.5323722222222198</v>
      </c>
      <c r="K1731" s="69" t="s">
        <v>274</v>
      </c>
      <c r="P1731" s="71" t="s">
        <v>275</v>
      </c>
      <c r="Q1731" s="88">
        <v>2.6547013211530301E-3</v>
      </c>
      <c r="R1731" s="89" t="s">
        <v>276</v>
      </c>
      <c r="T1731">
        <v>6.8</v>
      </c>
      <c r="U1731" s="76">
        <v>0.2</v>
      </c>
      <c r="V1731">
        <v>10.6</v>
      </c>
      <c r="W1731" s="90">
        <v>0.1</v>
      </c>
      <c r="AG1731" s="91">
        <v>0</v>
      </c>
      <c r="AK1731" s="71">
        <v>0.15</v>
      </c>
      <c r="AL1731" s="88">
        <v>3.4895558456628797E-2</v>
      </c>
      <c r="AM1731" s="89">
        <f t="shared" si="26"/>
        <v>0.23263705637752533</v>
      </c>
    </row>
    <row r="1732" spans="1:39" x14ac:dyDescent="0.25">
      <c r="A1732" t="s">
        <v>44</v>
      </c>
      <c r="B1732" t="s">
        <v>52</v>
      </c>
      <c r="C1732" s="121" t="s">
        <v>174</v>
      </c>
      <c r="D1732" t="s">
        <v>190</v>
      </c>
      <c r="E1732" t="s">
        <v>57</v>
      </c>
      <c r="F1732">
        <v>3</v>
      </c>
      <c r="G1732">
        <v>15</v>
      </c>
      <c r="H1732" s="86">
        <v>45968.105935706</v>
      </c>
      <c r="I1732" s="86">
        <v>45968.211466088003</v>
      </c>
      <c r="J1732" s="87">
        <v>2.53272916666667</v>
      </c>
      <c r="K1732" s="69" t="s">
        <v>274</v>
      </c>
      <c r="P1732" s="71" t="s">
        <v>275</v>
      </c>
      <c r="Q1732" s="88">
        <v>1.36247675193749E-3</v>
      </c>
      <c r="R1732" s="89" t="s">
        <v>276</v>
      </c>
      <c r="T1732">
        <v>4.4000000000000004</v>
      </c>
      <c r="U1732" s="76">
        <v>0.2</v>
      </c>
      <c r="V1732">
        <v>10.4</v>
      </c>
      <c r="W1732" s="90">
        <v>0.1</v>
      </c>
      <c r="AG1732" s="91">
        <v>0</v>
      </c>
      <c r="AK1732" s="71">
        <v>0.15</v>
      </c>
      <c r="AL1732" s="88">
        <v>3.4895558456628797E-2</v>
      </c>
      <c r="AM1732" s="89">
        <f t="shared" si="26"/>
        <v>0.23263705637752533</v>
      </c>
    </row>
    <row r="1733" spans="1:39" x14ac:dyDescent="0.25">
      <c r="A1733" t="s">
        <v>44</v>
      </c>
      <c r="B1733" t="s">
        <v>52</v>
      </c>
      <c r="C1733" s="121" t="s">
        <v>174</v>
      </c>
      <c r="D1733" t="s">
        <v>190</v>
      </c>
      <c r="E1733" t="s">
        <v>57</v>
      </c>
      <c r="F1733">
        <v>3</v>
      </c>
      <c r="G1733">
        <v>16</v>
      </c>
      <c r="H1733" s="86">
        <v>45968.211466088003</v>
      </c>
      <c r="I1733" s="86">
        <v>45968.316988414401</v>
      </c>
      <c r="J1733" s="87">
        <v>2.5325358333333301</v>
      </c>
      <c r="K1733" s="69" t="s">
        <v>274</v>
      </c>
      <c r="P1733" s="71" t="s">
        <v>275</v>
      </c>
      <c r="Q1733" s="88">
        <v>4.1601972364037701E-4</v>
      </c>
      <c r="R1733" s="89" t="s">
        <v>276</v>
      </c>
      <c r="T1733">
        <v>5.0999999999999996</v>
      </c>
      <c r="U1733" s="76">
        <v>0.2</v>
      </c>
      <c r="V1733">
        <v>10.1</v>
      </c>
      <c r="W1733" s="90">
        <v>0.1</v>
      </c>
      <c r="AG1733" s="91">
        <v>0</v>
      </c>
      <c r="AK1733" s="71">
        <v>0.15</v>
      </c>
      <c r="AL1733" s="88">
        <v>3.4895558456628797E-2</v>
      </c>
      <c r="AM1733" s="89">
        <f t="shared" ref="AM1733:AM1796" si="27">AL1733/AK1733</f>
        <v>0.23263705637752533</v>
      </c>
    </row>
    <row r="1734" spans="1:39" x14ac:dyDescent="0.25">
      <c r="A1734" t="s">
        <v>44</v>
      </c>
      <c r="B1734" t="s">
        <v>52</v>
      </c>
      <c r="C1734" s="121" t="s">
        <v>174</v>
      </c>
      <c r="D1734" t="s">
        <v>190</v>
      </c>
      <c r="E1734" t="s">
        <v>57</v>
      </c>
      <c r="F1734">
        <v>3</v>
      </c>
      <c r="G1734">
        <v>17</v>
      </c>
      <c r="H1734" s="86">
        <v>45968.316988414401</v>
      </c>
      <c r="I1734" s="86">
        <v>45968.422527361101</v>
      </c>
      <c r="J1734" s="87">
        <v>2.5329347222222198</v>
      </c>
      <c r="K1734" s="69" t="s">
        <v>274</v>
      </c>
      <c r="P1734" s="71" t="s">
        <v>275</v>
      </c>
      <c r="Q1734" s="88">
        <v>8.2501548616086104E-4</v>
      </c>
      <c r="R1734" s="89" t="s">
        <v>276</v>
      </c>
      <c r="T1734">
        <v>7.3</v>
      </c>
      <c r="U1734" s="76">
        <v>0.2</v>
      </c>
      <c r="V1734">
        <v>9.8000000000000007</v>
      </c>
      <c r="W1734" s="90">
        <v>0.1</v>
      </c>
      <c r="AG1734" s="91">
        <v>0</v>
      </c>
      <c r="AK1734" s="71">
        <v>0.15</v>
      </c>
      <c r="AL1734" s="88">
        <v>3.4895558456628797E-2</v>
      </c>
      <c r="AM1734" s="89">
        <f t="shared" si="27"/>
        <v>0.23263705637752533</v>
      </c>
    </row>
    <row r="1735" spans="1:39" x14ac:dyDescent="0.25">
      <c r="A1735" t="s">
        <v>44</v>
      </c>
      <c r="B1735" t="s">
        <v>52</v>
      </c>
      <c r="C1735" s="121" t="s">
        <v>174</v>
      </c>
      <c r="D1735" t="s">
        <v>190</v>
      </c>
      <c r="E1735" t="s">
        <v>57</v>
      </c>
      <c r="F1735">
        <v>3</v>
      </c>
      <c r="G1735">
        <v>18</v>
      </c>
      <c r="H1735" s="86">
        <v>45968.422527361101</v>
      </c>
      <c r="I1735" s="86">
        <v>45968.5280371181</v>
      </c>
      <c r="J1735" s="87">
        <v>2.5322341666666701</v>
      </c>
      <c r="K1735" s="69" t="s">
        <v>274</v>
      </c>
      <c r="P1735" s="71" t="s">
        <v>275</v>
      </c>
      <c r="Q1735" s="88">
        <v>2.0398668332189201E-3</v>
      </c>
      <c r="R1735" s="89" t="s">
        <v>276</v>
      </c>
      <c r="T1735">
        <v>8.1</v>
      </c>
      <c r="U1735" s="76">
        <v>0.2</v>
      </c>
      <c r="V1735">
        <v>9.8000000000000007</v>
      </c>
      <c r="W1735" s="90">
        <v>0.1</v>
      </c>
      <c r="AG1735" s="91">
        <v>0</v>
      </c>
      <c r="AK1735" s="71">
        <v>0.15</v>
      </c>
      <c r="AL1735" s="88">
        <v>3.4895558456628797E-2</v>
      </c>
      <c r="AM1735" s="89">
        <f t="shared" si="27"/>
        <v>0.23263705637752533</v>
      </c>
    </row>
    <row r="1736" spans="1:39" x14ac:dyDescent="0.25">
      <c r="A1736" t="s">
        <v>44</v>
      </c>
      <c r="B1736" t="s">
        <v>52</v>
      </c>
      <c r="C1736" s="121" t="s">
        <v>174</v>
      </c>
      <c r="D1736" t="s">
        <v>190</v>
      </c>
      <c r="E1736" t="s">
        <v>57</v>
      </c>
      <c r="F1736">
        <v>3</v>
      </c>
      <c r="G1736">
        <v>19</v>
      </c>
      <c r="H1736" s="86">
        <v>45968.5280371181</v>
      </c>
      <c r="I1736" s="86">
        <v>45968.633533587999</v>
      </c>
      <c r="J1736" s="87">
        <v>2.53191527777778</v>
      </c>
      <c r="K1736" s="69" t="s">
        <v>274</v>
      </c>
      <c r="P1736" s="71" t="s">
        <v>275</v>
      </c>
      <c r="Q1736" s="88">
        <v>2.01487441149499E-2</v>
      </c>
      <c r="R1736" s="89" t="s">
        <v>276</v>
      </c>
      <c r="T1736">
        <v>9.6</v>
      </c>
      <c r="U1736" s="76">
        <v>0.2</v>
      </c>
      <c r="V1736">
        <v>9.9</v>
      </c>
      <c r="W1736" s="90">
        <v>0.1</v>
      </c>
      <c r="AG1736" s="91">
        <v>0</v>
      </c>
      <c r="AK1736" s="71">
        <v>0.15</v>
      </c>
      <c r="AL1736" s="88">
        <v>3.4895558456628797E-2</v>
      </c>
      <c r="AM1736" s="89">
        <f t="shared" si="27"/>
        <v>0.23263705637752533</v>
      </c>
    </row>
    <row r="1737" spans="1:39" x14ac:dyDescent="0.25">
      <c r="A1737" t="s">
        <v>44</v>
      </c>
      <c r="B1737" t="s">
        <v>52</v>
      </c>
      <c r="C1737" s="121" t="s">
        <v>174</v>
      </c>
      <c r="D1737" t="s">
        <v>190</v>
      </c>
      <c r="E1737" t="s">
        <v>57</v>
      </c>
      <c r="F1737">
        <v>3</v>
      </c>
      <c r="G1737">
        <v>20</v>
      </c>
      <c r="H1737" s="86">
        <v>45968.633533587999</v>
      </c>
      <c r="I1737" s="86">
        <v>45968.739034699101</v>
      </c>
      <c r="J1737" s="87">
        <v>2.53202666666667</v>
      </c>
      <c r="K1737" s="69" t="s">
        <v>274</v>
      </c>
      <c r="P1737" s="71" t="s">
        <v>275</v>
      </c>
      <c r="Q1737" s="88">
        <v>1.00149880188629E-2</v>
      </c>
      <c r="R1737" s="89" t="s">
        <v>276</v>
      </c>
      <c r="T1737">
        <v>8.3000000000000007</v>
      </c>
      <c r="U1737" s="76">
        <v>0.2</v>
      </c>
      <c r="V1737">
        <v>10.1</v>
      </c>
      <c r="W1737" s="90">
        <v>0.1</v>
      </c>
      <c r="AG1737" s="91">
        <v>0</v>
      </c>
      <c r="AK1737" s="71">
        <v>0.15</v>
      </c>
      <c r="AL1737" s="88">
        <v>3.4895558456628797E-2</v>
      </c>
      <c r="AM1737" s="89">
        <f t="shared" si="27"/>
        <v>0.23263705637752533</v>
      </c>
    </row>
    <row r="1738" spans="1:39" x14ac:dyDescent="0.25">
      <c r="A1738" t="s">
        <v>44</v>
      </c>
      <c r="B1738" t="s">
        <v>52</v>
      </c>
      <c r="C1738" s="121" t="s">
        <v>174</v>
      </c>
      <c r="D1738" t="s">
        <v>190</v>
      </c>
      <c r="E1738" t="s">
        <v>57</v>
      </c>
      <c r="F1738">
        <v>3</v>
      </c>
      <c r="G1738">
        <v>21</v>
      </c>
      <c r="H1738" s="86">
        <v>45968.739034699101</v>
      </c>
      <c r="I1738" s="86">
        <v>45968.844537025499</v>
      </c>
      <c r="J1738" s="87">
        <v>2.5320558333333301</v>
      </c>
      <c r="K1738" s="69" t="s">
        <v>274</v>
      </c>
      <c r="P1738" s="71" t="s">
        <v>275</v>
      </c>
      <c r="Q1738" s="88">
        <v>7.03391449141582E-3</v>
      </c>
      <c r="R1738" s="89" t="s">
        <v>276</v>
      </c>
      <c r="T1738">
        <v>7.9</v>
      </c>
      <c r="U1738" s="76">
        <v>0.2</v>
      </c>
      <c r="V1738">
        <v>10.199999999999999</v>
      </c>
      <c r="W1738" s="90">
        <v>0.1</v>
      </c>
      <c r="AG1738" s="91">
        <v>0</v>
      </c>
      <c r="AK1738" s="71">
        <v>0.15</v>
      </c>
      <c r="AL1738" s="88">
        <v>3.4895558456628797E-2</v>
      </c>
      <c r="AM1738" s="89">
        <f t="shared" si="27"/>
        <v>0.23263705637752533</v>
      </c>
    </row>
    <row r="1739" spans="1:39" x14ac:dyDescent="0.25">
      <c r="A1739" t="s">
        <v>44</v>
      </c>
      <c r="B1739" t="s">
        <v>52</v>
      </c>
      <c r="C1739" s="121" t="s">
        <v>174</v>
      </c>
      <c r="D1739" t="s">
        <v>190</v>
      </c>
      <c r="E1739" t="s">
        <v>57</v>
      </c>
      <c r="F1739">
        <v>3</v>
      </c>
      <c r="G1739">
        <v>22</v>
      </c>
      <c r="H1739" s="86">
        <v>45968.844537025499</v>
      </c>
      <c r="I1739" s="86">
        <v>45968.950034560199</v>
      </c>
      <c r="J1739" s="87">
        <v>2.53194083333333</v>
      </c>
      <c r="K1739" s="69" t="s">
        <v>274</v>
      </c>
      <c r="P1739" s="71" t="s">
        <v>275</v>
      </c>
      <c r="Q1739" s="88">
        <v>3.5581038667108099E-3</v>
      </c>
      <c r="R1739" s="89" t="s">
        <v>276</v>
      </c>
      <c r="T1739">
        <v>7.8</v>
      </c>
      <c r="U1739" s="76">
        <v>0.2</v>
      </c>
      <c r="V1739">
        <v>10.199999999999999</v>
      </c>
      <c r="W1739" s="90">
        <v>0.1</v>
      </c>
      <c r="AG1739" s="91">
        <v>0</v>
      </c>
      <c r="AK1739" s="71">
        <v>0.15</v>
      </c>
      <c r="AL1739" s="88">
        <v>3.4895558456628797E-2</v>
      </c>
      <c r="AM1739" s="89">
        <f t="shared" si="27"/>
        <v>0.23263705637752533</v>
      </c>
    </row>
    <row r="1740" spans="1:39" x14ac:dyDescent="0.25">
      <c r="A1740" t="s">
        <v>44</v>
      </c>
      <c r="B1740" t="s">
        <v>52</v>
      </c>
      <c r="C1740" s="121" t="s">
        <v>174</v>
      </c>
      <c r="D1740" t="s">
        <v>190</v>
      </c>
      <c r="E1740" t="s">
        <v>57</v>
      </c>
      <c r="F1740">
        <v>3</v>
      </c>
      <c r="G1740">
        <v>23</v>
      </c>
      <c r="H1740" s="86">
        <v>45968.950034560199</v>
      </c>
      <c r="I1740" s="86">
        <v>45969.055546331001</v>
      </c>
      <c r="J1740" s="87">
        <v>2.5322825</v>
      </c>
      <c r="K1740" s="69" t="s">
        <v>274</v>
      </c>
      <c r="P1740" s="71" t="s">
        <v>275</v>
      </c>
      <c r="Q1740" s="88">
        <v>3.5759675271079998E-3</v>
      </c>
      <c r="R1740" s="89" t="s">
        <v>276</v>
      </c>
      <c r="T1740">
        <v>8</v>
      </c>
      <c r="U1740" s="76">
        <v>0.2</v>
      </c>
      <c r="V1740">
        <v>10.1</v>
      </c>
      <c r="W1740" s="90">
        <v>0.1</v>
      </c>
      <c r="AG1740" s="91">
        <v>0</v>
      </c>
      <c r="AK1740" s="71">
        <v>0.15</v>
      </c>
      <c r="AL1740" s="88">
        <v>3.4895558456628797E-2</v>
      </c>
      <c r="AM1740" s="89">
        <f t="shared" si="27"/>
        <v>0.23263705637752533</v>
      </c>
    </row>
    <row r="1741" spans="1:39" x14ac:dyDescent="0.25">
      <c r="A1741" t="s">
        <v>44</v>
      </c>
      <c r="B1741" t="s">
        <v>52</v>
      </c>
      <c r="C1741" s="121" t="s">
        <v>174</v>
      </c>
      <c r="D1741" t="s">
        <v>190</v>
      </c>
      <c r="E1741" t="s">
        <v>57</v>
      </c>
      <c r="F1741">
        <v>3</v>
      </c>
      <c r="G1741">
        <v>24</v>
      </c>
      <c r="H1741" s="86">
        <v>45969.055546331001</v>
      </c>
      <c r="I1741" s="86">
        <v>45969.1610279167</v>
      </c>
      <c r="J1741" s="87">
        <v>2.5315580555555601</v>
      </c>
      <c r="K1741" s="69" t="s">
        <v>274</v>
      </c>
      <c r="P1741" s="71" t="s">
        <v>275</v>
      </c>
      <c r="Q1741" s="88">
        <v>3.8640345447673499E-3</v>
      </c>
      <c r="R1741" s="89" t="s">
        <v>276</v>
      </c>
      <c r="T1741">
        <v>8.1999999999999993</v>
      </c>
      <c r="U1741" s="76">
        <v>0.2</v>
      </c>
      <c r="V1741">
        <v>10.1</v>
      </c>
      <c r="W1741" s="90">
        <v>0.1</v>
      </c>
      <c r="AG1741" s="91">
        <v>0</v>
      </c>
      <c r="AK1741" s="71">
        <v>0.15</v>
      </c>
      <c r="AL1741" s="88">
        <v>3.4895558456628797E-2</v>
      </c>
      <c r="AM1741" s="89">
        <f t="shared" si="27"/>
        <v>0.23263705637752533</v>
      </c>
    </row>
    <row r="1742" spans="1:39" x14ac:dyDescent="0.25">
      <c r="A1742" t="s">
        <v>44</v>
      </c>
      <c r="B1742" t="s">
        <v>52</v>
      </c>
      <c r="C1742" s="121" t="s">
        <v>174</v>
      </c>
      <c r="D1742" t="s">
        <v>190</v>
      </c>
      <c r="E1742" t="s">
        <v>57</v>
      </c>
      <c r="F1742">
        <v>3</v>
      </c>
      <c r="G1742">
        <v>25</v>
      </c>
      <c r="H1742" s="86">
        <v>45969.1610279167</v>
      </c>
      <c r="I1742" s="86">
        <v>45969.2665366898</v>
      </c>
      <c r="J1742" s="87">
        <v>2.5322105555555598</v>
      </c>
      <c r="K1742" s="69" t="s">
        <v>274</v>
      </c>
      <c r="P1742" s="71" t="s">
        <v>275</v>
      </c>
      <c r="Q1742" s="88">
        <v>3.3336039091741202E-3</v>
      </c>
      <c r="R1742" s="89" t="s">
        <v>276</v>
      </c>
      <c r="T1742">
        <v>8.1</v>
      </c>
      <c r="U1742" s="76">
        <v>0.2</v>
      </c>
      <c r="V1742">
        <v>10.1</v>
      </c>
      <c r="W1742" s="90">
        <v>0.1</v>
      </c>
      <c r="AG1742" s="91">
        <v>0</v>
      </c>
      <c r="AK1742" s="71">
        <v>0.15</v>
      </c>
      <c r="AL1742" s="88">
        <v>3.4895558456628797E-2</v>
      </c>
      <c r="AM1742" s="89">
        <f t="shared" si="27"/>
        <v>0.23263705637752533</v>
      </c>
    </row>
    <row r="1743" spans="1:39" x14ac:dyDescent="0.25">
      <c r="A1743" t="s">
        <v>44</v>
      </c>
      <c r="B1743" t="s">
        <v>52</v>
      </c>
      <c r="C1743" s="121" t="s">
        <v>174</v>
      </c>
      <c r="D1743" t="s">
        <v>190</v>
      </c>
      <c r="E1743" t="s">
        <v>57</v>
      </c>
      <c r="F1743">
        <v>3</v>
      </c>
      <c r="G1743">
        <v>26</v>
      </c>
      <c r="H1743" s="86">
        <v>45969.2665366898</v>
      </c>
      <c r="I1743" s="86">
        <v>45969.372042743104</v>
      </c>
      <c r="J1743" s="87">
        <v>2.5321452777777802</v>
      </c>
      <c r="K1743" s="69" t="s">
        <v>274</v>
      </c>
      <c r="P1743" s="71" t="s">
        <v>275</v>
      </c>
      <c r="Q1743" s="88">
        <v>2.8654306534305601E-3</v>
      </c>
      <c r="R1743" s="89" t="s">
        <v>276</v>
      </c>
      <c r="T1743">
        <v>8</v>
      </c>
      <c r="U1743" s="76">
        <v>0.2</v>
      </c>
      <c r="V1743">
        <v>10.1</v>
      </c>
      <c r="W1743" s="90">
        <v>0.1</v>
      </c>
      <c r="AG1743" s="91">
        <v>0</v>
      </c>
      <c r="AK1743" s="71">
        <v>0.15</v>
      </c>
      <c r="AL1743" s="88">
        <v>3.4895558456628797E-2</v>
      </c>
      <c r="AM1743" s="89">
        <f t="shared" si="27"/>
        <v>0.23263705637752533</v>
      </c>
    </row>
    <row r="1744" spans="1:39" x14ac:dyDescent="0.25">
      <c r="A1744" t="s">
        <v>44</v>
      </c>
      <c r="B1744" t="s">
        <v>52</v>
      </c>
      <c r="C1744" s="121" t="s">
        <v>174</v>
      </c>
      <c r="D1744" t="s">
        <v>190</v>
      </c>
      <c r="E1744" t="s">
        <v>57</v>
      </c>
      <c r="F1744">
        <v>3</v>
      </c>
      <c r="G1744">
        <v>27</v>
      </c>
      <c r="H1744" s="86">
        <v>45969.372042743104</v>
      </c>
      <c r="I1744" s="86">
        <v>45969.4775408102</v>
      </c>
      <c r="J1744" s="87">
        <v>2.5319536111111098</v>
      </c>
      <c r="K1744" s="69" t="s">
        <v>274</v>
      </c>
      <c r="P1744" s="71" t="s">
        <v>275</v>
      </c>
      <c r="Q1744" s="88">
        <v>3.9164017008587104E-3</v>
      </c>
      <c r="R1744" s="89" t="s">
        <v>276</v>
      </c>
      <c r="T1744">
        <v>8.1999999999999993</v>
      </c>
      <c r="U1744" s="76">
        <v>0.2</v>
      </c>
      <c r="V1744">
        <v>10.1</v>
      </c>
      <c r="W1744" s="90">
        <v>0.1</v>
      </c>
      <c r="AG1744" s="91">
        <v>0</v>
      </c>
      <c r="AK1744" s="71">
        <v>0.15</v>
      </c>
      <c r="AL1744" s="88">
        <v>3.4895558456628797E-2</v>
      </c>
      <c r="AM1744" s="89">
        <f t="shared" si="27"/>
        <v>0.23263705637752533</v>
      </c>
    </row>
    <row r="1745" spans="1:39" x14ac:dyDescent="0.25">
      <c r="A1745" t="s">
        <v>44</v>
      </c>
      <c r="B1745" t="s">
        <v>52</v>
      </c>
      <c r="C1745" s="121" t="s">
        <v>174</v>
      </c>
      <c r="D1745" t="s">
        <v>190</v>
      </c>
      <c r="E1745" t="s">
        <v>57</v>
      </c>
      <c r="F1745">
        <v>3</v>
      </c>
      <c r="G1745">
        <v>28</v>
      </c>
      <c r="H1745" s="86">
        <v>45969.4775408102</v>
      </c>
      <c r="I1745" s="86">
        <v>45969.583039641198</v>
      </c>
      <c r="J1745" s="87">
        <v>2.53197194444444</v>
      </c>
      <c r="K1745" s="69" t="s">
        <v>274</v>
      </c>
      <c r="P1745" s="71" t="s">
        <v>275</v>
      </c>
      <c r="Q1745" s="88">
        <v>5.3417425717641499E-3</v>
      </c>
      <c r="R1745" s="89" t="s">
        <v>276</v>
      </c>
      <c r="T1745">
        <v>8.5</v>
      </c>
      <c r="U1745" s="76">
        <v>0.2</v>
      </c>
      <c r="V1745">
        <v>10.1</v>
      </c>
      <c r="W1745" s="90">
        <v>0.1</v>
      </c>
      <c r="AG1745" s="91">
        <v>0</v>
      </c>
      <c r="AK1745" s="71">
        <v>0.15</v>
      </c>
      <c r="AL1745" s="88">
        <v>3.4895558456628797E-2</v>
      </c>
      <c r="AM1745" s="89">
        <f t="shared" si="27"/>
        <v>0.23263705637752533</v>
      </c>
    </row>
    <row r="1746" spans="1:39" x14ac:dyDescent="0.25">
      <c r="A1746" t="s">
        <v>44</v>
      </c>
      <c r="B1746" t="s">
        <v>52</v>
      </c>
      <c r="C1746" s="121" t="s">
        <v>174</v>
      </c>
      <c r="D1746" t="s">
        <v>190</v>
      </c>
      <c r="E1746" t="s">
        <v>57</v>
      </c>
      <c r="F1746">
        <v>3</v>
      </c>
      <c r="G1746">
        <v>29</v>
      </c>
      <c r="H1746" s="86">
        <v>45969.583039641198</v>
      </c>
      <c r="I1746" s="86">
        <v>45969.688549733801</v>
      </c>
      <c r="J1746" s="87">
        <v>2.5322422222222198</v>
      </c>
      <c r="K1746" s="69" t="s">
        <v>274</v>
      </c>
      <c r="P1746" s="71" t="s">
        <v>275</v>
      </c>
      <c r="Q1746" s="88">
        <v>6.0630227319640002E-3</v>
      </c>
      <c r="R1746" s="89" t="s">
        <v>276</v>
      </c>
      <c r="T1746">
        <v>8.6</v>
      </c>
      <c r="U1746" s="76">
        <v>0.2</v>
      </c>
      <c r="V1746">
        <v>10.199999999999999</v>
      </c>
      <c r="W1746" s="90">
        <v>0.1</v>
      </c>
      <c r="AG1746" s="91">
        <v>0</v>
      </c>
      <c r="AK1746" s="71">
        <v>0.15</v>
      </c>
      <c r="AL1746" s="88">
        <v>3.4895558456628797E-2</v>
      </c>
      <c r="AM1746" s="89">
        <f t="shared" si="27"/>
        <v>0.23263705637752533</v>
      </c>
    </row>
    <row r="1747" spans="1:39" x14ac:dyDescent="0.25">
      <c r="A1747" t="s">
        <v>44</v>
      </c>
      <c r="B1747" t="s">
        <v>52</v>
      </c>
      <c r="C1747" s="121" t="s">
        <v>174</v>
      </c>
      <c r="D1747" t="s">
        <v>190</v>
      </c>
      <c r="E1747" t="s">
        <v>57</v>
      </c>
      <c r="F1747">
        <v>3</v>
      </c>
      <c r="G1747">
        <v>30</v>
      </c>
      <c r="H1747" s="86">
        <v>45969.688549733801</v>
      </c>
      <c r="I1747" s="86">
        <v>45969.794047453703</v>
      </c>
      <c r="J1747" s="87">
        <v>2.5319452777777798</v>
      </c>
      <c r="K1747" s="69" t="s">
        <v>274</v>
      </c>
      <c r="P1747" s="71" t="s">
        <v>275</v>
      </c>
      <c r="Q1747" s="88">
        <v>3.5607290758093999E-3</v>
      </c>
      <c r="R1747" s="89" t="s">
        <v>276</v>
      </c>
      <c r="T1747">
        <v>8</v>
      </c>
      <c r="U1747" s="76">
        <v>0.2</v>
      </c>
      <c r="V1747">
        <v>10.199999999999999</v>
      </c>
      <c r="W1747" s="90">
        <v>0.1</v>
      </c>
      <c r="AG1747" s="91">
        <v>0</v>
      </c>
      <c r="AK1747" s="71">
        <v>0.15</v>
      </c>
      <c r="AL1747" s="88">
        <v>3.4895558456628797E-2</v>
      </c>
      <c r="AM1747" s="89">
        <f t="shared" si="27"/>
        <v>0.23263705637752533</v>
      </c>
    </row>
    <row r="1748" spans="1:39" x14ac:dyDescent="0.25">
      <c r="A1748" t="s">
        <v>44</v>
      </c>
      <c r="B1748" t="s">
        <v>52</v>
      </c>
      <c r="C1748" s="121" t="s">
        <v>174</v>
      </c>
      <c r="D1748" t="s">
        <v>190</v>
      </c>
      <c r="E1748" t="s">
        <v>57</v>
      </c>
      <c r="F1748">
        <v>3</v>
      </c>
      <c r="G1748">
        <v>31</v>
      </c>
      <c r="H1748" s="86">
        <v>45969.794047453703</v>
      </c>
      <c r="I1748" s="86">
        <v>45969.899545601897</v>
      </c>
      <c r="J1748" s="87">
        <v>2.5319555555555602</v>
      </c>
      <c r="K1748" s="69" t="s">
        <v>274</v>
      </c>
      <c r="P1748" s="71" t="s">
        <v>275</v>
      </c>
      <c r="Q1748" s="88">
        <v>3.6781175215210801E-3</v>
      </c>
      <c r="R1748" s="89" t="s">
        <v>276</v>
      </c>
      <c r="T1748">
        <v>7.9</v>
      </c>
      <c r="U1748" s="76">
        <v>0.2</v>
      </c>
      <c r="V1748">
        <v>10.199999999999999</v>
      </c>
      <c r="W1748" s="90">
        <v>0.1</v>
      </c>
      <c r="AG1748" s="91">
        <v>0</v>
      </c>
      <c r="AK1748" s="71">
        <v>0.15</v>
      </c>
      <c r="AL1748" s="88">
        <v>3.4895558456628797E-2</v>
      </c>
      <c r="AM1748" s="89">
        <f t="shared" si="27"/>
        <v>0.23263705637752533</v>
      </c>
    </row>
    <row r="1749" spans="1:39" x14ac:dyDescent="0.25">
      <c r="A1749" t="s">
        <v>44</v>
      </c>
      <c r="B1749" t="s">
        <v>52</v>
      </c>
      <c r="C1749" s="121" t="s">
        <v>174</v>
      </c>
      <c r="D1749" t="s">
        <v>190</v>
      </c>
      <c r="E1749" t="s">
        <v>57</v>
      </c>
      <c r="F1749">
        <v>3</v>
      </c>
      <c r="G1749">
        <v>32</v>
      </c>
      <c r="H1749" s="86">
        <v>45969.899545601897</v>
      </c>
      <c r="I1749" s="86">
        <v>45970.0050424769</v>
      </c>
      <c r="J1749" s="87">
        <v>2.5319250000000002</v>
      </c>
      <c r="K1749" s="69" t="s">
        <v>274</v>
      </c>
      <c r="P1749" s="71" t="s">
        <v>275</v>
      </c>
      <c r="Q1749" s="88">
        <v>3.4288765791896198E-3</v>
      </c>
      <c r="R1749" s="89" t="s">
        <v>276</v>
      </c>
      <c r="T1749">
        <v>7.8</v>
      </c>
      <c r="U1749" s="76">
        <v>0.2</v>
      </c>
      <c r="V1749">
        <v>10.199999999999999</v>
      </c>
      <c r="W1749" s="90">
        <v>0.1</v>
      </c>
      <c r="AG1749" s="91">
        <v>0</v>
      </c>
      <c r="AK1749" s="71">
        <v>0.15</v>
      </c>
      <c r="AL1749" s="88">
        <v>3.4895558456628797E-2</v>
      </c>
      <c r="AM1749" s="89">
        <f t="shared" si="27"/>
        <v>0.23263705637752533</v>
      </c>
    </row>
    <row r="1750" spans="1:39" x14ac:dyDescent="0.25">
      <c r="A1750" t="s">
        <v>44</v>
      </c>
      <c r="B1750" t="s">
        <v>52</v>
      </c>
      <c r="C1750" s="121" t="s">
        <v>174</v>
      </c>
      <c r="D1750" t="s">
        <v>190</v>
      </c>
      <c r="E1750" t="s">
        <v>57</v>
      </c>
      <c r="F1750">
        <v>3</v>
      </c>
      <c r="G1750">
        <v>33</v>
      </c>
      <c r="H1750" s="86">
        <v>45970.0050424769</v>
      </c>
      <c r="I1750" s="86">
        <v>45970.110555659703</v>
      </c>
      <c r="J1750" s="87">
        <v>2.5323163888888902</v>
      </c>
      <c r="K1750" s="69" t="s">
        <v>274</v>
      </c>
      <c r="P1750" s="71" t="s">
        <v>275</v>
      </c>
      <c r="Q1750" s="88">
        <v>3.4624562734571502E-3</v>
      </c>
      <c r="R1750" s="89" t="s">
        <v>276</v>
      </c>
      <c r="T1750">
        <v>7.5</v>
      </c>
      <c r="U1750" s="76">
        <v>0.2</v>
      </c>
      <c r="V1750">
        <v>10.1</v>
      </c>
      <c r="W1750" s="90">
        <v>0.1</v>
      </c>
      <c r="AG1750" s="91">
        <v>0</v>
      </c>
      <c r="AK1750" s="71">
        <v>0.15</v>
      </c>
      <c r="AL1750" s="88">
        <v>3.4895558456628797E-2</v>
      </c>
      <c r="AM1750" s="89">
        <f t="shared" si="27"/>
        <v>0.23263705637752533</v>
      </c>
    </row>
    <row r="1751" spans="1:39" x14ac:dyDescent="0.25">
      <c r="A1751" t="s">
        <v>44</v>
      </c>
      <c r="B1751" t="s">
        <v>52</v>
      </c>
      <c r="C1751" s="121" t="s">
        <v>174</v>
      </c>
      <c r="D1751" t="s">
        <v>190</v>
      </c>
      <c r="E1751" t="s">
        <v>57</v>
      </c>
      <c r="F1751">
        <v>3</v>
      </c>
      <c r="G1751">
        <v>34</v>
      </c>
      <c r="H1751" s="86">
        <v>45970.110555659703</v>
      </c>
      <c r="I1751" s="86">
        <v>45970.216063368098</v>
      </c>
      <c r="J1751" s="87">
        <v>2.5321850000000001</v>
      </c>
      <c r="K1751" s="69" t="s">
        <v>274</v>
      </c>
      <c r="P1751" s="71" t="s">
        <v>275</v>
      </c>
      <c r="Q1751" s="88">
        <v>3.4344675257677198E-3</v>
      </c>
      <c r="R1751" s="89" t="s">
        <v>276</v>
      </c>
      <c r="T1751">
        <v>7.1</v>
      </c>
      <c r="U1751" s="76">
        <v>0.2</v>
      </c>
      <c r="V1751">
        <v>10.1</v>
      </c>
      <c r="W1751" s="90">
        <v>0.1</v>
      </c>
      <c r="AG1751" s="91">
        <v>0</v>
      </c>
      <c r="AK1751" s="71">
        <v>0.15</v>
      </c>
      <c r="AL1751" s="88">
        <v>3.4895558456628797E-2</v>
      </c>
      <c r="AM1751" s="89">
        <f t="shared" si="27"/>
        <v>0.23263705637752533</v>
      </c>
    </row>
    <row r="1752" spans="1:39" x14ac:dyDescent="0.25">
      <c r="A1752" t="s">
        <v>44</v>
      </c>
      <c r="B1752" t="s">
        <v>52</v>
      </c>
      <c r="C1752" s="121" t="s">
        <v>174</v>
      </c>
      <c r="D1752" t="s">
        <v>190</v>
      </c>
      <c r="E1752" t="s">
        <v>57</v>
      </c>
      <c r="F1752">
        <v>3</v>
      </c>
      <c r="G1752">
        <v>35</v>
      </c>
      <c r="H1752" s="86">
        <v>45970.216063368098</v>
      </c>
      <c r="I1752" s="86">
        <v>45970.321550509303</v>
      </c>
      <c r="J1752" s="87">
        <v>2.5316913888888899</v>
      </c>
      <c r="K1752" s="69" t="s">
        <v>274</v>
      </c>
      <c r="P1752" s="71" t="s">
        <v>275</v>
      </c>
      <c r="Q1752" s="88">
        <v>3.4962638622074802E-3</v>
      </c>
      <c r="R1752" s="89" t="s">
        <v>276</v>
      </c>
      <c r="T1752">
        <v>6.9</v>
      </c>
      <c r="U1752" s="76">
        <v>0.2</v>
      </c>
      <c r="V1752">
        <v>10.1</v>
      </c>
      <c r="W1752" s="90">
        <v>0.1</v>
      </c>
      <c r="AG1752" s="91">
        <v>0</v>
      </c>
      <c r="AK1752" s="71">
        <v>0.15</v>
      </c>
      <c r="AL1752" s="88">
        <v>3.4895558456628797E-2</v>
      </c>
      <c r="AM1752" s="89">
        <f t="shared" si="27"/>
        <v>0.23263705637752533</v>
      </c>
    </row>
    <row r="1753" spans="1:39" x14ac:dyDescent="0.25">
      <c r="A1753" t="s">
        <v>44</v>
      </c>
      <c r="B1753" t="s">
        <v>52</v>
      </c>
      <c r="C1753" s="121" t="s">
        <v>174</v>
      </c>
      <c r="D1753" t="s">
        <v>190</v>
      </c>
      <c r="E1753" t="s">
        <v>57</v>
      </c>
      <c r="F1753">
        <v>3</v>
      </c>
      <c r="G1753">
        <v>36</v>
      </c>
      <c r="H1753" s="86">
        <v>45970.321550509303</v>
      </c>
      <c r="I1753" s="86">
        <v>45970.427058796296</v>
      </c>
      <c r="J1753" s="87">
        <v>2.5321988888888902</v>
      </c>
      <c r="K1753" s="69" t="s">
        <v>274</v>
      </c>
      <c r="P1753" s="71" t="s">
        <v>275</v>
      </c>
      <c r="Q1753" s="88">
        <v>3.4908716076271001E-3</v>
      </c>
      <c r="R1753" s="89" t="s">
        <v>276</v>
      </c>
      <c r="T1753">
        <v>6.8</v>
      </c>
      <c r="U1753" s="76">
        <v>0.2</v>
      </c>
      <c r="V1753">
        <v>10</v>
      </c>
      <c r="W1753" s="90">
        <v>0.1</v>
      </c>
      <c r="AG1753" s="91">
        <v>0</v>
      </c>
      <c r="AK1753" s="71">
        <v>0.15</v>
      </c>
      <c r="AL1753" s="88">
        <v>3.4895558456628797E-2</v>
      </c>
      <c r="AM1753" s="89">
        <f t="shared" si="27"/>
        <v>0.23263705637752533</v>
      </c>
    </row>
    <row r="1754" spans="1:39" x14ac:dyDescent="0.25">
      <c r="A1754" t="s">
        <v>44</v>
      </c>
      <c r="B1754" t="s">
        <v>52</v>
      </c>
      <c r="C1754" s="121" t="s">
        <v>174</v>
      </c>
      <c r="D1754" t="s">
        <v>190</v>
      </c>
      <c r="E1754" t="s">
        <v>57</v>
      </c>
      <c r="F1754">
        <v>3</v>
      </c>
      <c r="G1754">
        <v>37</v>
      </c>
      <c r="H1754" s="86">
        <v>45970.427058796296</v>
      </c>
      <c r="I1754" s="86">
        <v>45970.532547858798</v>
      </c>
      <c r="J1754" s="87">
        <v>2.5317375000000002</v>
      </c>
      <c r="K1754" s="69" t="s">
        <v>274</v>
      </c>
      <c r="P1754" s="71" t="s">
        <v>275</v>
      </c>
      <c r="Q1754" s="88">
        <v>6.3858419598750897E-3</v>
      </c>
      <c r="R1754" s="89" t="s">
        <v>276</v>
      </c>
      <c r="T1754">
        <v>7.2</v>
      </c>
      <c r="U1754" s="76">
        <v>0.2</v>
      </c>
      <c r="V1754">
        <v>10</v>
      </c>
      <c r="W1754" s="90">
        <v>0.1</v>
      </c>
      <c r="AG1754" s="91">
        <v>0</v>
      </c>
      <c r="AK1754" s="71">
        <v>0.15</v>
      </c>
      <c r="AL1754" s="88">
        <v>3.4895558456628797E-2</v>
      </c>
      <c r="AM1754" s="89">
        <f t="shared" si="27"/>
        <v>0.23263705637752533</v>
      </c>
    </row>
    <row r="1755" spans="1:39" x14ac:dyDescent="0.25">
      <c r="A1755" t="s">
        <v>44</v>
      </c>
      <c r="B1755" t="s">
        <v>52</v>
      </c>
      <c r="C1755" s="121" t="s">
        <v>174</v>
      </c>
      <c r="D1755" t="s">
        <v>190</v>
      </c>
      <c r="E1755" t="s">
        <v>57</v>
      </c>
      <c r="F1755">
        <v>3</v>
      </c>
      <c r="G1755">
        <v>38</v>
      </c>
      <c r="H1755" s="86">
        <v>45970.532547858798</v>
      </c>
      <c r="I1755" s="86">
        <v>45970.743553298598</v>
      </c>
      <c r="J1755" s="87">
        <v>5.0641305555555602</v>
      </c>
      <c r="K1755" s="69" t="s">
        <v>274</v>
      </c>
      <c r="P1755" s="71" t="s">
        <v>275</v>
      </c>
      <c r="Q1755" s="88">
        <v>1.0819597189833399E-2</v>
      </c>
      <c r="R1755" s="89" t="s">
        <v>276</v>
      </c>
      <c r="T1755">
        <v>7.5</v>
      </c>
      <c r="U1755" s="76">
        <v>0.2</v>
      </c>
      <c r="V1755">
        <v>10</v>
      </c>
      <c r="W1755" s="90">
        <v>0.1</v>
      </c>
      <c r="AG1755" s="91">
        <v>0</v>
      </c>
      <c r="AK1755" s="71">
        <v>0.15</v>
      </c>
      <c r="AL1755" s="88">
        <v>3.4895558456628797E-2</v>
      </c>
      <c r="AM1755" s="89">
        <f t="shared" si="27"/>
        <v>0.23263705637752533</v>
      </c>
    </row>
    <row r="1756" spans="1:39" x14ac:dyDescent="0.25">
      <c r="A1756" t="s">
        <v>44</v>
      </c>
      <c r="B1756" t="s">
        <v>52</v>
      </c>
      <c r="C1756" s="121" t="s">
        <v>174</v>
      </c>
      <c r="D1756" t="s">
        <v>190</v>
      </c>
      <c r="E1756" t="s">
        <v>57</v>
      </c>
      <c r="F1756">
        <v>3</v>
      </c>
      <c r="G1756">
        <v>39</v>
      </c>
      <c r="H1756" s="86">
        <v>45970.743553298598</v>
      </c>
      <c r="I1756" s="86">
        <v>45970.849060775501</v>
      </c>
      <c r="J1756" s="87">
        <v>2.5321794444444499</v>
      </c>
      <c r="K1756" s="69" t="s">
        <v>274</v>
      </c>
      <c r="P1756" s="71" t="s">
        <v>275</v>
      </c>
      <c r="Q1756" s="88">
        <v>2.7198710785390698E-3</v>
      </c>
      <c r="R1756" s="89" t="s">
        <v>276</v>
      </c>
      <c r="T1756">
        <v>6.3</v>
      </c>
      <c r="U1756" s="76">
        <v>0.2</v>
      </c>
      <c r="V1756">
        <v>10.1</v>
      </c>
      <c r="W1756" s="90">
        <v>0.1</v>
      </c>
      <c r="AG1756" s="91">
        <v>0</v>
      </c>
      <c r="AK1756" s="71">
        <v>0.15</v>
      </c>
      <c r="AL1756" s="88">
        <v>3.4895558456628797E-2</v>
      </c>
      <c r="AM1756" s="89">
        <f t="shared" si="27"/>
        <v>0.23263705637752533</v>
      </c>
    </row>
    <row r="1757" spans="1:39" x14ac:dyDescent="0.25">
      <c r="A1757" t="s">
        <v>44</v>
      </c>
      <c r="B1757" t="s">
        <v>52</v>
      </c>
      <c r="C1757" s="121" t="s">
        <v>174</v>
      </c>
      <c r="D1757" t="s">
        <v>190</v>
      </c>
      <c r="E1757" t="s">
        <v>57</v>
      </c>
      <c r="F1757">
        <v>3</v>
      </c>
      <c r="G1757">
        <v>40</v>
      </c>
      <c r="H1757" s="86">
        <v>45970.849060775501</v>
      </c>
      <c r="I1757" s="86">
        <v>45970.954575451397</v>
      </c>
      <c r="J1757" s="87">
        <v>2.5323522222222201</v>
      </c>
      <c r="K1757" s="69" t="s">
        <v>274</v>
      </c>
      <c r="P1757" s="71" t="s">
        <v>275</v>
      </c>
      <c r="Q1757" s="88">
        <v>2.8514004303450101E-3</v>
      </c>
      <c r="R1757" s="89" t="s">
        <v>276</v>
      </c>
      <c r="T1757">
        <v>6.2</v>
      </c>
      <c r="U1757" s="76">
        <v>0.2</v>
      </c>
      <c r="V1757">
        <v>10</v>
      </c>
      <c r="W1757" s="90">
        <v>0.1</v>
      </c>
      <c r="AG1757" s="91">
        <v>0</v>
      </c>
      <c r="AK1757" s="71">
        <v>0.15</v>
      </c>
      <c r="AL1757" s="88">
        <v>3.4895558456628797E-2</v>
      </c>
      <c r="AM1757" s="89">
        <f t="shared" si="27"/>
        <v>0.23263705637752533</v>
      </c>
    </row>
    <row r="1758" spans="1:39" x14ac:dyDescent="0.25">
      <c r="A1758" t="s">
        <v>44</v>
      </c>
      <c r="B1758" t="s">
        <v>52</v>
      </c>
      <c r="C1758" s="121" t="s">
        <v>174</v>
      </c>
      <c r="D1758" t="s">
        <v>190</v>
      </c>
      <c r="E1758" t="s">
        <v>57</v>
      </c>
      <c r="F1758">
        <v>3</v>
      </c>
      <c r="G1758">
        <v>41</v>
      </c>
      <c r="H1758" s="86">
        <v>45970.954575451397</v>
      </c>
      <c r="I1758" s="86">
        <v>45971.060072442102</v>
      </c>
      <c r="J1758" s="87">
        <v>2.53192777777778</v>
      </c>
      <c r="K1758" s="69" t="s">
        <v>274</v>
      </c>
      <c r="P1758" s="71" t="s">
        <v>275</v>
      </c>
      <c r="Q1758" s="88">
        <v>2.86253483235942E-3</v>
      </c>
      <c r="R1758" s="89" t="s">
        <v>276</v>
      </c>
      <c r="T1758">
        <v>5.0999999999999996</v>
      </c>
      <c r="U1758" s="76">
        <v>0.2</v>
      </c>
      <c r="V1758">
        <v>9.9</v>
      </c>
      <c r="W1758" s="90">
        <v>0.1</v>
      </c>
      <c r="AG1758" s="91">
        <v>0</v>
      </c>
      <c r="AK1758" s="71">
        <v>0.15</v>
      </c>
      <c r="AL1758" s="88">
        <v>3.4895558456628797E-2</v>
      </c>
      <c r="AM1758" s="89">
        <f t="shared" si="27"/>
        <v>0.23263705637752533</v>
      </c>
    </row>
    <row r="1759" spans="1:39" x14ac:dyDescent="0.25">
      <c r="A1759" t="s">
        <v>44</v>
      </c>
      <c r="B1759" t="s">
        <v>52</v>
      </c>
      <c r="C1759" s="121" t="s">
        <v>174</v>
      </c>
      <c r="D1759" t="s">
        <v>190</v>
      </c>
      <c r="E1759" t="s">
        <v>57</v>
      </c>
      <c r="F1759">
        <v>3</v>
      </c>
      <c r="G1759">
        <v>42</v>
      </c>
      <c r="H1759" s="86">
        <v>45971.060072442102</v>
      </c>
      <c r="I1759" s="86">
        <v>45971.165573437502</v>
      </c>
      <c r="J1759" s="87">
        <v>2.5320238888888902</v>
      </c>
      <c r="K1759" s="69" t="s">
        <v>274</v>
      </c>
      <c r="P1759" s="71" t="s">
        <v>275</v>
      </c>
      <c r="Q1759" s="88">
        <v>4.4786690044690599E-3</v>
      </c>
      <c r="R1759" s="89" t="s">
        <v>276</v>
      </c>
      <c r="T1759">
        <v>6.1</v>
      </c>
      <c r="U1759" s="76">
        <v>0.2</v>
      </c>
      <c r="V1759">
        <v>9.8000000000000007</v>
      </c>
      <c r="W1759" s="90">
        <v>0.1</v>
      </c>
      <c r="AG1759" s="91">
        <v>0</v>
      </c>
      <c r="AK1759" s="71">
        <v>0.15</v>
      </c>
      <c r="AL1759" s="88">
        <v>3.4895558456628797E-2</v>
      </c>
      <c r="AM1759" s="89">
        <f t="shared" si="27"/>
        <v>0.23263705637752533</v>
      </c>
    </row>
    <row r="1760" spans="1:39" x14ac:dyDescent="0.25">
      <c r="A1760" t="s">
        <v>44</v>
      </c>
      <c r="B1760" t="s">
        <v>52</v>
      </c>
      <c r="C1760" s="121" t="s">
        <v>174</v>
      </c>
      <c r="D1760" t="s">
        <v>190</v>
      </c>
      <c r="E1760" t="s">
        <v>57</v>
      </c>
      <c r="F1760">
        <v>3</v>
      </c>
      <c r="G1760">
        <v>43</v>
      </c>
      <c r="H1760" s="86">
        <v>45971.165573437502</v>
      </c>
      <c r="I1760" s="86">
        <v>45971.271068356502</v>
      </c>
      <c r="J1760" s="87">
        <v>2.53187805555556</v>
      </c>
      <c r="K1760" s="69" t="s">
        <v>274</v>
      </c>
      <c r="P1760" s="71" t="s">
        <v>275</v>
      </c>
      <c r="Q1760" s="88">
        <v>3.8847368518774598E-3</v>
      </c>
      <c r="R1760" s="89" t="s">
        <v>276</v>
      </c>
      <c r="T1760">
        <v>5.6</v>
      </c>
      <c r="U1760" s="76">
        <v>0.2</v>
      </c>
      <c r="V1760">
        <v>9.6999999999999993</v>
      </c>
      <c r="W1760" s="90">
        <v>0.1</v>
      </c>
      <c r="AG1760" s="91">
        <v>0</v>
      </c>
      <c r="AK1760" s="71">
        <v>0.15</v>
      </c>
      <c r="AL1760" s="88">
        <v>3.4895558456628797E-2</v>
      </c>
      <c r="AM1760" s="89">
        <f t="shared" si="27"/>
        <v>0.23263705637752533</v>
      </c>
    </row>
    <row r="1761" spans="1:39" x14ac:dyDescent="0.25">
      <c r="A1761" t="s">
        <v>44</v>
      </c>
      <c r="B1761" t="s">
        <v>52</v>
      </c>
      <c r="C1761" s="121" t="s">
        <v>174</v>
      </c>
      <c r="D1761" t="s">
        <v>190</v>
      </c>
      <c r="E1761" t="s">
        <v>57</v>
      </c>
      <c r="F1761">
        <v>3</v>
      </c>
      <c r="G1761">
        <v>44</v>
      </c>
      <c r="H1761" s="86">
        <v>45971.271068356502</v>
      </c>
      <c r="I1761" s="86">
        <v>45971.376581574099</v>
      </c>
      <c r="J1761" s="87">
        <v>2.5323172222222201</v>
      </c>
      <c r="K1761" s="69" t="s">
        <v>274</v>
      </c>
      <c r="P1761" s="71" t="s">
        <v>275</v>
      </c>
      <c r="Q1761" s="88">
        <v>2.8651721812664099E-3</v>
      </c>
      <c r="R1761" s="89" t="s">
        <v>276</v>
      </c>
      <c r="T1761">
        <v>6</v>
      </c>
      <c r="U1761" s="76">
        <v>0.2</v>
      </c>
      <c r="V1761">
        <v>9.6</v>
      </c>
      <c r="W1761" s="90">
        <v>0.1</v>
      </c>
      <c r="AG1761" s="91">
        <v>0</v>
      </c>
      <c r="AK1761" s="71">
        <v>0.15</v>
      </c>
      <c r="AL1761" s="88">
        <v>3.4895558456628797E-2</v>
      </c>
      <c r="AM1761" s="89">
        <f t="shared" si="27"/>
        <v>0.23263705637752533</v>
      </c>
    </row>
    <row r="1762" spans="1:39" x14ac:dyDescent="0.25">
      <c r="A1762" t="s">
        <v>44</v>
      </c>
      <c r="B1762" t="s">
        <v>52</v>
      </c>
      <c r="C1762" s="121" t="s">
        <v>174</v>
      </c>
      <c r="D1762" t="s">
        <v>190</v>
      </c>
      <c r="E1762" t="s">
        <v>57</v>
      </c>
      <c r="F1762">
        <v>3</v>
      </c>
      <c r="G1762">
        <v>45</v>
      </c>
      <c r="H1762" s="86">
        <v>45971.376581574099</v>
      </c>
      <c r="I1762" s="86">
        <v>45971.482085034702</v>
      </c>
      <c r="J1762" s="87">
        <v>2.5320830555555598</v>
      </c>
      <c r="K1762" s="69" t="s">
        <v>274</v>
      </c>
      <c r="P1762" s="71" t="s">
        <v>275</v>
      </c>
      <c r="Q1762" s="88">
        <v>4.2211330194968002E-3</v>
      </c>
      <c r="R1762" s="89" t="s">
        <v>276</v>
      </c>
      <c r="T1762">
        <v>5.7</v>
      </c>
      <c r="U1762" s="76">
        <v>0.2</v>
      </c>
      <c r="V1762">
        <v>9.5</v>
      </c>
      <c r="W1762" s="90">
        <v>0.1</v>
      </c>
      <c r="AG1762" s="91">
        <v>0</v>
      </c>
      <c r="AK1762" s="71">
        <v>0.15</v>
      </c>
      <c r="AL1762" s="88">
        <v>3.4895558456628797E-2</v>
      </c>
      <c r="AM1762" s="89">
        <f t="shared" si="27"/>
        <v>0.23263705637752533</v>
      </c>
    </row>
    <row r="1763" spans="1:39" x14ac:dyDescent="0.25">
      <c r="A1763" t="s">
        <v>44</v>
      </c>
      <c r="B1763" t="s">
        <v>52</v>
      </c>
      <c r="C1763" s="121" t="s">
        <v>174</v>
      </c>
      <c r="D1763" t="s">
        <v>190</v>
      </c>
      <c r="E1763" t="s">
        <v>57</v>
      </c>
      <c r="F1763">
        <v>3</v>
      </c>
      <c r="G1763">
        <v>46</v>
      </c>
      <c r="H1763" s="86">
        <v>45971.482085034702</v>
      </c>
      <c r="I1763" s="86">
        <v>45971.587586111098</v>
      </c>
      <c r="J1763" s="87">
        <v>2.5320258333333299</v>
      </c>
      <c r="K1763" s="69" t="s">
        <v>274</v>
      </c>
      <c r="P1763" s="71" t="s">
        <v>275</v>
      </c>
      <c r="Q1763" s="88">
        <v>1.2648053989874701E-2</v>
      </c>
      <c r="R1763" s="89" t="s">
        <v>276</v>
      </c>
      <c r="T1763">
        <v>10</v>
      </c>
      <c r="U1763" s="76">
        <v>0.2</v>
      </c>
      <c r="V1763">
        <v>9.5</v>
      </c>
      <c r="W1763" s="90">
        <v>0.1</v>
      </c>
      <c r="AG1763" s="91">
        <v>0</v>
      </c>
      <c r="AK1763" s="71">
        <v>0.15</v>
      </c>
      <c r="AL1763" s="88">
        <v>3.4895558456628797E-2</v>
      </c>
      <c r="AM1763" s="89">
        <f t="shared" si="27"/>
        <v>0.23263705637752533</v>
      </c>
    </row>
    <row r="1764" spans="1:39" x14ac:dyDescent="0.25">
      <c r="A1764" t="s">
        <v>44</v>
      </c>
      <c r="B1764" t="s">
        <v>52</v>
      </c>
      <c r="C1764" s="121" t="s">
        <v>174</v>
      </c>
      <c r="D1764" t="s">
        <v>190</v>
      </c>
      <c r="E1764" t="s">
        <v>57</v>
      </c>
      <c r="F1764">
        <v>3</v>
      </c>
      <c r="G1764">
        <v>47</v>
      </c>
      <c r="H1764" s="86">
        <v>45971.587586111098</v>
      </c>
      <c r="I1764" s="86">
        <v>45971.693080833298</v>
      </c>
      <c r="J1764" s="87">
        <v>2.5318733333333299</v>
      </c>
      <c r="K1764" s="69" t="s">
        <v>274</v>
      </c>
      <c r="P1764" s="71" t="s">
        <v>275</v>
      </c>
      <c r="Q1764" s="88">
        <v>1.63427452512496E-2</v>
      </c>
      <c r="R1764" s="89" t="s">
        <v>276</v>
      </c>
      <c r="T1764">
        <v>9</v>
      </c>
      <c r="U1764" s="76">
        <v>0.2</v>
      </c>
      <c r="V1764">
        <v>9.6999999999999993</v>
      </c>
      <c r="W1764" s="90">
        <v>0.1</v>
      </c>
      <c r="AG1764" s="91">
        <v>0</v>
      </c>
      <c r="AK1764" s="71">
        <v>0.15</v>
      </c>
      <c r="AL1764" s="88">
        <v>3.4895558456628797E-2</v>
      </c>
      <c r="AM1764" s="89">
        <f t="shared" si="27"/>
        <v>0.23263705637752533</v>
      </c>
    </row>
    <row r="1765" spans="1:39" x14ac:dyDescent="0.25">
      <c r="A1765" t="s">
        <v>44</v>
      </c>
      <c r="B1765" t="s">
        <v>52</v>
      </c>
      <c r="C1765" s="121" t="s">
        <v>174</v>
      </c>
      <c r="D1765" t="s">
        <v>190</v>
      </c>
      <c r="E1765" t="s">
        <v>57</v>
      </c>
      <c r="F1765">
        <v>3</v>
      </c>
      <c r="G1765">
        <v>48</v>
      </c>
      <c r="H1765" s="86">
        <v>45971.693080833298</v>
      </c>
      <c r="I1765" s="86">
        <v>45971.798598055597</v>
      </c>
      <c r="J1765" s="87">
        <v>2.5324133333333299</v>
      </c>
      <c r="K1765" s="69" t="s">
        <v>274</v>
      </c>
      <c r="P1765" s="71" t="s">
        <v>275</v>
      </c>
      <c r="Q1765" s="88">
        <v>7.1616034548134498E-3</v>
      </c>
      <c r="R1765" s="89" t="s">
        <v>276</v>
      </c>
      <c r="T1765">
        <v>8.1999999999999993</v>
      </c>
      <c r="U1765" s="76">
        <v>0.2</v>
      </c>
      <c r="V1765">
        <v>9.8000000000000007</v>
      </c>
      <c r="W1765" s="90">
        <v>0.1</v>
      </c>
      <c r="AG1765" s="91">
        <v>0</v>
      </c>
      <c r="AK1765" s="71">
        <v>0.15</v>
      </c>
      <c r="AL1765" s="88">
        <v>3.4895558456628797E-2</v>
      </c>
      <c r="AM1765" s="89">
        <f t="shared" si="27"/>
        <v>0.23263705637752533</v>
      </c>
    </row>
    <row r="1766" spans="1:39" x14ac:dyDescent="0.25">
      <c r="A1766" t="s">
        <v>44</v>
      </c>
      <c r="B1766" t="s">
        <v>52</v>
      </c>
      <c r="C1766" s="121" t="s">
        <v>174</v>
      </c>
      <c r="D1766" t="s">
        <v>190</v>
      </c>
      <c r="E1766" t="s">
        <v>57</v>
      </c>
      <c r="F1766">
        <v>3</v>
      </c>
      <c r="G1766">
        <v>49</v>
      </c>
      <c r="H1766" s="86">
        <v>45971.798598055597</v>
      </c>
      <c r="I1766" s="86">
        <v>45971.904130219897</v>
      </c>
      <c r="J1766" s="87">
        <v>2.5327719444444399</v>
      </c>
      <c r="K1766" s="69" t="s">
        <v>274</v>
      </c>
      <c r="P1766" s="71" t="s">
        <v>275</v>
      </c>
      <c r="Q1766" s="88">
        <v>6.0641379086592501E-3</v>
      </c>
      <c r="R1766" s="89" t="s">
        <v>276</v>
      </c>
      <c r="T1766">
        <v>7.8</v>
      </c>
      <c r="U1766" s="76">
        <v>0.2</v>
      </c>
      <c r="V1766">
        <v>9.8000000000000007</v>
      </c>
      <c r="W1766" s="90">
        <v>0.1</v>
      </c>
      <c r="AG1766" s="91">
        <v>0</v>
      </c>
      <c r="AK1766" s="71">
        <v>0.15</v>
      </c>
      <c r="AL1766" s="88">
        <v>3.4895558456628797E-2</v>
      </c>
      <c r="AM1766" s="89">
        <f t="shared" si="27"/>
        <v>0.23263705637752533</v>
      </c>
    </row>
    <row r="1767" spans="1:39" x14ac:dyDescent="0.25">
      <c r="A1767" t="s">
        <v>44</v>
      </c>
      <c r="B1767" t="s">
        <v>52</v>
      </c>
      <c r="C1767" s="121" t="s">
        <v>174</v>
      </c>
      <c r="D1767" t="s">
        <v>190</v>
      </c>
      <c r="E1767" t="s">
        <v>57</v>
      </c>
      <c r="F1767">
        <v>3</v>
      </c>
      <c r="G1767">
        <v>50</v>
      </c>
      <c r="H1767" s="86">
        <v>45971.904130219897</v>
      </c>
      <c r="I1767" s="86">
        <v>45972.009654594898</v>
      </c>
      <c r="J1767" s="87">
        <v>2.5325850000000001</v>
      </c>
      <c r="K1767" s="69" t="s">
        <v>274</v>
      </c>
      <c r="P1767" s="71" t="s">
        <v>275</v>
      </c>
      <c r="Q1767" s="88">
        <v>7.3989709574991697E-3</v>
      </c>
      <c r="R1767" s="89" t="s">
        <v>276</v>
      </c>
      <c r="T1767">
        <v>7.9</v>
      </c>
      <c r="U1767" s="76">
        <v>0.2</v>
      </c>
      <c r="V1767">
        <v>9.8000000000000007</v>
      </c>
      <c r="W1767" s="90">
        <v>0.1</v>
      </c>
      <c r="AG1767" s="91">
        <v>0</v>
      </c>
      <c r="AK1767" s="71">
        <v>0.15</v>
      </c>
      <c r="AL1767" s="88">
        <v>3.4895558456628797E-2</v>
      </c>
      <c r="AM1767" s="89">
        <f t="shared" si="27"/>
        <v>0.23263705637752533</v>
      </c>
    </row>
    <row r="1768" spans="1:39" x14ac:dyDescent="0.25">
      <c r="A1768" t="s">
        <v>44</v>
      </c>
      <c r="B1768" t="s">
        <v>52</v>
      </c>
      <c r="C1768" s="121" t="s">
        <v>174</v>
      </c>
      <c r="D1768" t="s">
        <v>190</v>
      </c>
      <c r="E1768" t="s">
        <v>57</v>
      </c>
      <c r="F1768">
        <v>3</v>
      </c>
      <c r="G1768">
        <v>51</v>
      </c>
      <c r="H1768" s="86">
        <v>45972.009654594898</v>
      </c>
      <c r="I1768" s="86">
        <v>45972.115171064797</v>
      </c>
      <c r="J1768" s="87">
        <v>2.5323952777777801</v>
      </c>
      <c r="K1768" s="69" t="s">
        <v>274</v>
      </c>
      <c r="P1768" s="71" t="s">
        <v>275</v>
      </c>
      <c r="Q1768" s="88">
        <v>5.44666169538594E-3</v>
      </c>
      <c r="R1768" s="89" t="s">
        <v>276</v>
      </c>
      <c r="T1768">
        <v>6.6</v>
      </c>
      <c r="U1768" s="76">
        <v>0.2</v>
      </c>
      <c r="V1768">
        <v>9.6999999999999993</v>
      </c>
      <c r="W1768" s="90">
        <v>0.1</v>
      </c>
      <c r="AG1768" s="91">
        <v>0</v>
      </c>
      <c r="AK1768" s="71">
        <v>0.15</v>
      </c>
      <c r="AL1768" s="88">
        <v>3.4895558456628797E-2</v>
      </c>
      <c r="AM1768" s="89">
        <f t="shared" si="27"/>
        <v>0.23263705637752533</v>
      </c>
    </row>
    <row r="1769" spans="1:39" x14ac:dyDescent="0.25">
      <c r="A1769" t="s">
        <v>44</v>
      </c>
      <c r="B1769" t="s">
        <v>52</v>
      </c>
      <c r="C1769" s="121" t="s">
        <v>174</v>
      </c>
      <c r="D1769" t="s">
        <v>190</v>
      </c>
      <c r="E1769" t="s">
        <v>57</v>
      </c>
      <c r="F1769">
        <v>3</v>
      </c>
      <c r="G1769">
        <v>52</v>
      </c>
      <c r="H1769" s="86">
        <v>45972.115171064797</v>
      </c>
      <c r="I1769" s="86">
        <v>45972.220703194398</v>
      </c>
      <c r="J1769" s="87">
        <v>2.53277111111111</v>
      </c>
      <c r="K1769" s="69" t="s">
        <v>274</v>
      </c>
      <c r="P1769" s="71" t="s">
        <v>275</v>
      </c>
      <c r="Q1769" s="88">
        <v>3.02675009412373E-3</v>
      </c>
      <c r="R1769" s="89" t="s">
        <v>276</v>
      </c>
      <c r="T1769">
        <v>5.9</v>
      </c>
      <c r="U1769" s="76">
        <v>0.2</v>
      </c>
      <c r="V1769">
        <v>9.5</v>
      </c>
      <c r="W1769" s="90">
        <v>0.1</v>
      </c>
      <c r="AG1769" s="91">
        <v>0</v>
      </c>
      <c r="AK1769" s="71">
        <v>0.15</v>
      </c>
      <c r="AL1769" s="88">
        <v>3.4895558456628797E-2</v>
      </c>
      <c r="AM1769" s="89">
        <f t="shared" si="27"/>
        <v>0.23263705637752533</v>
      </c>
    </row>
    <row r="1770" spans="1:39" x14ac:dyDescent="0.25">
      <c r="A1770" t="s">
        <v>44</v>
      </c>
      <c r="B1770" t="s">
        <v>52</v>
      </c>
      <c r="C1770" s="121" t="s">
        <v>174</v>
      </c>
      <c r="D1770" t="s">
        <v>190</v>
      </c>
      <c r="E1770" t="s">
        <v>57</v>
      </c>
      <c r="F1770">
        <v>3</v>
      </c>
      <c r="G1770">
        <v>53</v>
      </c>
      <c r="H1770" s="86">
        <v>45972.220703194398</v>
      </c>
      <c r="I1770" s="86">
        <v>45972.326229780097</v>
      </c>
      <c r="J1770" s="87">
        <v>2.5326380555555601</v>
      </c>
      <c r="K1770" s="69" t="s">
        <v>274</v>
      </c>
      <c r="P1770" s="71" t="s">
        <v>275</v>
      </c>
      <c r="Q1770" s="88">
        <v>2.7266948484485501E-3</v>
      </c>
      <c r="R1770" s="89" t="s">
        <v>276</v>
      </c>
      <c r="T1770">
        <v>6.2</v>
      </c>
      <c r="U1770" s="76">
        <v>0.2</v>
      </c>
      <c r="V1770">
        <v>9.4</v>
      </c>
      <c r="W1770" s="90">
        <v>0.1</v>
      </c>
      <c r="AG1770" s="91">
        <v>0</v>
      </c>
      <c r="AK1770" s="71">
        <v>0.15</v>
      </c>
      <c r="AL1770" s="88">
        <v>3.4895558456628797E-2</v>
      </c>
      <c r="AM1770" s="89">
        <f t="shared" si="27"/>
        <v>0.23263705637752533</v>
      </c>
    </row>
    <row r="1771" spans="1:39" x14ac:dyDescent="0.25">
      <c r="A1771" t="s">
        <v>44</v>
      </c>
      <c r="B1771" t="s">
        <v>52</v>
      </c>
      <c r="C1771" s="121" t="s">
        <v>174</v>
      </c>
      <c r="D1771" t="s">
        <v>190</v>
      </c>
      <c r="E1771" t="s">
        <v>57</v>
      </c>
      <c r="F1771">
        <v>3</v>
      </c>
      <c r="G1771">
        <v>54</v>
      </c>
      <c r="H1771" s="86">
        <v>45972.326229780097</v>
      </c>
      <c r="I1771" s="86">
        <v>45972.431751759301</v>
      </c>
      <c r="J1771" s="87">
        <v>2.5325275</v>
      </c>
      <c r="K1771" s="69" t="s">
        <v>274</v>
      </c>
      <c r="P1771" s="71" t="s">
        <v>275</v>
      </c>
      <c r="Q1771" s="88">
        <v>5.5673121933148099E-3</v>
      </c>
      <c r="R1771" s="89" t="s">
        <v>276</v>
      </c>
      <c r="T1771">
        <v>7.2</v>
      </c>
      <c r="U1771" s="76">
        <v>0.2</v>
      </c>
      <c r="V1771">
        <v>9.3000000000000007</v>
      </c>
      <c r="W1771" s="90">
        <v>0.1</v>
      </c>
      <c r="AG1771" s="91">
        <v>0</v>
      </c>
      <c r="AK1771" s="71">
        <v>0.15</v>
      </c>
      <c r="AL1771" s="88">
        <v>3.4895558456628797E-2</v>
      </c>
      <c r="AM1771" s="89">
        <f t="shared" si="27"/>
        <v>0.23263705637752533</v>
      </c>
    </row>
    <row r="1772" spans="1:39" x14ac:dyDescent="0.25">
      <c r="A1772" t="s">
        <v>44</v>
      </c>
      <c r="B1772" t="s">
        <v>52</v>
      </c>
      <c r="C1772" s="121" t="s">
        <v>174</v>
      </c>
      <c r="D1772" t="s">
        <v>190</v>
      </c>
      <c r="E1772" t="s">
        <v>57</v>
      </c>
      <c r="F1772">
        <v>3</v>
      </c>
      <c r="G1772">
        <v>55</v>
      </c>
      <c r="H1772" s="86">
        <v>45972.431751759301</v>
      </c>
      <c r="I1772" s="86">
        <v>45972.537270833302</v>
      </c>
      <c r="J1772" s="87">
        <v>2.5324577777777799</v>
      </c>
      <c r="K1772" s="69" t="s">
        <v>274</v>
      </c>
      <c r="P1772" s="71" t="s">
        <v>275</v>
      </c>
      <c r="Q1772" s="88">
        <v>5.8696353433006498E-3</v>
      </c>
      <c r="R1772" s="89" t="s">
        <v>276</v>
      </c>
      <c r="T1772">
        <v>7.8</v>
      </c>
      <c r="U1772" s="76">
        <v>0.2</v>
      </c>
      <c r="V1772">
        <v>9.3000000000000007</v>
      </c>
      <c r="W1772" s="90">
        <v>0.1</v>
      </c>
      <c r="AG1772" s="91">
        <v>0</v>
      </c>
      <c r="AK1772" s="71">
        <v>0.15</v>
      </c>
      <c r="AL1772" s="88">
        <v>3.4895558456628797E-2</v>
      </c>
      <c r="AM1772" s="89">
        <f t="shared" si="27"/>
        <v>0.23263705637752533</v>
      </c>
    </row>
    <row r="1773" spans="1:39" x14ac:dyDescent="0.25">
      <c r="A1773" t="s">
        <v>44</v>
      </c>
      <c r="B1773" t="s">
        <v>52</v>
      </c>
      <c r="C1773" s="121" t="s">
        <v>174</v>
      </c>
      <c r="D1773" t="s">
        <v>190</v>
      </c>
      <c r="E1773" t="s">
        <v>57</v>
      </c>
      <c r="F1773">
        <v>3</v>
      </c>
      <c r="G1773">
        <v>56</v>
      </c>
      <c r="H1773" s="86">
        <v>45972.537270833302</v>
      </c>
      <c r="I1773" s="86">
        <v>45972.642802372698</v>
      </c>
      <c r="J1773" s="87">
        <v>2.53275694444444</v>
      </c>
      <c r="K1773" s="69" t="s">
        <v>274</v>
      </c>
      <c r="P1773" s="71" t="s">
        <v>275</v>
      </c>
      <c r="Q1773" s="88">
        <v>9.9453372741515299E-3</v>
      </c>
      <c r="R1773" s="89" t="s">
        <v>276</v>
      </c>
      <c r="T1773">
        <v>9.1</v>
      </c>
      <c r="U1773" s="76">
        <v>0.2</v>
      </c>
      <c r="V1773">
        <v>9.3000000000000007</v>
      </c>
      <c r="W1773" s="90">
        <v>0.1</v>
      </c>
      <c r="AG1773" s="91">
        <v>0</v>
      </c>
      <c r="AK1773" s="71">
        <v>0.15</v>
      </c>
      <c r="AL1773" s="88">
        <v>3.4895558456628797E-2</v>
      </c>
      <c r="AM1773" s="89">
        <f t="shared" si="27"/>
        <v>0.23263705637752533</v>
      </c>
    </row>
    <row r="1774" spans="1:39" x14ac:dyDescent="0.25">
      <c r="A1774" t="s">
        <v>44</v>
      </c>
      <c r="B1774" t="s">
        <v>52</v>
      </c>
      <c r="C1774" s="121" t="s">
        <v>174</v>
      </c>
      <c r="D1774" t="s">
        <v>190</v>
      </c>
      <c r="E1774" t="s">
        <v>57</v>
      </c>
      <c r="F1774">
        <v>3</v>
      </c>
      <c r="G1774">
        <v>57</v>
      </c>
      <c r="H1774" s="86">
        <v>45972.642802372698</v>
      </c>
      <c r="I1774" s="86">
        <v>45972.748331955998</v>
      </c>
      <c r="J1774" s="87">
        <v>2.5327099999999998</v>
      </c>
      <c r="K1774" s="69" t="s">
        <v>274</v>
      </c>
      <c r="P1774" s="71" t="s">
        <v>275</v>
      </c>
      <c r="Q1774" s="88">
        <v>7.6328466341470001E-3</v>
      </c>
      <c r="R1774" s="89" t="s">
        <v>276</v>
      </c>
      <c r="T1774">
        <v>9.1999999999999993</v>
      </c>
      <c r="U1774" s="76">
        <v>0.2</v>
      </c>
      <c r="V1774">
        <v>9.4</v>
      </c>
      <c r="W1774" s="90">
        <v>0.1</v>
      </c>
      <c r="AG1774" s="91">
        <v>0</v>
      </c>
      <c r="AK1774" s="71">
        <v>0.15</v>
      </c>
      <c r="AL1774" s="88">
        <v>3.4895558456628797E-2</v>
      </c>
      <c r="AM1774" s="89">
        <f t="shared" si="27"/>
        <v>0.23263705637752533</v>
      </c>
    </row>
    <row r="1775" spans="1:39" x14ac:dyDescent="0.25">
      <c r="A1775" t="s">
        <v>44</v>
      </c>
      <c r="B1775" t="s">
        <v>52</v>
      </c>
      <c r="C1775" s="121" t="s">
        <v>174</v>
      </c>
      <c r="D1775" t="s">
        <v>190</v>
      </c>
      <c r="E1775" t="s">
        <v>57</v>
      </c>
      <c r="F1775">
        <v>3</v>
      </c>
      <c r="G1775">
        <v>58</v>
      </c>
      <c r="H1775" s="86">
        <v>45972.748331955998</v>
      </c>
      <c r="I1775" s="86">
        <v>45972.853848911996</v>
      </c>
      <c r="J1775" s="87">
        <v>2.5324069444444501</v>
      </c>
      <c r="K1775" s="69" t="s">
        <v>274</v>
      </c>
      <c r="P1775" s="71" t="s">
        <v>275</v>
      </c>
      <c r="Q1775" s="88">
        <v>3.6227076683571198E-3</v>
      </c>
      <c r="R1775" s="89" t="s">
        <v>276</v>
      </c>
      <c r="T1775">
        <v>8</v>
      </c>
      <c r="U1775" s="76">
        <v>0.2</v>
      </c>
      <c r="V1775">
        <v>9.5</v>
      </c>
      <c r="W1775" s="90">
        <v>0.1</v>
      </c>
      <c r="AG1775" s="91">
        <v>0</v>
      </c>
      <c r="AK1775" s="71">
        <v>0.15</v>
      </c>
      <c r="AL1775" s="88">
        <v>3.4895558456628797E-2</v>
      </c>
      <c r="AM1775" s="89">
        <f t="shared" si="27"/>
        <v>0.23263705637752533</v>
      </c>
    </row>
    <row r="1776" spans="1:39" x14ac:dyDescent="0.25">
      <c r="A1776" t="s">
        <v>44</v>
      </c>
      <c r="B1776" t="s">
        <v>52</v>
      </c>
      <c r="C1776" s="121" t="s">
        <v>174</v>
      </c>
      <c r="D1776" t="s">
        <v>190</v>
      </c>
      <c r="E1776" t="s">
        <v>57</v>
      </c>
      <c r="F1776">
        <v>3</v>
      </c>
      <c r="G1776">
        <v>59</v>
      </c>
      <c r="H1776" s="86">
        <v>45972.853848911996</v>
      </c>
      <c r="I1776" s="86">
        <v>45972.959369965298</v>
      </c>
      <c r="J1776" s="87">
        <v>2.5325052777777799</v>
      </c>
      <c r="K1776" s="69" t="s">
        <v>274</v>
      </c>
      <c r="P1776" s="71" t="s">
        <v>275</v>
      </c>
      <c r="Q1776" s="88">
        <v>2.5096258793908801E-3</v>
      </c>
      <c r="R1776" s="89" t="s">
        <v>276</v>
      </c>
      <c r="T1776">
        <v>6.6</v>
      </c>
      <c r="U1776" s="76">
        <v>0.2</v>
      </c>
      <c r="V1776">
        <v>9.5</v>
      </c>
      <c r="W1776" s="90">
        <v>0.1</v>
      </c>
      <c r="AG1776" s="91">
        <v>0</v>
      </c>
      <c r="AK1776" s="71">
        <v>0.15</v>
      </c>
      <c r="AL1776" s="88">
        <v>3.4895558456628797E-2</v>
      </c>
      <c r="AM1776" s="89">
        <f t="shared" si="27"/>
        <v>0.23263705637752533</v>
      </c>
    </row>
    <row r="1777" spans="1:39" x14ac:dyDescent="0.25">
      <c r="A1777" t="s">
        <v>44</v>
      </c>
      <c r="B1777" t="s">
        <v>52</v>
      </c>
      <c r="C1777" s="121" t="s">
        <v>174</v>
      </c>
      <c r="D1777" t="s">
        <v>190</v>
      </c>
      <c r="E1777" t="s">
        <v>57</v>
      </c>
      <c r="F1777">
        <v>3</v>
      </c>
      <c r="G1777">
        <v>60</v>
      </c>
      <c r="H1777" s="86">
        <v>45972.959369965298</v>
      </c>
      <c r="I1777" s="86">
        <v>45973.064903819497</v>
      </c>
      <c r="J1777" s="87">
        <v>2.5328124999999999</v>
      </c>
      <c r="K1777" s="69" t="s">
        <v>274</v>
      </c>
      <c r="P1777" s="71" t="s">
        <v>275</v>
      </c>
      <c r="Q1777" s="88">
        <v>1.7821562749593099E-3</v>
      </c>
      <c r="R1777" s="89" t="s">
        <v>276</v>
      </c>
      <c r="T1777">
        <v>8.6</v>
      </c>
      <c r="U1777" s="76">
        <v>0.2</v>
      </c>
      <c r="V1777">
        <v>9.3000000000000007</v>
      </c>
      <c r="W1777" s="90">
        <v>0.1</v>
      </c>
      <c r="AG1777" s="91">
        <v>0</v>
      </c>
      <c r="AK1777" s="71">
        <v>0.15</v>
      </c>
      <c r="AL1777" s="88">
        <v>3.4895558456628797E-2</v>
      </c>
      <c r="AM1777" s="89">
        <f t="shared" si="27"/>
        <v>0.23263705637752533</v>
      </c>
    </row>
    <row r="1778" spans="1:39" x14ac:dyDescent="0.25">
      <c r="A1778" t="s">
        <v>44</v>
      </c>
      <c r="B1778" t="s">
        <v>52</v>
      </c>
      <c r="C1778" s="121" t="s">
        <v>174</v>
      </c>
      <c r="D1778" t="s">
        <v>190</v>
      </c>
      <c r="E1778" t="s">
        <v>57</v>
      </c>
      <c r="F1778">
        <v>3</v>
      </c>
      <c r="G1778">
        <v>61</v>
      </c>
      <c r="H1778" s="86">
        <v>45973.064903819497</v>
      </c>
      <c r="I1778" s="86">
        <v>45973.170422870397</v>
      </c>
      <c r="J1778" s="87">
        <v>2.5324572222222201</v>
      </c>
      <c r="K1778" s="69" t="s">
        <v>274</v>
      </c>
      <c r="P1778" s="71" t="s">
        <v>275</v>
      </c>
      <c r="Q1778" s="88">
        <v>6.4211803838662299E-3</v>
      </c>
      <c r="R1778" s="89" t="s">
        <v>276</v>
      </c>
      <c r="T1778">
        <v>9.3000000000000007</v>
      </c>
      <c r="U1778" s="76">
        <v>0.2</v>
      </c>
      <c r="V1778">
        <v>9.3000000000000007</v>
      </c>
      <c r="W1778" s="90">
        <v>0.1</v>
      </c>
      <c r="AG1778" s="91">
        <v>0</v>
      </c>
      <c r="AK1778" s="71">
        <v>0.15</v>
      </c>
      <c r="AL1778" s="88">
        <v>3.4895558456628797E-2</v>
      </c>
      <c r="AM1778" s="89">
        <f t="shared" si="27"/>
        <v>0.23263705637752533</v>
      </c>
    </row>
    <row r="1779" spans="1:39" x14ac:dyDescent="0.25">
      <c r="A1779" t="s">
        <v>44</v>
      </c>
      <c r="B1779" t="s">
        <v>52</v>
      </c>
      <c r="C1779" s="121" t="s">
        <v>174</v>
      </c>
      <c r="D1779" t="s">
        <v>190</v>
      </c>
      <c r="E1779" t="s">
        <v>57</v>
      </c>
      <c r="F1779">
        <v>3</v>
      </c>
      <c r="G1779">
        <v>62</v>
      </c>
      <c r="H1779" s="86">
        <v>45973.170422870397</v>
      </c>
      <c r="I1779" s="86">
        <v>45973.275956956</v>
      </c>
      <c r="J1779" s="87">
        <v>2.5328180555555599</v>
      </c>
      <c r="K1779" s="69" t="s">
        <v>274</v>
      </c>
      <c r="P1779" s="71" t="s">
        <v>275</v>
      </c>
      <c r="Q1779" s="88">
        <v>8.6434989193006594E-3</v>
      </c>
      <c r="R1779" s="89" t="s">
        <v>276</v>
      </c>
      <c r="T1779">
        <v>9.1999999999999993</v>
      </c>
      <c r="U1779" s="76">
        <v>0.2</v>
      </c>
      <c r="V1779">
        <v>9.4</v>
      </c>
      <c r="W1779" s="90">
        <v>0.1</v>
      </c>
      <c r="AG1779" s="91">
        <v>0</v>
      </c>
      <c r="AK1779" s="71">
        <v>0.15</v>
      </c>
      <c r="AL1779" s="88">
        <v>3.4895558456628797E-2</v>
      </c>
      <c r="AM1779" s="89">
        <f t="shared" si="27"/>
        <v>0.23263705637752533</v>
      </c>
    </row>
    <row r="1780" spans="1:39" x14ac:dyDescent="0.25">
      <c r="A1780" t="s">
        <v>44</v>
      </c>
      <c r="B1780" t="s">
        <v>52</v>
      </c>
      <c r="C1780" s="121" t="s">
        <v>174</v>
      </c>
      <c r="D1780" t="s">
        <v>190</v>
      </c>
      <c r="E1780" t="s">
        <v>57</v>
      </c>
      <c r="F1780">
        <v>3</v>
      </c>
      <c r="G1780">
        <v>63</v>
      </c>
      <c r="H1780" s="86">
        <v>45973.275956956</v>
      </c>
      <c r="I1780" s="86">
        <v>45973.381482083299</v>
      </c>
      <c r="J1780" s="87">
        <v>2.5326030555555601</v>
      </c>
      <c r="K1780" s="69" t="s">
        <v>274</v>
      </c>
      <c r="P1780" s="71" t="s">
        <v>275</v>
      </c>
      <c r="Q1780" s="88">
        <v>8.9568454413634004E-3</v>
      </c>
      <c r="R1780" s="89" t="s">
        <v>276</v>
      </c>
      <c r="T1780">
        <v>9</v>
      </c>
      <c r="U1780" s="76">
        <v>0.2</v>
      </c>
      <c r="V1780">
        <v>9.4</v>
      </c>
      <c r="W1780" s="90">
        <v>0.1</v>
      </c>
      <c r="AG1780" s="91">
        <v>0</v>
      </c>
      <c r="AK1780" s="71">
        <v>0.15</v>
      </c>
      <c r="AL1780" s="88">
        <v>3.4895558456628797E-2</v>
      </c>
      <c r="AM1780" s="89">
        <f t="shared" si="27"/>
        <v>0.23263705637752533</v>
      </c>
    </row>
    <row r="1781" spans="1:39" x14ac:dyDescent="0.25">
      <c r="A1781" t="s">
        <v>44</v>
      </c>
      <c r="B1781" t="s">
        <v>52</v>
      </c>
      <c r="C1781" s="121" t="s">
        <v>174</v>
      </c>
      <c r="D1781" t="s">
        <v>193</v>
      </c>
      <c r="E1781" t="s">
        <v>59</v>
      </c>
      <c r="F1781">
        <v>3</v>
      </c>
      <c r="G1781">
        <v>1</v>
      </c>
      <c r="H1781" s="86">
        <v>45966.634144768497</v>
      </c>
      <c r="I1781" s="86">
        <v>45966.7396639699</v>
      </c>
      <c r="J1781" s="87">
        <v>2.5324608333333298</v>
      </c>
      <c r="K1781" s="69" t="s">
        <v>274</v>
      </c>
      <c r="P1781" s="71" t="s">
        <v>275</v>
      </c>
      <c r="Q1781" s="88">
        <v>5.6865647591704304E-3</v>
      </c>
      <c r="R1781" s="89" t="s">
        <v>276</v>
      </c>
      <c r="T1781">
        <v>12.8</v>
      </c>
      <c r="U1781" s="76">
        <v>0.2</v>
      </c>
      <c r="V1781">
        <v>11</v>
      </c>
      <c r="W1781" s="90">
        <v>0.1</v>
      </c>
      <c r="AG1781" s="91">
        <v>0</v>
      </c>
      <c r="AK1781" s="71">
        <v>0.15</v>
      </c>
      <c r="AL1781" s="88">
        <v>3.3594642430006601E-2</v>
      </c>
      <c r="AM1781" s="89">
        <f t="shared" si="27"/>
        <v>0.22396428286671069</v>
      </c>
    </row>
    <row r="1782" spans="1:39" x14ac:dyDescent="0.25">
      <c r="A1782" t="s">
        <v>44</v>
      </c>
      <c r="B1782" t="s">
        <v>52</v>
      </c>
      <c r="C1782" s="121" t="s">
        <v>174</v>
      </c>
      <c r="D1782" t="s">
        <v>193</v>
      </c>
      <c r="E1782" t="s">
        <v>59</v>
      </c>
      <c r="F1782">
        <v>3</v>
      </c>
      <c r="G1782">
        <v>2</v>
      </c>
      <c r="H1782" s="86">
        <v>45966.7396639699</v>
      </c>
      <c r="I1782" s="86">
        <v>45966.845190081003</v>
      </c>
      <c r="J1782" s="87">
        <v>2.5326266666666699</v>
      </c>
      <c r="K1782" s="69" t="s">
        <v>274</v>
      </c>
      <c r="P1782" s="71" t="s">
        <v>275</v>
      </c>
      <c r="Q1782" s="88">
        <v>3.19606811568485E-3</v>
      </c>
      <c r="R1782" s="89" t="s">
        <v>276</v>
      </c>
      <c r="T1782">
        <v>10.6</v>
      </c>
      <c r="U1782" s="76">
        <v>0.2</v>
      </c>
      <c r="V1782">
        <v>11.1</v>
      </c>
      <c r="W1782" s="90">
        <v>0.1</v>
      </c>
      <c r="AG1782" s="91">
        <v>0</v>
      </c>
      <c r="AK1782" s="71">
        <v>0.15</v>
      </c>
      <c r="AL1782" s="88">
        <v>3.3594642430006601E-2</v>
      </c>
      <c r="AM1782" s="89">
        <f t="shared" si="27"/>
        <v>0.22396428286671069</v>
      </c>
    </row>
    <row r="1783" spans="1:39" x14ac:dyDescent="0.25">
      <c r="A1783" t="s">
        <v>44</v>
      </c>
      <c r="B1783" t="s">
        <v>52</v>
      </c>
      <c r="C1783" s="121" t="s">
        <v>174</v>
      </c>
      <c r="D1783" t="s">
        <v>193</v>
      </c>
      <c r="E1783" t="s">
        <v>59</v>
      </c>
      <c r="F1783">
        <v>3</v>
      </c>
      <c r="G1783">
        <v>3</v>
      </c>
      <c r="H1783" s="86">
        <v>45966.845190081003</v>
      </c>
      <c r="I1783" s="86">
        <v>45966.950711643498</v>
      </c>
      <c r="J1783" s="87">
        <v>2.5325175</v>
      </c>
      <c r="K1783" s="69" t="s">
        <v>274</v>
      </c>
      <c r="P1783" s="71" t="s">
        <v>275</v>
      </c>
      <c r="Q1783" s="88">
        <v>4.1558511645987898E-3</v>
      </c>
      <c r="R1783" s="89" t="s">
        <v>276</v>
      </c>
      <c r="T1783">
        <v>10.7</v>
      </c>
      <c r="U1783" s="76">
        <v>0.2</v>
      </c>
      <c r="V1783">
        <v>11.1</v>
      </c>
      <c r="W1783" s="90">
        <v>0.1</v>
      </c>
      <c r="AG1783" s="91">
        <v>0</v>
      </c>
      <c r="AK1783" s="71">
        <v>0.15</v>
      </c>
      <c r="AL1783" s="88">
        <v>3.3594642430006601E-2</v>
      </c>
      <c r="AM1783" s="89">
        <f t="shared" si="27"/>
        <v>0.22396428286671069</v>
      </c>
    </row>
    <row r="1784" spans="1:39" x14ac:dyDescent="0.25">
      <c r="A1784" t="s">
        <v>44</v>
      </c>
      <c r="B1784" t="s">
        <v>52</v>
      </c>
      <c r="C1784" s="121" t="s">
        <v>174</v>
      </c>
      <c r="D1784" t="s">
        <v>193</v>
      </c>
      <c r="E1784" t="s">
        <v>59</v>
      </c>
      <c r="F1784">
        <v>3</v>
      </c>
      <c r="G1784">
        <v>4</v>
      </c>
      <c r="H1784" s="86">
        <v>45966.950711643498</v>
      </c>
      <c r="I1784" s="86">
        <v>45967.0562528472</v>
      </c>
      <c r="J1784" s="87">
        <v>2.5329888888888901</v>
      </c>
      <c r="K1784" s="69" t="s">
        <v>274</v>
      </c>
      <c r="P1784" s="71" t="s">
        <v>275</v>
      </c>
      <c r="Q1784" s="88">
        <v>6.5283134491713997E-3</v>
      </c>
      <c r="R1784" s="89" t="s">
        <v>276</v>
      </c>
      <c r="T1784">
        <v>10.7</v>
      </c>
      <c r="U1784" s="76">
        <v>0.2</v>
      </c>
      <c r="V1784">
        <v>11</v>
      </c>
      <c r="W1784" s="90">
        <v>0.1</v>
      </c>
      <c r="AG1784" s="91">
        <v>0</v>
      </c>
      <c r="AK1784" s="71">
        <v>0.15</v>
      </c>
      <c r="AL1784" s="88">
        <v>3.3594642430006601E-2</v>
      </c>
      <c r="AM1784" s="89">
        <f t="shared" si="27"/>
        <v>0.22396428286671069</v>
      </c>
    </row>
    <row r="1785" spans="1:39" x14ac:dyDescent="0.25">
      <c r="A1785" t="s">
        <v>44</v>
      </c>
      <c r="B1785" t="s">
        <v>52</v>
      </c>
      <c r="C1785" s="121" t="s">
        <v>174</v>
      </c>
      <c r="D1785" t="s">
        <v>193</v>
      </c>
      <c r="E1785" t="s">
        <v>59</v>
      </c>
      <c r="F1785">
        <v>3</v>
      </c>
      <c r="G1785">
        <v>5</v>
      </c>
      <c r="H1785" s="86">
        <v>45967.0562528472</v>
      </c>
      <c r="I1785" s="86">
        <v>45967.161774606502</v>
      </c>
      <c r="J1785" s="87">
        <v>2.5325222222222199</v>
      </c>
      <c r="K1785" s="69" t="s">
        <v>274</v>
      </c>
      <c r="P1785" s="71" t="s">
        <v>275</v>
      </c>
      <c r="Q1785" s="88">
        <v>6.2848542842395697E-3</v>
      </c>
      <c r="R1785" s="89" t="s">
        <v>276</v>
      </c>
      <c r="T1785">
        <v>10.5</v>
      </c>
      <c r="U1785" s="76">
        <v>0.2</v>
      </c>
      <c r="V1785">
        <v>11</v>
      </c>
      <c r="W1785" s="90">
        <v>0.1</v>
      </c>
      <c r="AG1785" s="91">
        <v>0</v>
      </c>
      <c r="AK1785" s="71">
        <v>0.15</v>
      </c>
      <c r="AL1785" s="88">
        <v>3.3594642430006601E-2</v>
      </c>
      <c r="AM1785" s="89">
        <f t="shared" si="27"/>
        <v>0.22396428286671069</v>
      </c>
    </row>
    <row r="1786" spans="1:39" x14ac:dyDescent="0.25">
      <c r="A1786" t="s">
        <v>44</v>
      </c>
      <c r="B1786" t="s">
        <v>52</v>
      </c>
      <c r="C1786" s="121" t="s">
        <v>174</v>
      </c>
      <c r="D1786" t="s">
        <v>193</v>
      </c>
      <c r="E1786" t="s">
        <v>59</v>
      </c>
      <c r="F1786">
        <v>3</v>
      </c>
      <c r="G1786">
        <v>6</v>
      </c>
      <c r="H1786" s="86">
        <v>45967.161774606502</v>
      </c>
      <c r="I1786" s="86">
        <v>45967.267295856502</v>
      </c>
      <c r="J1786" s="87">
        <v>2.5325099999999998</v>
      </c>
      <c r="K1786" s="69" t="s">
        <v>274</v>
      </c>
      <c r="P1786" s="71" t="s">
        <v>275</v>
      </c>
      <c r="Q1786" s="88">
        <v>8.8531773302379796E-3</v>
      </c>
      <c r="R1786" s="89" t="s">
        <v>276</v>
      </c>
      <c r="T1786">
        <v>10.5</v>
      </c>
      <c r="U1786" s="76">
        <v>0.2</v>
      </c>
      <c r="V1786">
        <v>10.9</v>
      </c>
      <c r="W1786" s="90">
        <v>0.1</v>
      </c>
      <c r="AG1786" s="91">
        <v>0</v>
      </c>
      <c r="AK1786" s="71">
        <v>0.15</v>
      </c>
      <c r="AL1786" s="88">
        <v>3.3594642430006601E-2</v>
      </c>
      <c r="AM1786" s="89">
        <f t="shared" si="27"/>
        <v>0.22396428286671069</v>
      </c>
    </row>
    <row r="1787" spans="1:39" x14ac:dyDescent="0.25">
      <c r="A1787" t="s">
        <v>44</v>
      </c>
      <c r="B1787" t="s">
        <v>52</v>
      </c>
      <c r="C1787" s="121" t="s">
        <v>174</v>
      </c>
      <c r="D1787" t="s">
        <v>193</v>
      </c>
      <c r="E1787" t="s">
        <v>59</v>
      </c>
      <c r="F1787">
        <v>3</v>
      </c>
      <c r="G1787">
        <v>7</v>
      </c>
      <c r="H1787" s="86">
        <v>45967.267295856502</v>
      </c>
      <c r="I1787" s="86">
        <v>45967.372823530102</v>
      </c>
      <c r="J1787" s="87">
        <v>2.5326641666666698</v>
      </c>
      <c r="K1787" s="69" t="s">
        <v>274</v>
      </c>
      <c r="P1787" s="71" t="s">
        <v>275</v>
      </c>
      <c r="Q1787" s="88">
        <v>9.0720396946913796E-3</v>
      </c>
      <c r="R1787" s="89" t="s">
        <v>276</v>
      </c>
      <c r="T1787">
        <v>9.9</v>
      </c>
      <c r="U1787" s="76">
        <v>0.2</v>
      </c>
      <c r="V1787">
        <v>10.9</v>
      </c>
      <c r="W1787" s="90">
        <v>0.1</v>
      </c>
      <c r="AG1787" s="91">
        <v>0</v>
      </c>
      <c r="AK1787" s="71">
        <v>0.15</v>
      </c>
      <c r="AL1787" s="88">
        <v>3.3594642430006601E-2</v>
      </c>
      <c r="AM1787" s="89">
        <f t="shared" si="27"/>
        <v>0.22396428286671069</v>
      </c>
    </row>
    <row r="1788" spans="1:39" x14ac:dyDescent="0.25">
      <c r="A1788" t="s">
        <v>44</v>
      </c>
      <c r="B1788" t="s">
        <v>52</v>
      </c>
      <c r="C1788" s="121" t="s">
        <v>174</v>
      </c>
      <c r="D1788" t="s">
        <v>193</v>
      </c>
      <c r="E1788" t="s">
        <v>59</v>
      </c>
      <c r="F1788">
        <v>3</v>
      </c>
      <c r="G1788">
        <v>8</v>
      </c>
      <c r="H1788" s="86">
        <v>45967.372823530102</v>
      </c>
      <c r="I1788" s="86">
        <v>45967.478348599499</v>
      </c>
      <c r="J1788" s="87">
        <v>2.53260166666667</v>
      </c>
      <c r="K1788" s="69" t="s">
        <v>274</v>
      </c>
      <c r="P1788" s="71" t="s">
        <v>275</v>
      </c>
      <c r="Q1788" s="88">
        <v>1.7621757299197599E-2</v>
      </c>
      <c r="R1788" s="89" t="s">
        <v>276</v>
      </c>
      <c r="T1788">
        <v>11.6</v>
      </c>
      <c r="U1788" s="76">
        <v>0.2</v>
      </c>
      <c r="V1788">
        <v>10.8</v>
      </c>
      <c r="W1788" s="90">
        <v>0.1</v>
      </c>
      <c r="AG1788" s="91">
        <v>0</v>
      </c>
      <c r="AK1788" s="71">
        <v>0.15</v>
      </c>
      <c r="AL1788" s="88">
        <v>3.3594642430006601E-2</v>
      </c>
      <c r="AM1788" s="89">
        <f t="shared" si="27"/>
        <v>0.22396428286671069</v>
      </c>
    </row>
    <row r="1789" spans="1:39" x14ac:dyDescent="0.25">
      <c r="A1789" t="s">
        <v>44</v>
      </c>
      <c r="B1789" t="s">
        <v>52</v>
      </c>
      <c r="C1789" s="121" t="s">
        <v>174</v>
      </c>
      <c r="D1789" t="s">
        <v>193</v>
      </c>
      <c r="E1789" t="s">
        <v>59</v>
      </c>
      <c r="F1789">
        <v>3</v>
      </c>
      <c r="G1789">
        <v>9</v>
      </c>
      <c r="H1789" s="86">
        <v>45967.478348599499</v>
      </c>
      <c r="I1789" s="86">
        <v>45967.583879814803</v>
      </c>
      <c r="J1789" s="87">
        <v>2.5327491666666702</v>
      </c>
      <c r="K1789" s="69" t="s">
        <v>274</v>
      </c>
      <c r="P1789" s="71" t="s">
        <v>275</v>
      </c>
      <c r="Q1789" s="88">
        <v>4.0513560958875303E-2</v>
      </c>
      <c r="R1789" s="89" t="s">
        <v>276</v>
      </c>
      <c r="T1789">
        <v>14</v>
      </c>
      <c r="U1789" s="76">
        <v>0.2</v>
      </c>
      <c r="V1789">
        <v>10.9</v>
      </c>
      <c r="W1789" s="90">
        <v>0.1</v>
      </c>
      <c r="AG1789" s="91">
        <v>0</v>
      </c>
      <c r="AK1789" s="71">
        <v>0.15</v>
      </c>
      <c r="AL1789" s="88">
        <v>3.3594642430006601E-2</v>
      </c>
      <c r="AM1789" s="89">
        <f t="shared" si="27"/>
        <v>0.22396428286671069</v>
      </c>
    </row>
    <row r="1790" spans="1:39" x14ac:dyDescent="0.25">
      <c r="A1790" t="s">
        <v>44</v>
      </c>
      <c r="B1790" t="s">
        <v>52</v>
      </c>
      <c r="C1790" s="121" t="s">
        <v>174</v>
      </c>
      <c r="D1790" t="s">
        <v>193</v>
      </c>
      <c r="E1790" t="s">
        <v>59</v>
      </c>
      <c r="F1790">
        <v>3</v>
      </c>
      <c r="G1790">
        <v>10</v>
      </c>
      <c r="H1790" s="86">
        <v>45967.583879814803</v>
      </c>
      <c r="I1790" s="86">
        <v>45967.689403356497</v>
      </c>
      <c r="J1790" s="87">
        <v>2.532565</v>
      </c>
      <c r="K1790" s="69" t="s">
        <v>274</v>
      </c>
      <c r="P1790" s="71" t="s">
        <v>275</v>
      </c>
      <c r="Q1790" s="88">
        <v>5.5109910435540102E-2</v>
      </c>
      <c r="R1790" s="89" t="s">
        <v>276</v>
      </c>
      <c r="T1790">
        <v>15.6</v>
      </c>
      <c r="U1790" s="76">
        <v>0.2</v>
      </c>
      <c r="V1790">
        <v>11.1</v>
      </c>
      <c r="W1790" s="90">
        <v>0.1</v>
      </c>
      <c r="AG1790" s="91">
        <v>0</v>
      </c>
      <c r="AK1790" s="71">
        <v>0.15</v>
      </c>
      <c r="AL1790" s="88">
        <v>3.3594642430006601E-2</v>
      </c>
      <c r="AM1790" s="89">
        <f t="shared" si="27"/>
        <v>0.22396428286671069</v>
      </c>
    </row>
    <row r="1791" spans="1:39" x14ac:dyDescent="0.25">
      <c r="A1791" t="s">
        <v>44</v>
      </c>
      <c r="B1791" t="s">
        <v>52</v>
      </c>
      <c r="C1791" s="121" t="s">
        <v>174</v>
      </c>
      <c r="D1791" t="s">
        <v>193</v>
      </c>
      <c r="E1791" t="s">
        <v>59</v>
      </c>
      <c r="F1791">
        <v>3</v>
      </c>
      <c r="G1791">
        <v>11</v>
      </c>
      <c r="H1791" s="86">
        <v>45967.689403356497</v>
      </c>
      <c r="I1791" s="86">
        <v>45967.794928298601</v>
      </c>
      <c r="J1791" s="87">
        <v>2.5325986111111098</v>
      </c>
      <c r="K1791" s="69" t="s">
        <v>274</v>
      </c>
      <c r="P1791" s="71" t="s">
        <v>275</v>
      </c>
      <c r="Q1791" s="88">
        <v>2.28033934397989E-2</v>
      </c>
      <c r="R1791" s="89" t="s">
        <v>276</v>
      </c>
      <c r="T1791">
        <v>9.8000000000000007</v>
      </c>
      <c r="U1791" s="76">
        <v>0.2</v>
      </c>
      <c r="V1791">
        <v>11.2</v>
      </c>
      <c r="W1791" s="90">
        <v>0.1</v>
      </c>
      <c r="AG1791" s="91">
        <v>0</v>
      </c>
      <c r="AK1791" s="71">
        <v>0.15</v>
      </c>
      <c r="AL1791" s="88">
        <v>3.3594642430006601E-2</v>
      </c>
      <c r="AM1791" s="89">
        <f t="shared" si="27"/>
        <v>0.22396428286671069</v>
      </c>
    </row>
    <row r="1792" spans="1:39" x14ac:dyDescent="0.25">
      <c r="A1792" t="s">
        <v>44</v>
      </c>
      <c r="B1792" t="s">
        <v>52</v>
      </c>
      <c r="C1792" s="121" t="s">
        <v>174</v>
      </c>
      <c r="D1792" t="s">
        <v>193</v>
      </c>
      <c r="E1792" t="s">
        <v>59</v>
      </c>
      <c r="F1792">
        <v>3</v>
      </c>
      <c r="G1792">
        <v>12</v>
      </c>
      <c r="H1792" s="86">
        <v>45967.794928298601</v>
      </c>
      <c r="I1792" s="86">
        <v>45967.900443090301</v>
      </c>
      <c r="J1792" s="87">
        <v>2.5323549999999999</v>
      </c>
      <c r="K1792" s="69" t="s">
        <v>274</v>
      </c>
      <c r="P1792" s="71" t="s">
        <v>275</v>
      </c>
      <c r="Q1792" s="88">
        <v>6.4240196525541197E-3</v>
      </c>
      <c r="R1792" s="89" t="s">
        <v>276</v>
      </c>
      <c r="T1792">
        <v>7</v>
      </c>
      <c r="U1792" s="76">
        <v>0.2</v>
      </c>
      <c r="V1792">
        <v>11.1</v>
      </c>
      <c r="W1792" s="90">
        <v>0.1</v>
      </c>
      <c r="AG1792" s="91">
        <v>0</v>
      </c>
      <c r="AK1792" s="71">
        <v>0.15</v>
      </c>
      <c r="AL1792" s="88">
        <v>3.3594642430006601E-2</v>
      </c>
      <c r="AM1792" s="89">
        <f t="shared" si="27"/>
        <v>0.22396428286671069</v>
      </c>
    </row>
    <row r="1793" spans="1:39" x14ac:dyDescent="0.25">
      <c r="A1793" t="s">
        <v>44</v>
      </c>
      <c r="B1793" t="s">
        <v>52</v>
      </c>
      <c r="C1793" s="121" t="s">
        <v>174</v>
      </c>
      <c r="D1793" t="s">
        <v>193</v>
      </c>
      <c r="E1793" t="s">
        <v>59</v>
      </c>
      <c r="F1793">
        <v>3</v>
      </c>
      <c r="G1793">
        <v>13</v>
      </c>
      <c r="H1793" s="86">
        <v>45967.900443090301</v>
      </c>
      <c r="I1793" s="86">
        <v>45968.005972685198</v>
      </c>
      <c r="J1793" s="87">
        <v>2.5327102777777801</v>
      </c>
      <c r="K1793" s="69" t="s">
        <v>274</v>
      </c>
      <c r="P1793" s="71" t="s">
        <v>275</v>
      </c>
      <c r="Q1793" s="88">
        <v>5.9477525521685797E-3</v>
      </c>
      <c r="R1793" s="89" t="s">
        <v>276</v>
      </c>
      <c r="T1793">
        <v>7.4</v>
      </c>
      <c r="U1793" s="76">
        <v>0.2</v>
      </c>
      <c r="V1793">
        <v>10.8</v>
      </c>
      <c r="W1793" s="90">
        <v>0.1</v>
      </c>
      <c r="AG1793" s="91">
        <v>0</v>
      </c>
      <c r="AK1793" s="71">
        <v>0.15</v>
      </c>
      <c r="AL1793" s="88">
        <v>3.3594642430006601E-2</v>
      </c>
      <c r="AM1793" s="89">
        <f t="shared" si="27"/>
        <v>0.22396428286671069</v>
      </c>
    </row>
    <row r="1794" spans="1:39" x14ac:dyDescent="0.25">
      <c r="A1794" t="s">
        <v>44</v>
      </c>
      <c r="B1794" t="s">
        <v>52</v>
      </c>
      <c r="C1794" s="121" t="s">
        <v>174</v>
      </c>
      <c r="D1794" t="s">
        <v>193</v>
      </c>
      <c r="E1794" t="s">
        <v>59</v>
      </c>
      <c r="F1794">
        <v>3</v>
      </c>
      <c r="G1794">
        <v>14</v>
      </c>
      <c r="H1794" s="86">
        <v>45968.005972685198</v>
      </c>
      <c r="I1794" s="86">
        <v>45968.111488356502</v>
      </c>
      <c r="J1794" s="87">
        <v>2.5323761111111098</v>
      </c>
      <c r="K1794" s="69" t="s">
        <v>274</v>
      </c>
      <c r="P1794" s="71" t="s">
        <v>275</v>
      </c>
      <c r="Q1794" s="88">
        <v>7.1685774646890604E-3</v>
      </c>
      <c r="R1794" s="89" t="s">
        <v>276</v>
      </c>
      <c r="T1794">
        <v>6.8</v>
      </c>
      <c r="U1794" s="76">
        <v>0.2</v>
      </c>
      <c r="V1794">
        <v>10.6</v>
      </c>
      <c r="W1794" s="90">
        <v>0.1</v>
      </c>
      <c r="AG1794" s="91">
        <v>0</v>
      </c>
      <c r="AK1794" s="71">
        <v>0.15</v>
      </c>
      <c r="AL1794" s="88">
        <v>3.3594642430006601E-2</v>
      </c>
      <c r="AM1794" s="89">
        <f t="shared" si="27"/>
        <v>0.22396428286671069</v>
      </c>
    </row>
    <row r="1795" spans="1:39" x14ac:dyDescent="0.25">
      <c r="A1795" t="s">
        <v>44</v>
      </c>
      <c r="B1795" t="s">
        <v>52</v>
      </c>
      <c r="C1795" s="121" t="s">
        <v>174</v>
      </c>
      <c r="D1795" t="s">
        <v>193</v>
      </c>
      <c r="E1795" t="s">
        <v>59</v>
      </c>
      <c r="F1795">
        <v>3</v>
      </c>
      <c r="G1795">
        <v>15</v>
      </c>
      <c r="H1795" s="86">
        <v>45968.111488356502</v>
      </c>
      <c r="I1795" s="86">
        <v>45968.217027164399</v>
      </c>
      <c r="J1795" s="87">
        <v>2.53293138888889</v>
      </c>
      <c r="K1795" s="69" t="s">
        <v>274</v>
      </c>
      <c r="P1795" s="71" t="s">
        <v>275</v>
      </c>
      <c r="Q1795" s="88">
        <v>5.1130489465623296E-3</v>
      </c>
      <c r="R1795" s="89" t="s">
        <v>276</v>
      </c>
      <c r="T1795">
        <v>4.4000000000000004</v>
      </c>
      <c r="U1795" s="76">
        <v>0.2</v>
      </c>
      <c r="V1795">
        <v>10.4</v>
      </c>
      <c r="W1795" s="90">
        <v>0.1</v>
      </c>
      <c r="AG1795" s="91">
        <v>0</v>
      </c>
      <c r="AK1795" s="71">
        <v>0.15</v>
      </c>
      <c r="AL1795" s="88">
        <v>3.3594642430006601E-2</v>
      </c>
      <c r="AM1795" s="89">
        <f t="shared" si="27"/>
        <v>0.22396428286671069</v>
      </c>
    </row>
    <row r="1796" spans="1:39" x14ac:dyDescent="0.25">
      <c r="A1796" t="s">
        <v>44</v>
      </c>
      <c r="B1796" t="s">
        <v>52</v>
      </c>
      <c r="C1796" s="121" t="s">
        <v>174</v>
      </c>
      <c r="D1796" t="s">
        <v>193</v>
      </c>
      <c r="E1796" t="s">
        <v>59</v>
      </c>
      <c r="F1796">
        <v>3</v>
      </c>
      <c r="G1796">
        <v>16</v>
      </c>
      <c r="H1796" s="86">
        <v>45968.217027164399</v>
      </c>
      <c r="I1796" s="86">
        <v>45968.3225354514</v>
      </c>
      <c r="J1796" s="87">
        <v>2.5321988888888902</v>
      </c>
      <c r="K1796" s="69" t="s">
        <v>274</v>
      </c>
      <c r="P1796" s="71" t="s">
        <v>275</v>
      </c>
      <c r="Q1796" s="88">
        <v>2.1400981854983801E-3</v>
      </c>
      <c r="R1796" s="89" t="s">
        <v>276</v>
      </c>
      <c r="T1796">
        <v>5.0999999999999996</v>
      </c>
      <c r="U1796" s="76">
        <v>0.2</v>
      </c>
      <c r="V1796">
        <v>10.1</v>
      </c>
      <c r="W1796" s="90">
        <v>0.1</v>
      </c>
      <c r="AG1796" s="91">
        <v>0</v>
      </c>
      <c r="AK1796" s="71">
        <v>0.15</v>
      </c>
      <c r="AL1796" s="88">
        <v>3.3594642430006601E-2</v>
      </c>
      <c r="AM1796" s="89">
        <f t="shared" si="27"/>
        <v>0.22396428286671069</v>
      </c>
    </row>
    <row r="1797" spans="1:39" x14ac:dyDescent="0.25">
      <c r="A1797" t="s">
        <v>44</v>
      </c>
      <c r="B1797" t="s">
        <v>52</v>
      </c>
      <c r="C1797" s="121" t="s">
        <v>174</v>
      </c>
      <c r="D1797" t="s">
        <v>193</v>
      </c>
      <c r="E1797" t="s">
        <v>59</v>
      </c>
      <c r="F1797">
        <v>3</v>
      </c>
      <c r="G1797">
        <v>17</v>
      </c>
      <c r="H1797" s="86">
        <v>45968.3225354514</v>
      </c>
      <c r="I1797" s="86">
        <v>45968.428075497701</v>
      </c>
      <c r="J1797" s="87">
        <v>2.5329611111111099</v>
      </c>
      <c r="K1797" s="69" t="s">
        <v>274</v>
      </c>
      <c r="P1797" s="71" t="s">
        <v>275</v>
      </c>
      <c r="Q1797" s="88">
        <v>1.86066478301671E-3</v>
      </c>
      <c r="R1797" s="89" t="s">
        <v>276</v>
      </c>
      <c r="T1797">
        <v>7.3</v>
      </c>
      <c r="U1797" s="76">
        <v>0.2</v>
      </c>
      <c r="V1797">
        <v>9.8000000000000007</v>
      </c>
      <c r="W1797" s="90">
        <v>0.1</v>
      </c>
      <c r="AG1797" s="91">
        <v>0</v>
      </c>
      <c r="AK1797" s="71">
        <v>0.15</v>
      </c>
      <c r="AL1797" s="88">
        <v>3.3594642430006601E-2</v>
      </c>
      <c r="AM1797" s="89">
        <f t="shared" ref="AM1797:AM1860" si="28">AL1797/AK1797</f>
        <v>0.22396428286671069</v>
      </c>
    </row>
    <row r="1798" spans="1:39" x14ac:dyDescent="0.25">
      <c r="A1798" t="s">
        <v>44</v>
      </c>
      <c r="B1798" t="s">
        <v>52</v>
      </c>
      <c r="C1798" s="121" t="s">
        <v>174</v>
      </c>
      <c r="D1798" t="s">
        <v>193</v>
      </c>
      <c r="E1798" t="s">
        <v>59</v>
      </c>
      <c r="F1798">
        <v>3</v>
      </c>
      <c r="G1798">
        <v>18</v>
      </c>
      <c r="H1798" s="86">
        <v>45968.428075497701</v>
      </c>
      <c r="I1798" s="86">
        <v>45968.533586666701</v>
      </c>
      <c r="J1798" s="87">
        <v>2.5322680555555599</v>
      </c>
      <c r="K1798" s="69" t="s">
        <v>274</v>
      </c>
      <c r="P1798" s="71" t="s">
        <v>275</v>
      </c>
      <c r="Q1798" s="88">
        <v>6.0336950037025803E-3</v>
      </c>
      <c r="R1798" s="89" t="s">
        <v>276</v>
      </c>
      <c r="T1798">
        <v>8.1</v>
      </c>
      <c r="U1798" s="76">
        <v>0.2</v>
      </c>
      <c r="V1798">
        <v>9.8000000000000007</v>
      </c>
      <c r="W1798" s="90">
        <v>0.1</v>
      </c>
      <c r="AG1798" s="91">
        <v>0</v>
      </c>
      <c r="AK1798" s="71">
        <v>0.15</v>
      </c>
      <c r="AL1798" s="88">
        <v>3.3594642430006601E-2</v>
      </c>
      <c r="AM1798" s="89">
        <f t="shared" si="28"/>
        <v>0.22396428286671069</v>
      </c>
    </row>
    <row r="1799" spans="1:39" x14ac:dyDescent="0.25">
      <c r="A1799" t="s">
        <v>44</v>
      </c>
      <c r="B1799" t="s">
        <v>52</v>
      </c>
      <c r="C1799" s="121" t="s">
        <v>174</v>
      </c>
      <c r="D1799" t="s">
        <v>193</v>
      </c>
      <c r="E1799" t="s">
        <v>59</v>
      </c>
      <c r="F1799">
        <v>3</v>
      </c>
      <c r="G1799">
        <v>19</v>
      </c>
      <c r="H1799" s="86">
        <v>45968.533586666701</v>
      </c>
      <c r="I1799" s="86">
        <v>45968.6390954745</v>
      </c>
      <c r="J1799" s="87">
        <v>2.5322113888888902</v>
      </c>
      <c r="K1799" s="69" t="s">
        <v>274</v>
      </c>
      <c r="P1799" s="71" t="s">
        <v>275</v>
      </c>
      <c r="Q1799" s="88">
        <v>2.4616364863249501E-2</v>
      </c>
      <c r="R1799" s="89" t="s">
        <v>276</v>
      </c>
      <c r="T1799">
        <v>9.6</v>
      </c>
      <c r="U1799" s="76">
        <v>0.2</v>
      </c>
      <c r="V1799">
        <v>9.9</v>
      </c>
      <c r="W1799" s="90">
        <v>0.1</v>
      </c>
      <c r="AG1799" s="91">
        <v>0</v>
      </c>
      <c r="AK1799" s="71">
        <v>0.15</v>
      </c>
      <c r="AL1799" s="88">
        <v>3.3594642430006601E-2</v>
      </c>
      <c r="AM1799" s="89">
        <f t="shared" si="28"/>
        <v>0.22396428286671069</v>
      </c>
    </row>
    <row r="1800" spans="1:39" x14ac:dyDescent="0.25">
      <c r="A1800" t="s">
        <v>44</v>
      </c>
      <c r="B1800" t="s">
        <v>52</v>
      </c>
      <c r="C1800" s="121" t="s">
        <v>174</v>
      </c>
      <c r="D1800" t="s">
        <v>193</v>
      </c>
      <c r="E1800" t="s">
        <v>59</v>
      </c>
      <c r="F1800">
        <v>3</v>
      </c>
      <c r="G1800">
        <v>20</v>
      </c>
      <c r="H1800" s="86">
        <v>45968.6390954745</v>
      </c>
      <c r="I1800" s="86">
        <v>45968.744589305599</v>
      </c>
      <c r="J1800" s="87">
        <v>2.5318519444444498</v>
      </c>
      <c r="K1800" s="69" t="s">
        <v>274</v>
      </c>
      <c r="P1800" s="71" t="s">
        <v>275</v>
      </c>
      <c r="Q1800" s="88">
        <v>1.34234734248697E-2</v>
      </c>
      <c r="R1800" s="89" t="s">
        <v>276</v>
      </c>
      <c r="T1800">
        <v>8.3000000000000007</v>
      </c>
      <c r="U1800" s="76">
        <v>0.2</v>
      </c>
      <c r="V1800">
        <v>10.1</v>
      </c>
      <c r="W1800" s="90">
        <v>0.1</v>
      </c>
      <c r="AG1800" s="91">
        <v>0</v>
      </c>
      <c r="AK1800" s="71">
        <v>0.15</v>
      </c>
      <c r="AL1800" s="88">
        <v>3.3594642430006601E-2</v>
      </c>
      <c r="AM1800" s="89">
        <f t="shared" si="28"/>
        <v>0.22396428286671069</v>
      </c>
    </row>
    <row r="1801" spans="1:39" x14ac:dyDescent="0.25">
      <c r="A1801" t="s">
        <v>44</v>
      </c>
      <c r="B1801" t="s">
        <v>52</v>
      </c>
      <c r="C1801" s="121" t="s">
        <v>174</v>
      </c>
      <c r="D1801" t="s">
        <v>193</v>
      </c>
      <c r="E1801" t="s">
        <v>59</v>
      </c>
      <c r="F1801">
        <v>3</v>
      </c>
      <c r="G1801">
        <v>21</v>
      </c>
      <c r="H1801" s="86">
        <v>45968.744589305599</v>
      </c>
      <c r="I1801" s="86">
        <v>45968.850087303203</v>
      </c>
      <c r="J1801" s="87">
        <v>2.5319519444444398</v>
      </c>
      <c r="K1801" s="69" t="s">
        <v>274</v>
      </c>
      <c r="P1801" s="71" t="s">
        <v>275</v>
      </c>
      <c r="Q1801" s="88">
        <v>1.0845063594059901E-2</v>
      </c>
      <c r="R1801" s="89" t="s">
        <v>276</v>
      </c>
      <c r="T1801">
        <v>7.9</v>
      </c>
      <c r="U1801" s="76">
        <v>0.2</v>
      </c>
      <c r="V1801">
        <v>10.199999999999999</v>
      </c>
      <c r="W1801" s="90">
        <v>0.1</v>
      </c>
      <c r="AG1801" s="91">
        <v>0</v>
      </c>
      <c r="AK1801" s="71">
        <v>0.15</v>
      </c>
      <c r="AL1801" s="88">
        <v>3.3594642430006601E-2</v>
      </c>
      <c r="AM1801" s="89">
        <f t="shared" si="28"/>
        <v>0.22396428286671069</v>
      </c>
    </row>
    <row r="1802" spans="1:39" x14ac:dyDescent="0.25">
      <c r="A1802" t="s">
        <v>44</v>
      </c>
      <c r="B1802" t="s">
        <v>52</v>
      </c>
      <c r="C1802" s="121" t="s">
        <v>174</v>
      </c>
      <c r="D1802" t="s">
        <v>193</v>
      </c>
      <c r="E1802" t="s">
        <v>59</v>
      </c>
      <c r="F1802">
        <v>3</v>
      </c>
      <c r="G1802">
        <v>22</v>
      </c>
      <c r="H1802" s="86">
        <v>45968.850087303203</v>
      </c>
      <c r="I1802" s="86">
        <v>45968.955595300897</v>
      </c>
      <c r="J1802" s="87">
        <v>2.5321919444444498</v>
      </c>
      <c r="K1802" s="69" t="s">
        <v>274</v>
      </c>
      <c r="P1802" s="71" t="s">
        <v>275</v>
      </c>
      <c r="Q1802" s="88">
        <v>6.3423280494307602E-3</v>
      </c>
      <c r="R1802" s="89" t="s">
        <v>276</v>
      </c>
      <c r="T1802">
        <v>7.8</v>
      </c>
      <c r="U1802" s="76">
        <v>0.2</v>
      </c>
      <c r="V1802">
        <v>10.199999999999999</v>
      </c>
      <c r="W1802" s="90">
        <v>0.1</v>
      </c>
      <c r="AG1802" s="91">
        <v>0</v>
      </c>
      <c r="AK1802" s="71">
        <v>0.15</v>
      </c>
      <c r="AL1802" s="88">
        <v>3.3594642430006601E-2</v>
      </c>
      <c r="AM1802" s="89">
        <f t="shared" si="28"/>
        <v>0.22396428286671069</v>
      </c>
    </row>
    <row r="1803" spans="1:39" x14ac:dyDescent="0.25">
      <c r="A1803" t="s">
        <v>44</v>
      </c>
      <c r="B1803" t="s">
        <v>52</v>
      </c>
      <c r="C1803" s="121" t="s">
        <v>174</v>
      </c>
      <c r="D1803" t="s">
        <v>193</v>
      </c>
      <c r="E1803" t="s">
        <v>59</v>
      </c>
      <c r="F1803">
        <v>3</v>
      </c>
      <c r="G1803">
        <v>23</v>
      </c>
      <c r="H1803" s="86">
        <v>45968.955595300897</v>
      </c>
      <c r="I1803" s="86">
        <v>45969.061096411999</v>
      </c>
      <c r="J1803" s="87">
        <v>2.53202666666667</v>
      </c>
      <c r="K1803" s="69" t="s">
        <v>274</v>
      </c>
      <c r="P1803" s="71" t="s">
        <v>275</v>
      </c>
      <c r="Q1803" s="88">
        <v>6.6893474792835399E-3</v>
      </c>
      <c r="R1803" s="89" t="s">
        <v>276</v>
      </c>
      <c r="T1803">
        <v>8</v>
      </c>
      <c r="U1803" s="76">
        <v>0.2</v>
      </c>
      <c r="V1803">
        <v>10.1</v>
      </c>
      <c r="W1803" s="90">
        <v>0.1</v>
      </c>
      <c r="AG1803" s="91">
        <v>0</v>
      </c>
      <c r="AK1803" s="71">
        <v>0.15</v>
      </c>
      <c r="AL1803" s="88">
        <v>3.3594642430006601E-2</v>
      </c>
      <c r="AM1803" s="89">
        <f t="shared" si="28"/>
        <v>0.22396428286671069</v>
      </c>
    </row>
    <row r="1804" spans="1:39" x14ac:dyDescent="0.25">
      <c r="A1804" t="s">
        <v>44</v>
      </c>
      <c r="B1804" t="s">
        <v>52</v>
      </c>
      <c r="C1804" s="121" t="s">
        <v>174</v>
      </c>
      <c r="D1804" t="s">
        <v>193</v>
      </c>
      <c r="E1804" t="s">
        <v>59</v>
      </c>
      <c r="F1804">
        <v>3</v>
      </c>
      <c r="G1804">
        <v>24</v>
      </c>
      <c r="H1804" s="86">
        <v>45969.061096411999</v>
      </c>
      <c r="I1804" s="86">
        <v>45969.166591701403</v>
      </c>
      <c r="J1804" s="87">
        <v>2.5318869444444498</v>
      </c>
      <c r="K1804" s="69" t="s">
        <v>274</v>
      </c>
      <c r="P1804" s="71" t="s">
        <v>275</v>
      </c>
      <c r="Q1804" s="88">
        <v>7.9731142420317296E-3</v>
      </c>
      <c r="R1804" s="89" t="s">
        <v>276</v>
      </c>
      <c r="T1804">
        <v>8.1999999999999993</v>
      </c>
      <c r="U1804" s="76">
        <v>0.2</v>
      </c>
      <c r="V1804">
        <v>10.1</v>
      </c>
      <c r="W1804" s="90">
        <v>0.1</v>
      </c>
      <c r="AG1804" s="91">
        <v>0</v>
      </c>
      <c r="AK1804" s="71">
        <v>0.15</v>
      </c>
      <c r="AL1804" s="88">
        <v>3.3594642430006601E-2</v>
      </c>
      <c r="AM1804" s="89">
        <f t="shared" si="28"/>
        <v>0.22396428286671069</v>
      </c>
    </row>
    <row r="1805" spans="1:39" x14ac:dyDescent="0.25">
      <c r="A1805" t="s">
        <v>44</v>
      </c>
      <c r="B1805" t="s">
        <v>52</v>
      </c>
      <c r="C1805" s="121" t="s">
        <v>174</v>
      </c>
      <c r="D1805" t="s">
        <v>193</v>
      </c>
      <c r="E1805" t="s">
        <v>59</v>
      </c>
      <c r="F1805">
        <v>3</v>
      </c>
      <c r="G1805">
        <v>25</v>
      </c>
      <c r="H1805" s="86">
        <v>45969.166591701403</v>
      </c>
      <c r="I1805" s="86">
        <v>45969.272090451399</v>
      </c>
      <c r="J1805" s="87">
        <v>2.5319699999999998</v>
      </c>
      <c r="K1805" s="69" t="s">
        <v>274</v>
      </c>
      <c r="P1805" s="71" t="s">
        <v>275</v>
      </c>
      <c r="Q1805" s="88">
        <v>7.5593286949033299E-3</v>
      </c>
      <c r="R1805" s="89" t="s">
        <v>276</v>
      </c>
      <c r="T1805">
        <v>8.1</v>
      </c>
      <c r="U1805" s="76">
        <v>0.2</v>
      </c>
      <c r="V1805">
        <v>10.1</v>
      </c>
      <c r="W1805" s="90">
        <v>0.1</v>
      </c>
      <c r="AG1805" s="91">
        <v>0</v>
      </c>
      <c r="AK1805" s="71">
        <v>0.15</v>
      </c>
      <c r="AL1805" s="88">
        <v>3.3594642430006601E-2</v>
      </c>
      <c r="AM1805" s="89">
        <f t="shared" si="28"/>
        <v>0.22396428286671069</v>
      </c>
    </row>
    <row r="1806" spans="1:39" x14ac:dyDescent="0.25">
      <c r="A1806" t="s">
        <v>44</v>
      </c>
      <c r="B1806" t="s">
        <v>52</v>
      </c>
      <c r="C1806" s="121" t="s">
        <v>174</v>
      </c>
      <c r="D1806" t="s">
        <v>193</v>
      </c>
      <c r="E1806" t="s">
        <v>59</v>
      </c>
      <c r="F1806">
        <v>3</v>
      </c>
      <c r="G1806">
        <v>26</v>
      </c>
      <c r="H1806" s="86">
        <v>45969.272090451399</v>
      </c>
      <c r="I1806" s="86">
        <v>45969.377593807898</v>
      </c>
      <c r="J1806" s="87">
        <v>2.5320805555555599</v>
      </c>
      <c r="K1806" s="69" t="s">
        <v>274</v>
      </c>
      <c r="P1806" s="71" t="s">
        <v>275</v>
      </c>
      <c r="Q1806" s="88">
        <v>6.75165181901362E-3</v>
      </c>
      <c r="R1806" s="89" t="s">
        <v>276</v>
      </c>
      <c r="T1806">
        <v>8</v>
      </c>
      <c r="U1806" s="76">
        <v>0.2</v>
      </c>
      <c r="V1806">
        <v>10.1</v>
      </c>
      <c r="W1806" s="90">
        <v>0.1</v>
      </c>
      <c r="AG1806" s="91">
        <v>0</v>
      </c>
      <c r="AK1806" s="71">
        <v>0.15</v>
      </c>
      <c r="AL1806" s="88">
        <v>3.3594642430006601E-2</v>
      </c>
      <c r="AM1806" s="89">
        <f t="shared" si="28"/>
        <v>0.22396428286671069</v>
      </c>
    </row>
    <row r="1807" spans="1:39" x14ac:dyDescent="0.25">
      <c r="A1807" t="s">
        <v>44</v>
      </c>
      <c r="B1807" t="s">
        <v>52</v>
      </c>
      <c r="C1807" s="121" t="s">
        <v>174</v>
      </c>
      <c r="D1807" t="s">
        <v>193</v>
      </c>
      <c r="E1807" t="s">
        <v>59</v>
      </c>
      <c r="F1807">
        <v>3</v>
      </c>
      <c r="G1807">
        <v>27</v>
      </c>
      <c r="H1807" s="86">
        <v>45969.377593807898</v>
      </c>
      <c r="I1807" s="86">
        <v>45969.483099444398</v>
      </c>
      <c r="J1807" s="87">
        <v>2.5321352777777801</v>
      </c>
      <c r="K1807" s="69" t="s">
        <v>274</v>
      </c>
      <c r="P1807" s="71" t="s">
        <v>275</v>
      </c>
      <c r="Q1807" s="88">
        <v>8.7955806623892501E-3</v>
      </c>
      <c r="R1807" s="89" t="s">
        <v>276</v>
      </c>
      <c r="T1807">
        <v>8.1999999999999993</v>
      </c>
      <c r="U1807" s="76">
        <v>0.2</v>
      </c>
      <c r="V1807">
        <v>10.1</v>
      </c>
      <c r="W1807" s="90">
        <v>0.1</v>
      </c>
      <c r="AG1807" s="91">
        <v>0</v>
      </c>
      <c r="AK1807" s="71">
        <v>0.15</v>
      </c>
      <c r="AL1807" s="88">
        <v>3.3594642430006601E-2</v>
      </c>
      <c r="AM1807" s="89">
        <f t="shared" si="28"/>
        <v>0.22396428286671069</v>
      </c>
    </row>
    <row r="1808" spans="1:39" x14ac:dyDescent="0.25">
      <c r="A1808" t="s">
        <v>44</v>
      </c>
      <c r="B1808" t="s">
        <v>52</v>
      </c>
      <c r="C1808" s="121" t="s">
        <v>174</v>
      </c>
      <c r="D1808" t="s">
        <v>193</v>
      </c>
      <c r="E1808" t="s">
        <v>59</v>
      </c>
      <c r="F1808">
        <v>3</v>
      </c>
      <c r="G1808">
        <v>28</v>
      </c>
      <c r="H1808" s="86">
        <v>45969.483099444398</v>
      </c>
      <c r="I1808" s="86">
        <v>45969.5885993056</v>
      </c>
      <c r="J1808" s="87">
        <v>2.5319966666666698</v>
      </c>
      <c r="K1808" s="69" t="s">
        <v>274</v>
      </c>
      <c r="P1808" s="71" t="s">
        <v>275</v>
      </c>
      <c r="Q1808" s="88">
        <v>9.9890570335807501E-3</v>
      </c>
      <c r="R1808" s="89" t="s">
        <v>276</v>
      </c>
      <c r="T1808">
        <v>8.6</v>
      </c>
      <c r="U1808" s="76">
        <v>0.2</v>
      </c>
      <c r="V1808">
        <v>10.1</v>
      </c>
      <c r="W1808" s="90">
        <v>0.1</v>
      </c>
      <c r="AG1808" s="91">
        <v>0</v>
      </c>
      <c r="AK1808" s="71">
        <v>0.15</v>
      </c>
      <c r="AL1808" s="88">
        <v>3.3594642430006601E-2</v>
      </c>
      <c r="AM1808" s="89">
        <f t="shared" si="28"/>
        <v>0.22396428286671069</v>
      </c>
    </row>
    <row r="1809" spans="1:39" x14ac:dyDescent="0.25">
      <c r="A1809" t="s">
        <v>44</v>
      </c>
      <c r="B1809" t="s">
        <v>52</v>
      </c>
      <c r="C1809" s="121" t="s">
        <v>174</v>
      </c>
      <c r="D1809" t="s">
        <v>193</v>
      </c>
      <c r="E1809" t="s">
        <v>59</v>
      </c>
      <c r="F1809">
        <v>3</v>
      </c>
      <c r="G1809">
        <v>29</v>
      </c>
      <c r="H1809" s="86">
        <v>45969.5885993056</v>
      </c>
      <c r="I1809" s="86">
        <v>45969.694091099504</v>
      </c>
      <c r="J1809" s="87">
        <v>2.5318030555555602</v>
      </c>
      <c r="K1809" s="69" t="s">
        <v>274</v>
      </c>
      <c r="P1809" s="71" t="s">
        <v>275</v>
      </c>
      <c r="Q1809" s="88">
        <v>9.45807940189867E-3</v>
      </c>
      <c r="R1809" s="89" t="s">
        <v>276</v>
      </c>
      <c r="T1809">
        <v>8.6</v>
      </c>
      <c r="U1809" s="76">
        <v>0.2</v>
      </c>
      <c r="V1809">
        <v>10.199999999999999</v>
      </c>
      <c r="W1809" s="90">
        <v>0.1</v>
      </c>
      <c r="AG1809" s="91">
        <v>0</v>
      </c>
      <c r="AK1809" s="71">
        <v>0.15</v>
      </c>
      <c r="AL1809" s="88">
        <v>3.3594642430006601E-2</v>
      </c>
      <c r="AM1809" s="89">
        <f t="shared" si="28"/>
        <v>0.22396428286671069</v>
      </c>
    </row>
    <row r="1810" spans="1:39" x14ac:dyDescent="0.25">
      <c r="A1810" t="s">
        <v>44</v>
      </c>
      <c r="B1810" t="s">
        <v>52</v>
      </c>
      <c r="C1810" s="121" t="s">
        <v>174</v>
      </c>
      <c r="D1810" t="s">
        <v>193</v>
      </c>
      <c r="E1810" t="s">
        <v>59</v>
      </c>
      <c r="F1810">
        <v>3</v>
      </c>
      <c r="G1810">
        <v>30</v>
      </c>
      <c r="H1810" s="86">
        <v>45969.694091099504</v>
      </c>
      <c r="I1810" s="86">
        <v>45969.7996061343</v>
      </c>
      <c r="J1810" s="87">
        <v>2.5323608333333301</v>
      </c>
      <c r="K1810" s="69" t="s">
        <v>274</v>
      </c>
      <c r="P1810" s="71" t="s">
        <v>275</v>
      </c>
      <c r="Q1810" s="88">
        <v>6.1108502822797301E-3</v>
      </c>
      <c r="R1810" s="89" t="s">
        <v>276</v>
      </c>
      <c r="T1810">
        <v>8</v>
      </c>
      <c r="U1810" s="76">
        <v>0.2</v>
      </c>
      <c r="V1810">
        <v>10.199999999999999</v>
      </c>
      <c r="W1810" s="90">
        <v>0.1</v>
      </c>
      <c r="AG1810" s="91">
        <v>0</v>
      </c>
      <c r="AK1810" s="71">
        <v>0.15</v>
      </c>
      <c r="AL1810" s="88">
        <v>3.3594642430006601E-2</v>
      </c>
      <c r="AM1810" s="89">
        <f t="shared" si="28"/>
        <v>0.22396428286671069</v>
      </c>
    </row>
    <row r="1811" spans="1:39" x14ac:dyDescent="0.25">
      <c r="A1811" t="s">
        <v>44</v>
      </c>
      <c r="B1811" t="s">
        <v>52</v>
      </c>
      <c r="C1811" s="121" t="s">
        <v>174</v>
      </c>
      <c r="D1811" t="s">
        <v>193</v>
      </c>
      <c r="E1811" t="s">
        <v>59</v>
      </c>
      <c r="F1811">
        <v>3</v>
      </c>
      <c r="G1811">
        <v>31</v>
      </c>
      <c r="H1811" s="86">
        <v>45969.7996061343</v>
      </c>
      <c r="I1811" s="86">
        <v>45969.905102939803</v>
      </c>
      <c r="J1811" s="87">
        <v>2.5319233333333302</v>
      </c>
      <c r="K1811" s="69" t="s">
        <v>274</v>
      </c>
      <c r="P1811" s="71" t="s">
        <v>275</v>
      </c>
      <c r="Q1811" s="88">
        <v>6.8373002075554704E-3</v>
      </c>
      <c r="R1811" s="89" t="s">
        <v>276</v>
      </c>
      <c r="T1811">
        <v>7.9</v>
      </c>
      <c r="U1811" s="76">
        <v>0.2</v>
      </c>
      <c r="V1811">
        <v>10.199999999999999</v>
      </c>
      <c r="W1811" s="90">
        <v>0.1</v>
      </c>
      <c r="AG1811" s="91">
        <v>0</v>
      </c>
      <c r="AK1811" s="71">
        <v>0.15</v>
      </c>
      <c r="AL1811" s="88">
        <v>3.3594642430006601E-2</v>
      </c>
      <c r="AM1811" s="89">
        <f t="shared" si="28"/>
        <v>0.22396428286671069</v>
      </c>
    </row>
    <row r="1812" spans="1:39" x14ac:dyDescent="0.25">
      <c r="A1812" t="s">
        <v>44</v>
      </c>
      <c r="B1812" t="s">
        <v>52</v>
      </c>
      <c r="C1812" s="121" t="s">
        <v>174</v>
      </c>
      <c r="D1812" t="s">
        <v>193</v>
      </c>
      <c r="E1812" t="s">
        <v>59</v>
      </c>
      <c r="F1812">
        <v>3</v>
      </c>
      <c r="G1812">
        <v>32</v>
      </c>
      <c r="H1812" s="86">
        <v>45969.905102939803</v>
      </c>
      <c r="I1812" s="86">
        <v>45970.0105927431</v>
      </c>
      <c r="J1812" s="87">
        <v>2.5317552777777799</v>
      </c>
      <c r="K1812" s="69" t="s">
        <v>274</v>
      </c>
      <c r="P1812" s="71" t="s">
        <v>275</v>
      </c>
      <c r="Q1812" s="88">
        <v>5.9495647889648501E-3</v>
      </c>
      <c r="R1812" s="89" t="s">
        <v>276</v>
      </c>
      <c r="T1812">
        <v>7.8</v>
      </c>
      <c r="U1812" s="76">
        <v>0.2</v>
      </c>
      <c r="V1812">
        <v>10.199999999999999</v>
      </c>
      <c r="W1812" s="90">
        <v>0.1</v>
      </c>
      <c r="AG1812" s="91">
        <v>0</v>
      </c>
      <c r="AK1812" s="71">
        <v>0.15</v>
      </c>
      <c r="AL1812" s="88">
        <v>3.3594642430006601E-2</v>
      </c>
      <c r="AM1812" s="89">
        <f t="shared" si="28"/>
        <v>0.22396428286671069</v>
      </c>
    </row>
    <row r="1813" spans="1:39" x14ac:dyDescent="0.25">
      <c r="A1813" t="s">
        <v>44</v>
      </c>
      <c r="B1813" t="s">
        <v>52</v>
      </c>
      <c r="C1813" s="121" t="s">
        <v>174</v>
      </c>
      <c r="D1813" t="s">
        <v>193</v>
      </c>
      <c r="E1813" t="s">
        <v>59</v>
      </c>
      <c r="F1813">
        <v>3</v>
      </c>
      <c r="G1813">
        <v>33</v>
      </c>
      <c r="H1813" s="86">
        <v>45970.0105927431</v>
      </c>
      <c r="I1813" s="86">
        <v>45970.116104606503</v>
      </c>
      <c r="J1813" s="87">
        <v>2.53228472222222</v>
      </c>
      <c r="K1813" s="69" t="s">
        <v>274</v>
      </c>
      <c r="P1813" s="71" t="s">
        <v>275</v>
      </c>
      <c r="Q1813" s="88">
        <v>5.7452151494862503E-3</v>
      </c>
      <c r="R1813" s="89" t="s">
        <v>276</v>
      </c>
      <c r="T1813">
        <v>7.5</v>
      </c>
      <c r="U1813" s="76">
        <v>0.2</v>
      </c>
      <c r="V1813">
        <v>10.1</v>
      </c>
      <c r="W1813" s="90">
        <v>0.1</v>
      </c>
      <c r="AG1813" s="91">
        <v>0</v>
      </c>
      <c r="AK1813" s="71">
        <v>0.15</v>
      </c>
      <c r="AL1813" s="88">
        <v>3.3594642430006601E-2</v>
      </c>
      <c r="AM1813" s="89">
        <f t="shared" si="28"/>
        <v>0.22396428286671069</v>
      </c>
    </row>
    <row r="1814" spans="1:39" x14ac:dyDescent="0.25">
      <c r="A1814" t="s">
        <v>44</v>
      </c>
      <c r="B1814" t="s">
        <v>52</v>
      </c>
      <c r="C1814" s="121" t="s">
        <v>174</v>
      </c>
      <c r="D1814" t="s">
        <v>193</v>
      </c>
      <c r="E1814" t="s">
        <v>59</v>
      </c>
      <c r="F1814">
        <v>3</v>
      </c>
      <c r="G1814">
        <v>34</v>
      </c>
      <c r="H1814" s="86">
        <v>45970.116104606503</v>
      </c>
      <c r="I1814" s="86">
        <v>45970.221606493098</v>
      </c>
      <c r="J1814" s="87">
        <v>2.53204527777778</v>
      </c>
      <c r="K1814" s="69" t="s">
        <v>274</v>
      </c>
      <c r="P1814" s="71" t="s">
        <v>275</v>
      </c>
      <c r="Q1814" s="88">
        <v>5.3802920731699797E-3</v>
      </c>
      <c r="R1814" s="89" t="s">
        <v>276</v>
      </c>
      <c r="T1814">
        <v>7.1</v>
      </c>
      <c r="U1814" s="76">
        <v>0.2</v>
      </c>
      <c r="V1814">
        <v>10.1</v>
      </c>
      <c r="W1814" s="90">
        <v>0.1</v>
      </c>
      <c r="AG1814" s="91">
        <v>0</v>
      </c>
      <c r="AK1814" s="71">
        <v>0.15</v>
      </c>
      <c r="AL1814" s="88">
        <v>3.3594642430006601E-2</v>
      </c>
      <c r="AM1814" s="89">
        <f t="shared" si="28"/>
        <v>0.22396428286671069</v>
      </c>
    </row>
    <row r="1815" spans="1:39" x14ac:dyDescent="0.25">
      <c r="A1815" t="s">
        <v>44</v>
      </c>
      <c r="B1815" t="s">
        <v>52</v>
      </c>
      <c r="C1815" s="121" t="s">
        <v>174</v>
      </c>
      <c r="D1815" t="s">
        <v>193</v>
      </c>
      <c r="E1815" t="s">
        <v>59</v>
      </c>
      <c r="F1815">
        <v>3</v>
      </c>
      <c r="G1815">
        <v>35</v>
      </c>
      <c r="H1815" s="86">
        <v>45970.221606493098</v>
      </c>
      <c r="I1815" s="86">
        <v>45970.327110555598</v>
      </c>
      <c r="J1815" s="87">
        <v>2.5320974999999999</v>
      </c>
      <c r="K1815" s="69" t="s">
        <v>274</v>
      </c>
      <c r="P1815" s="71" t="s">
        <v>275</v>
      </c>
      <c r="Q1815" s="88">
        <v>5.8882355177693598E-3</v>
      </c>
      <c r="R1815" s="89" t="s">
        <v>276</v>
      </c>
      <c r="T1815">
        <v>6.9</v>
      </c>
      <c r="U1815" s="76">
        <v>0.2</v>
      </c>
      <c r="V1815">
        <v>10.1</v>
      </c>
      <c r="W1815" s="90">
        <v>0.1</v>
      </c>
      <c r="AG1815" s="91">
        <v>0</v>
      </c>
      <c r="AK1815" s="71">
        <v>0.15</v>
      </c>
      <c r="AL1815" s="88">
        <v>3.3594642430006601E-2</v>
      </c>
      <c r="AM1815" s="89">
        <f t="shared" si="28"/>
        <v>0.22396428286671069</v>
      </c>
    </row>
    <row r="1816" spans="1:39" x14ac:dyDescent="0.25">
      <c r="A1816" t="s">
        <v>44</v>
      </c>
      <c r="B1816" t="s">
        <v>52</v>
      </c>
      <c r="C1816" s="121" t="s">
        <v>174</v>
      </c>
      <c r="D1816" t="s">
        <v>193</v>
      </c>
      <c r="E1816" t="s">
        <v>59</v>
      </c>
      <c r="F1816">
        <v>3</v>
      </c>
      <c r="G1816">
        <v>36</v>
      </c>
      <c r="H1816" s="86">
        <v>45970.327110555598</v>
      </c>
      <c r="I1816" s="86">
        <v>45970.4326025232</v>
      </c>
      <c r="J1816" s="87">
        <v>2.5318072222222199</v>
      </c>
      <c r="K1816" s="69" t="s">
        <v>274</v>
      </c>
      <c r="P1816" s="71" t="s">
        <v>275</v>
      </c>
      <c r="Q1816" s="88">
        <v>5.52235423731714E-3</v>
      </c>
      <c r="R1816" s="89" t="s">
        <v>276</v>
      </c>
      <c r="T1816">
        <v>6.8</v>
      </c>
      <c r="U1816" s="76">
        <v>0.2</v>
      </c>
      <c r="V1816">
        <v>10</v>
      </c>
      <c r="W1816" s="90">
        <v>0.1</v>
      </c>
      <c r="AG1816" s="91">
        <v>0</v>
      </c>
      <c r="AK1816" s="71">
        <v>0.15</v>
      </c>
      <c r="AL1816" s="88">
        <v>3.3594642430006601E-2</v>
      </c>
      <c r="AM1816" s="89">
        <f t="shared" si="28"/>
        <v>0.22396428286671069</v>
      </c>
    </row>
    <row r="1817" spans="1:39" x14ac:dyDescent="0.25">
      <c r="A1817" t="s">
        <v>44</v>
      </c>
      <c r="B1817" t="s">
        <v>52</v>
      </c>
      <c r="C1817" s="121" t="s">
        <v>174</v>
      </c>
      <c r="D1817" t="s">
        <v>193</v>
      </c>
      <c r="E1817" t="s">
        <v>59</v>
      </c>
      <c r="F1817">
        <v>3</v>
      </c>
      <c r="G1817">
        <v>37</v>
      </c>
      <c r="H1817" s="86">
        <v>45970.4326025232</v>
      </c>
      <c r="I1817" s="86">
        <v>45970.5381028704</v>
      </c>
      <c r="J1817" s="87">
        <v>2.5320083333333301</v>
      </c>
      <c r="K1817" s="69" t="s">
        <v>274</v>
      </c>
      <c r="P1817" s="71" t="s">
        <v>275</v>
      </c>
      <c r="Q1817" s="88">
        <v>7.8123881166246197E-3</v>
      </c>
      <c r="R1817" s="89" t="s">
        <v>276</v>
      </c>
      <c r="T1817">
        <v>7.2</v>
      </c>
      <c r="U1817" s="76">
        <v>0.2</v>
      </c>
      <c r="V1817">
        <v>10</v>
      </c>
      <c r="W1817" s="90">
        <v>0.1</v>
      </c>
      <c r="AG1817" s="91">
        <v>0</v>
      </c>
      <c r="AK1817" s="71">
        <v>0.15</v>
      </c>
      <c r="AL1817" s="88">
        <v>3.3594642430006601E-2</v>
      </c>
      <c r="AM1817" s="89">
        <f t="shared" si="28"/>
        <v>0.22396428286671069</v>
      </c>
    </row>
    <row r="1818" spans="1:39" x14ac:dyDescent="0.25">
      <c r="A1818" t="s">
        <v>44</v>
      </c>
      <c r="B1818" t="s">
        <v>52</v>
      </c>
      <c r="C1818" s="121" t="s">
        <v>174</v>
      </c>
      <c r="D1818" t="s">
        <v>193</v>
      </c>
      <c r="E1818" t="s">
        <v>59</v>
      </c>
      <c r="F1818">
        <v>3</v>
      </c>
      <c r="G1818">
        <v>38</v>
      </c>
      <c r="H1818" s="86">
        <v>45970.5381028704</v>
      </c>
      <c r="I1818" s="86">
        <v>45970.643617129601</v>
      </c>
      <c r="J1818" s="87">
        <v>2.5323422222222201</v>
      </c>
      <c r="K1818" s="69" t="s">
        <v>274</v>
      </c>
      <c r="P1818" s="71" t="s">
        <v>275</v>
      </c>
      <c r="Q1818" s="88">
        <v>1.1656970156575399E-2</v>
      </c>
      <c r="R1818" s="89" t="s">
        <v>276</v>
      </c>
      <c r="T1818">
        <v>7.5</v>
      </c>
      <c r="U1818" s="76">
        <v>0.2</v>
      </c>
      <c r="V1818">
        <v>10</v>
      </c>
      <c r="W1818" s="90">
        <v>0.1</v>
      </c>
      <c r="AG1818" s="91">
        <v>0</v>
      </c>
      <c r="AK1818" s="71">
        <v>0.15</v>
      </c>
      <c r="AL1818" s="88">
        <v>3.3594642430006601E-2</v>
      </c>
      <c r="AM1818" s="89">
        <f t="shared" si="28"/>
        <v>0.22396428286671069</v>
      </c>
    </row>
    <row r="1819" spans="1:39" x14ac:dyDescent="0.25">
      <c r="A1819" t="s">
        <v>44</v>
      </c>
      <c r="B1819" t="s">
        <v>52</v>
      </c>
      <c r="C1819" s="121" t="s">
        <v>174</v>
      </c>
      <c r="D1819" t="s">
        <v>193</v>
      </c>
      <c r="E1819" t="s">
        <v>59</v>
      </c>
      <c r="F1819">
        <v>3</v>
      </c>
      <c r="G1819">
        <v>39</v>
      </c>
      <c r="H1819" s="86">
        <v>45970.643617129601</v>
      </c>
      <c r="I1819" s="86">
        <v>45970.749117268497</v>
      </c>
      <c r="J1819" s="87">
        <v>2.5320033333333298</v>
      </c>
      <c r="K1819" s="69" t="s">
        <v>274</v>
      </c>
      <c r="P1819" s="71" t="s">
        <v>275</v>
      </c>
      <c r="Q1819" s="88">
        <v>8.6407075743460994E-3</v>
      </c>
      <c r="R1819" s="89" t="s">
        <v>276</v>
      </c>
      <c r="T1819">
        <v>7.3</v>
      </c>
      <c r="U1819" s="76">
        <v>0.2</v>
      </c>
      <c r="V1819">
        <v>10.1</v>
      </c>
      <c r="W1819" s="90">
        <v>0.1</v>
      </c>
      <c r="AG1819" s="91">
        <v>0</v>
      </c>
      <c r="AK1819" s="71">
        <v>0.15</v>
      </c>
      <c r="AL1819" s="88">
        <v>3.3594642430006601E-2</v>
      </c>
      <c r="AM1819" s="89">
        <f t="shared" si="28"/>
        <v>0.22396428286671069</v>
      </c>
    </row>
    <row r="1820" spans="1:39" x14ac:dyDescent="0.25">
      <c r="A1820" t="s">
        <v>44</v>
      </c>
      <c r="B1820" t="s">
        <v>52</v>
      </c>
      <c r="C1820" s="121" t="s">
        <v>174</v>
      </c>
      <c r="D1820" t="s">
        <v>193</v>
      </c>
      <c r="E1820" t="s">
        <v>59</v>
      </c>
      <c r="F1820">
        <v>3</v>
      </c>
      <c r="G1820">
        <v>40</v>
      </c>
      <c r="H1820" s="86">
        <v>45970.749117268497</v>
      </c>
      <c r="I1820" s="86">
        <v>45970.8546227431</v>
      </c>
      <c r="J1820" s="87">
        <v>2.5321313888888901</v>
      </c>
      <c r="K1820" s="69" t="s">
        <v>274</v>
      </c>
      <c r="P1820" s="71" t="s">
        <v>275</v>
      </c>
      <c r="Q1820" s="88">
        <v>4.6600973718615001E-3</v>
      </c>
      <c r="R1820" s="89" t="s">
        <v>276</v>
      </c>
      <c r="T1820">
        <v>6.3</v>
      </c>
      <c r="U1820" s="76">
        <v>0.2</v>
      </c>
      <c r="V1820">
        <v>10.1</v>
      </c>
      <c r="W1820" s="90">
        <v>0.1</v>
      </c>
      <c r="AG1820" s="91">
        <v>0</v>
      </c>
      <c r="AK1820" s="71">
        <v>0.15</v>
      </c>
      <c r="AL1820" s="88">
        <v>3.3594642430006601E-2</v>
      </c>
      <c r="AM1820" s="89">
        <f t="shared" si="28"/>
        <v>0.22396428286671069</v>
      </c>
    </row>
    <row r="1821" spans="1:39" x14ac:dyDescent="0.25">
      <c r="A1821" t="s">
        <v>44</v>
      </c>
      <c r="B1821" t="s">
        <v>52</v>
      </c>
      <c r="C1821" s="121" t="s">
        <v>174</v>
      </c>
      <c r="D1821" t="s">
        <v>193</v>
      </c>
      <c r="E1821" t="s">
        <v>59</v>
      </c>
      <c r="F1821">
        <v>3</v>
      </c>
      <c r="G1821">
        <v>41</v>
      </c>
      <c r="H1821" s="86">
        <v>45970.8546227431</v>
      </c>
      <c r="I1821" s="86">
        <v>45970.960112337998</v>
      </c>
      <c r="J1821" s="87">
        <v>2.5317502777777801</v>
      </c>
      <c r="K1821" s="69" t="s">
        <v>274</v>
      </c>
      <c r="P1821" s="71" t="s">
        <v>275</v>
      </c>
      <c r="Q1821" s="88">
        <v>5.0039429673969299E-3</v>
      </c>
      <c r="R1821" s="89" t="s">
        <v>276</v>
      </c>
      <c r="T1821">
        <v>6.3</v>
      </c>
      <c r="U1821" s="76">
        <v>0.2</v>
      </c>
      <c r="V1821">
        <v>10</v>
      </c>
      <c r="W1821" s="90">
        <v>0.1</v>
      </c>
      <c r="AG1821" s="91">
        <v>0</v>
      </c>
      <c r="AK1821" s="71">
        <v>0.15</v>
      </c>
      <c r="AL1821" s="88">
        <v>3.3594642430006601E-2</v>
      </c>
      <c r="AM1821" s="89">
        <f t="shared" si="28"/>
        <v>0.22396428286671069</v>
      </c>
    </row>
    <row r="1822" spans="1:39" x14ac:dyDescent="0.25">
      <c r="A1822" t="s">
        <v>44</v>
      </c>
      <c r="B1822" t="s">
        <v>52</v>
      </c>
      <c r="C1822" s="121" t="s">
        <v>174</v>
      </c>
      <c r="D1822" t="s">
        <v>193</v>
      </c>
      <c r="E1822" t="s">
        <v>59</v>
      </c>
      <c r="F1822">
        <v>3</v>
      </c>
      <c r="G1822">
        <v>42</v>
      </c>
      <c r="H1822" s="86">
        <v>45970.960112337998</v>
      </c>
      <c r="I1822" s="86">
        <v>45971.065622210699</v>
      </c>
      <c r="J1822" s="87">
        <v>2.5322369444444499</v>
      </c>
      <c r="K1822" s="69" t="s">
        <v>274</v>
      </c>
      <c r="P1822" s="71" t="s">
        <v>275</v>
      </c>
      <c r="Q1822" s="88">
        <v>4.99303575063642E-3</v>
      </c>
      <c r="R1822" s="89" t="s">
        <v>276</v>
      </c>
      <c r="T1822">
        <v>5.0999999999999996</v>
      </c>
      <c r="U1822" s="76">
        <v>0.2</v>
      </c>
      <c r="V1822">
        <v>9.9</v>
      </c>
      <c r="W1822" s="90">
        <v>0.1</v>
      </c>
      <c r="AG1822" s="91">
        <v>0</v>
      </c>
      <c r="AK1822" s="71">
        <v>0.15</v>
      </c>
      <c r="AL1822" s="88">
        <v>3.3594642430006601E-2</v>
      </c>
      <c r="AM1822" s="89">
        <f t="shared" si="28"/>
        <v>0.22396428286671069</v>
      </c>
    </row>
    <row r="1823" spans="1:39" x14ac:dyDescent="0.25">
      <c r="A1823" t="s">
        <v>44</v>
      </c>
      <c r="B1823" t="s">
        <v>52</v>
      </c>
      <c r="C1823" s="121" t="s">
        <v>174</v>
      </c>
      <c r="D1823" t="s">
        <v>193</v>
      </c>
      <c r="E1823" t="s">
        <v>59</v>
      </c>
      <c r="F1823">
        <v>3</v>
      </c>
      <c r="G1823">
        <v>43</v>
      </c>
      <c r="H1823" s="86">
        <v>45971.065622210699</v>
      </c>
      <c r="I1823" s="86">
        <v>45971.171128287002</v>
      </c>
      <c r="J1823" s="87">
        <v>2.5321458333333302</v>
      </c>
      <c r="K1823" s="69" t="s">
        <v>274</v>
      </c>
      <c r="P1823" s="71" t="s">
        <v>275</v>
      </c>
      <c r="Q1823" s="88">
        <v>6.0954872033869003E-3</v>
      </c>
      <c r="R1823" s="89" t="s">
        <v>276</v>
      </c>
      <c r="T1823">
        <v>6.5</v>
      </c>
      <c r="U1823" s="76">
        <v>0.2</v>
      </c>
      <c r="V1823">
        <v>9.8000000000000007</v>
      </c>
      <c r="W1823" s="90">
        <v>0.1</v>
      </c>
      <c r="AG1823" s="91">
        <v>0</v>
      </c>
      <c r="AK1823" s="71">
        <v>0.15</v>
      </c>
      <c r="AL1823" s="88">
        <v>3.3594642430006601E-2</v>
      </c>
      <c r="AM1823" s="89">
        <f t="shared" si="28"/>
        <v>0.22396428286671069</v>
      </c>
    </row>
    <row r="1824" spans="1:39" x14ac:dyDescent="0.25">
      <c r="A1824" t="s">
        <v>44</v>
      </c>
      <c r="B1824" t="s">
        <v>52</v>
      </c>
      <c r="C1824" s="121" t="s">
        <v>174</v>
      </c>
      <c r="D1824" t="s">
        <v>193</v>
      </c>
      <c r="E1824" t="s">
        <v>59</v>
      </c>
      <c r="F1824">
        <v>3</v>
      </c>
      <c r="G1824">
        <v>44</v>
      </c>
      <c r="H1824" s="86">
        <v>45971.171128287002</v>
      </c>
      <c r="I1824" s="86">
        <v>45971.276627326399</v>
      </c>
      <c r="J1824" s="87">
        <v>2.53197694444445</v>
      </c>
      <c r="K1824" s="69" t="s">
        <v>274</v>
      </c>
      <c r="P1824" s="71" t="s">
        <v>275</v>
      </c>
      <c r="Q1824" s="88">
        <v>6.2110060609896298E-3</v>
      </c>
      <c r="R1824" s="89" t="s">
        <v>276</v>
      </c>
      <c r="T1824">
        <v>5.6</v>
      </c>
      <c r="U1824" s="76">
        <v>0.2</v>
      </c>
      <c r="V1824">
        <v>9.6999999999999993</v>
      </c>
      <c r="W1824" s="90">
        <v>0.1</v>
      </c>
      <c r="AG1824" s="91">
        <v>0</v>
      </c>
      <c r="AK1824" s="71">
        <v>0.15</v>
      </c>
      <c r="AL1824" s="88">
        <v>3.3594642430006601E-2</v>
      </c>
      <c r="AM1824" s="89">
        <f t="shared" si="28"/>
        <v>0.22396428286671069</v>
      </c>
    </row>
    <row r="1825" spans="1:39" x14ac:dyDescent="0.25">
      <c r="A1825" t="s">
        <v>44</v>
      </c>
      <c r="B1825" t="s">
        <v>52</v>
      </c>
      <c r="C1825" s="121" t="s">
        <v>174</v>
      </c>
      <c r="D1825" t="s">
        <v>193</v>
      </c>
      <c r="E1825" t="s">
        <v>59</v>
      </c>
      <c r="F1825">
        <v>3</v>
      </c>
      <c r="G1825">
        <v>45</v>
      </c>
      <c r="H1825" s="86">
        <v>45971.276627326399</v>
      </c>
      <c r="I1825" s="86">
        <v>45971.382140786998</v>
      </c>
      <c r="J1825" s="87">
        <v>2.53232305555556</v>
      </c>
      <c r="K1825" s="69" t="s">
        <v>274</v>
      </c>
      <c r="P1825" s="71" t="s">
        <v>275</v>
      </c>
      <c r="Q1825" s="88">
        <v>4.9097308640415598E-3</v>
      </c>
      <c r="R1825" s="89" t="s">
        <v>276</v>
      </c>
      <c r="T1825">
        <v>6</v>
      </c>
      <c r="U1825" s="76">
        <v>0.2</v>
      </c>
      <c r="V1825">
        <v>9.6</v>
      </c>
      <c r="W1825" s="90">
        <v>0.1</v>
      </c>
      <c r="AG1825" s="91">
        <v>0</v>
      </c>
      <c r="AK1825" s="71">
        <v>0.15</v>
      </c>
      <c r="AL1825" s="88">
        <v>3.3594642430006601E-2</v>
      </c>
      <c r="AM1825" s="89">
        <f t="shared" si="28"/>
        <v>0.22396428286671069</v>
      </c>
    </row>
    <row r="1826" spans="1:39" x14ac:dyDescent="0.25">
      <c r="A1826" t="s">
        <v>44</v>
      </c>
      <c r="B1826" t="s">
        <v>52</v>
      </c>
      <c r="C1826" s="121" t="s">
        <v>174</v>
      </c>
      <c r="D1826" t="s">
        <v>193</v>
      </c>
      <c r="E1826" t="s">
        <v>59</v>
      </c>
      <c r="F1826">
        <v>3</v>
      </c>
      <c r="G1826">
        <v>46</v>
      </c>
      <c r="H1826" s="86">
        <v>45971.382140786998</v>
      </c>
      <c r="I1826" s="86">
        <v>45971.487638159699</v>
      </c>
      <c r="J1826" s="87">
        <v>2.53193694444444</v>
      </c>
      <c r="K1826" s="69" t="s">
        <v>274</v>
      </c>
      <c r="P1826" s="71" t="s">
        <v>275</v>
      </c>
      <c r="Q1826" s="88">
        <v>6.3233457952850203E-3</v>
      </c>
      <c r="R1826" s="89" t="s">
        <v>276</v>
      </c>
      <c r="T1826">
        <v>5.7</v>
      </c>
      <c r="U1826" s="76">
        <v>0.2</v>
      </c>
      <c r="V1826">
        <v>9.5</v>
      </c>
      <c r="W1826" s="90">
        <v>0.1</v>
      </c>
      <c r="AG1826" s="91">
        <v>0</v>
      </c>
      <c r="AK1826" s="71">
        <v>0.15</v>
      </c>
      <c r="AL1826" s="88">
        <v>3.3594642430006601E-2</v>
      </c>
      <c r="AM1826" s="89">
        <f t="shared" si="28"/>
        <v>0.22396428286671069</v>
      </c>
    </row>
    <row r="1827" spans="1:39" x14ac:dyDescent="0.25">
      <c r="A1827" t="s">
        <v>44</v>
      </c>
      <c r="B1827" t="s">
        <v>52</v>
      </c>
      <c r="C1827" s="121" t="s">
        <v>174</v>
      </c>
      <c r="D1827" t="s">
        <v>193</v>
      </c>
      <c r="E1827" t="s">
        <v>59</v>
      </c>
      <c r="F1827">
        <v>3</v>
      </c>
      <c r="G1827">
        <v>47</v>
      </c>
      <c r="H1827" s="86">
        <v>45971.487638159699</v>
      </c>
      <c r="I1827" s="86">
        <v>45971.593137407399</v>
      </c>
      <c r="J1827" s="87">
        <v>2.53198194444444</v>
      </c>
      <c r="K1827" s="69" t="s">
        <v>274</v>
      </c>
      <c r="P1827" s="71" t="s">
        <v>275</v>
      </c>
      <c r="Q1827" s="88">
        <v>1.43740223259323E-2</v>
      </c>
      <c r="R1827" s="89" t="s">
        <v>276</v>
      </c>
      <c r="T1827">
        <v>10</v>
      </c>
      <c r="U1827" s="76">
        <v>0.2</v>
      </c>
      <c r="V1827">
        <v>9.5</v>
      </c>
      <c r="W1827" s="90">
        <v>0.1</v>
      </c>
      <c r="AG1827" s="91">
        <v>0</v>
      </c>
      <c r="AK1827" s="71">
        <v>0.15</v>
      </c>
      <c r="AL1827" s="88">
        <v>3.3594642430006601E-2</v>
      </c>
      <c r="AM1827" s="89">
        <f t="shared" si="28"/>
        <v>0.22396428286671069</v>
      </c>
    </row>
    <row r="1828" spans="1:39" x14ac:dyDescent="0.25">
      <c r="A1828" t="s">
        <v>44</v>
      </c>
      <c r="B1828" t="s">
        <v>52</v>
      </c>
      <c r="C1828" s="121" t="s">
        <v>174</v>
      </c>
      <c r="D1828" t="s">
        <v>193</v>
      </c>
      <c r="E1828" t="s">
        <v>59</v>
      </c>
      <c r="F1828">
        <v>3</v>
      </c>
      <c r="G1828">
        <v>48</v>
      </c>
      <c r="H1828" s="86">
        <v>45971.593137407399</v>
      </c>
      <c r="I1828" s="86">
        <v>45971.698639039401</v>
      </c>
      <c r="J1828" s="87">
        <v>2.5320391666666699</v>
      </c>
      <c r="K1828" s="69" t="s">
        <v>274</v>
      </c>
      <c r="P1828" s="71" t="s">
        <v>275</v>
      </c>
      <c r="Q1828" s="88">
        <v>1.6773579639245799E-2</v>
      </c>
      <c r="R1828" s="89" t="s">
        <v>276</v>
      </c>
      <c r="T1828">
        <v>9</v>
      </c>
      <c r="U1828" s="76">
        <v>0.2</v>
      </c>
      <c r="V1828">
        <v>9.6999999999999993</v>
      </c>
      <c r="W1828" s="90">
        <v>0.1</v>
      </c>
      <c r="AG1828" s="91">
        <v>0</v>
      </c>
      <c r="AK1828" s="71">
        <v>0.15</v>
      </c>
      <c r="AL1828" s="88">
        <v>3.3594642430006601E-2</v>
      </c>
      <c r="AM1828" s="89">
        <f t="shared" si="28"/>
        <v>0.22396428286671069</v>
      </c>
    </row>
    <row r="1829" spans="1:39" x14ac:dyDescent="0.25">
      <c r="A1829" t="s">
        <v>44</v>
      </c>
      <c r="B1829" t="s">
        <v>52</v>
      </c>
      <c r="C1829" s="121" t="s">
        <v>174</v>
      </c>
      <c r="D1829" t="s">
        <v>193</v>
      </c>
      <c r="E1829" t="s">
        <v>59</v>
      </c>
      <c r="F1829">
        <v>3</v>
      </c>
      <c r="G1829">
        <v>49</v>
      </c>
      <c r="H1829" s="86">
        <v>45971.698639039401</v>
      </c>
      <c r="I1829" s="86">
        <v>45971.804163032401</v>
      </c>
      <c r="J1829" s="87">
        <v>2.5325758333333299</v>
      </c>
      <c r="K1829" s="69" t="s">
        <v>274</v>
      </c>
      <c r="P1829" s="71" t="s">
        <v>275</v>
      </c>
      <c r="Q1829" s="88">
        <v>8.8812957066866007E-3</v>
      </c>
      <c r="R1829" s="89" t="s">
        <v>276</v>
      </c>
      <c r="T1829">
        <v>8.1999999999999993</v>
      </c>
      <c r="U1829" s="76">
        <v>0.2</v>
      </c>
      <c r="V1829">
        <v>9.8000000000000007</v>
      </c>
      <c r="W1829" s="90">
        <v>0.1</v>
      </c>
      <c r="AG1829" s="91">
        <v>0</v>
      </c>
      <c r="AK1829" s="71">
        <v>0.15</v>
      </c>
      <c r="AL1829" s="88">
        <v>3.3594642430006601E-2</v>
      </c>
      <c r="AM1829" s="89">
        <f t="shared" si="28"/>
        <v>0.22396428286671069</v>
      </c>
    </row>
    <row r="1830" spans="1:39" x14ac:dyDescent="0.25">
      <c r="A1830" t="s">
        <v>44</v>
      </c>
      <c r="B1830" t="s">
        <v>52</v>
      </c>
      <c r="C1830" s="121" t="s">
        <v>174</v>
      </c>
      <c r="D1830" t="s">
        <v>193</v>
      </c>
      <c r="E1830" t="s">
        <v>59</v>
      </c>
      <c r="F1830">
        <v>3</v>
      </c>
      <c r="G1830">
        <v>50</v>
      </c>
      <c r="H1830" s="86">
        <v>45971.804163032401</v>
      </c>
      <c r="I1830" s="86">
        <v>45971.9096818982</v>
      </c>
      <c r="J1830" s="87">
        <v>2.5324527777777801</v>
      </c>
      <c r="K1830" s="69" t="s">
        <v>274</v>
      </c>
      <c r="P1830" s="71" t="s">
        <v>275</v>
      </c>
      <c r="Q1830" s="88">
        <v>7.6645325136016299E-3</v>
      </c>
      <c r="R1830" s="89" t="s">
        <v>276</v>
      </c>
      <c r="T1830">
        <v>7.8</v>
      </c>
      <c r="U1830" s="76">
        <v>0.2</v>
      </c>
      <c r="V1830">
        <v>9.8000000000000007</v>
      </c>
      <c r="W1830" s="90">
        <v>0.1</v>
      </c>
      <c r="AG1830" s="91">
        <v>0</v>
      </c>
      <c r="AK1830" s="71">
        <v>0.15</v>
      </c>
      <c r="AL1830" s="88">
        <v>3.3594642430006601E-2</v>
      </c>
      <c r="AM1830" s="89">
        <f t="shared" si="28"/>
        <v>0.22396428286671069</v>
      </c>
    </row>
    <row r="1831" spans="1:39" x14ac:dyDescent="0.25">
      <c r="A1831" t="s">
        <v>44</v>
      </c>
      <c r="B1831" t="s">
        <v>52</v>
      </c>
      <c r="C1831" s="121" t="s">
        <v>174</v>
      </c>
      <c r="D1831" t="s">
        <v>193</v>
      </c>
      <c r="E1831" t="s">
        <v>59</v>
      </c>
      <c r="F1831">
        <v>3</v>
      </c>
      <c r="G1831">
        <v>51</v>
      </c>
      <c r="H1831" s="86">
        <v>45971.9096818982</v>
      </c>
      <c r="I1831" s="86">
        <v>45972.0151995833</v>
      </c>
      <c r="J1831" s="87">
        <v>2.5324244444444401</v>
      </c>
      <c r="K1831" s="69" t="s">
        <v>274</v>
      </c>
      <c r="P1831" s="71" t="s">
        <v>275</v>
      </c>
      <c r="Q1831" s="88">
        <v>8.8405293399543006E-3</v>
      </c>
      <c r="R1831" s="89" t="s">
        <v>276</v>
      </c>
      <c r="T1831">
        <v>7.9</v>
      </c>
      <c r="U1831" s="76">
        <v>0.2</v>
      </c>
      <c r="V1831">
        <v>9.8000000000000007</v>
      </c>
      <c r="W1831" s="90">
        <v>0.1</v>
      </c>
      <c r="AG1831" s="91">
        <v>0</v>
      </c>
      <c r="AK1831" s="71">
        <v>0.15</v>
      </c>
      <c r="AL1831" s="88">
        <v>3.3594642430006601E-2</v>
      </c>
      <c r="AM1831" s="89">
        <f t="shared" si="28"/>
        <v>0.22396428286671069</v>
      </c>
    </row>
    <row r="1832" spans="1:39" x14ac:dyDescent="0.25">
      <c r="A1832" t="s">
        <v>44</v>
      </c>
      <c r="B1832" t="s">
        <v>52</v>
      </c>
      <c r="C1832" s="121" t="s">
        <v>174</v>
      </c>
      <c r="D1832" t="s">
        <v>193</v>
      </c>
      <c r="E1832" t="s">
        <v>59</v>
      </c>
      <c r="F1832">
        <v>3</v>
      </c>
      <c r="G1832">
        <v>52</v>
      </c>
      <c r="H1832" s="86">
        <v>45972.0151995833</v>
      </c>
      <c r="I1832" s="86">
        <v>45972.120726539397</v>
      </c>
      <c r="J1832" s="87">
        <v>2.5326469444444499</v>
      </c>
      <c r="K1832" s="69" t="s">
        <v>274</v>
      </c>
      <c r="P1832" s="71" t="s">
        <v>275</v>
      </c>
      <c r="Q1832" s="88">
        <v>6.3144239919617701E-3</v>
      </c>
      <c r="R1832" s="89" t="s">
        <v>276</v>
      </c>
      <c r="T1832">
        <v>6.6</v>
      </c>
      <c r="U1832" s="76">
        <v>0.2</v>
      </c>
      <c r="V1832">
        <v>9.6999999999999993</v>
      </c>
      <c r="W1832" s="90">
        <v>0.1</v>
      </c>
      <c r="AG1832" s="91">
        <v>0</v>
      </c>
      <c r="AK1832" s="71">
        <v>0.15</v>
      </c>
      <c r="AL1832" s="88">
        <v>3.3594642430006601E-2</v>
      </c>
      <c r="AM1832" s="89">
        <f t="shared" si="28"/>
        <v>0.22396428286671069</v>
      </c>
    </row>
    <row r="1833" spans="1:39" x14ac:dyDescent="0.25">
      <c r="A1833" t="s">
        <v>44</v>
      </c>
      <c r="B1833" t="s">
        <v>52</v>
      </c>
      <c r="C1833" s="121" t="s">
        <v>174</v>
      </c>
      <c r="D1833" t="s">
        <v>193</v>
      </c>
      <c r="E1833" t="s">
        <v>59</v>
      </c>
      <c r="F1833">
        <v>3</v>
      </c>
      <c r="G1833">
        <v>53</v>
      </c>
      <c r="H1833" s="86">
        <v>45972.120726539397</v>
      </c>
      <c r="I1833" s="86">
        <v>45972.226256921298</v>
      </c>
      <c r="J1833" s="87">
        <v>2.53272916666667</v>
      </c>
      <c r="K1833" s="69" t="s">
        <v>274</v>
      </c>
      <c r="P1833" s="71" t="s">
        <v>275</v>
      </c>
      <c r="Q1833" s="88">
        <v>4.17660669264798E-3</v>
      </c>
      <c r="R1833" s="89" t="s">
        <v>276</v>
      </c>
      <c r="T1833">
        <v>5.9</v>
      </c>
      <c r="U1833" s="76">
        <v>0.2</v>
      </c>
      <c r="V1833">
        <v>9.5</v>
      </c>
      <c r="W1833" s="90">
        <v>0.1</v>
      </c>
      <c r="AG1833" s="91">
        <v>0</v>
      </c>
      <c r="AK1833" s="71">
        <v>0.15</v>
      </c>
      <c r="AL1833" s="88">
        <v>3.3594642430006601E-2</v>
      </c>
      <c r="AM1833" s="89">
        <f t="shared" si="28"/>
        <v>0.22396428286671069</v>
      </c>
    </row>
    <row r="1834" spans="1:39" x14ac:dyDescent="0.25">
      <c r="A1834" t="s">
        <v>44</v>
      </c>
      <c r="B1834" t="s">
        <v>52</v>
      </c>
      <c r="C1834" s="121" t="s">
        <v>174</v>
      </c>
      <c r="D1834" t="s">
        <v>193</v>
      </c>
      <c r="E1834" t="s">
        <v>59</v>
      </c>
      <c r="F1834">
        <v>3</v>
      </c>
      <c r="G1834">
        <v>54</v>
      </c>
      <c r="H1834" s="86">
        <v>45972.226256921298</v>
      </c>
      <c r="I1834" s="86">
        <v>45972.331786932897</v>
      </c>
      <c r="J1834" s="87">
        <v>2.5327202777777802</v>
      </c>
      <c r="K1834" s="69" t="s">
        <v>274</v>
      </c>
      <c r="P1834" s="71" t="s">
        <v>275</v>
      </c>
      <c r="Q1834" s="88">
        <v>4.1728363222494598E-3</v>
      </c>
      <c r="R1834" s="89" t="s">
        <v>276</v>
      </c>
      <c r="T1834">
        <v>6.2</v>
      </c>
      <c r="U1834" s="76">
        <v>0.2</v>
      </c>
      <c r="V1834">
        <v>9.4</v>
      </c>
      <c r="W1834" s="90">
        <v>0.1</v>
      </c>
      <c r="AG1834" s="91">
        <v>0</v>
      </c>
      <c r="AK1834" s="71">
        <v>0.15</v>
      </c>
      <c r="AL1834" s="88">
        <v>3.3594642430006601E-2</v>
      </c>
      <c r="AM1834" s="89">
        <f t="shared" si="28"/>
        <v>0.22396428286671069</v>
      </c>
    </row>
    <row r="1835" spans="1:39" x14ac:dyDescent="0.25">
      <c r="A1835" t="s">
        <v>44</v>
      </c>
      <c r="B1835" t="s">
        <v>52</v>
      </c>
      <c r="C1835" s="121" t="s">
        <v>174</v>
      </c>
      <c r="D1835" t="s">
        <v>193</v>
      </c>
      <c r="E1835" t="s">
        <v>59</v>
      </c>
      <c r="F1835">
        <v>3</v>
      </c>
      <c r="G1835">
        <v>55</v>
      </c>
      <c r="H1835" s="86">
        <v>45972.331786932897</v>
      </c>
      <c r="I1835" s="86">
        <v>45972.437302094899</v>
      </c>
      <c r="J1835" s="87">
        <v>2.5323638888888902</v>
      </c>
      <c r="K1835" s="69" t="s">
        <v>274</v>
      </c>
      <c r="P1835" s="71" t="s">
        <v>275</v>
      </c>
      <c r="Q1835" s="88">
        <v>6.96120757261166E-3</v>
      </c>
      <c r="R1835" s="89" t="s">
        <v>276</v>
      </c>
      <c r="T1835">
        <v>7.2</v>
      </c>
      <c r="U1835" s="76">
        <v>0.2</v>
      </c>
      <c r="V1835">
        <v>9.3000000000000007</v>
      </c>
      <c r="W1835" s="90">
        <v>0.1</v>
      </c>
      <c r="AG1835" s="91">
        <v>0</v>
      </c>
      <c r="AK1835" s="71">
        <v>0.15</v>
      </c>
      <c r="AL1835" s="88">
        <v>3.3594642430006601E-2</v>
      </c>
      <c r="AM1835" s="89">
        <f t="shared" si="28"/>
        <v>0.22396428286671069</v>
      </c>
    </row>
    <row r="1836" spans="1:39" x14ac:dyDescent="0.25">
      <c r="A1836" t="s">
        <v>44</v>
      </c>
      <c r="B1836" t="s">
        <v>52</v>
      </c>
      <c r="C1836" s="121" t="s">
        <v>174</v>
      </c>
      <c r="D1836" t="s">
        <v>193</v>
      </c>
      <c r="E1836" t="s">
        <v>59</v>
      </c>
      <c r="F1836">
        <v>3</v>
      </c>
      <c r="G1836">
        <v>56</v>
      </c>
      <c r="H1836" s="86">
        <v>45972.437302094899</v>
      </c>
      <c r="I1836" s="86">
        <v>45972.5428193056</v>
      </c>
      <c r="J1836" s="87">
        <v>2.5324130555555602</v>
      </c>
      <c r="K1836" s="69" t="s">
        <v>274</v>
      </c>
      <c r="P1836" s="71" t="s">
        <v>275</v>
      </c>
      <c r="Q1836" s="88">
        <v>6.68287084974898E-3</v>
      </c>
      <c r="R1836" s="89" t="s">
        <v>276</v>
      </c>
      <c r="T1836">
        <v>7.8</v>
      </c>
      <c r="U1836" s="76">
        <v>0.2</v>
      </c>
      <c r="V1836">
        <v>9.3000000000000007</v>
      </c>
      <c r="W1836" s="90">
        <v>0.1</v>
      </c>
      <c r="AG1836" s="91">
        <v>0</v>
      </c>
      <c r="AK1836" s="71">
        <v>0.15</v>
      </c>
      <c r="AL1836" s="88">
        <v>3.3594642430006601E-2</v>
      </c>
      <c r="AM1836" s="89">
        <f t="shared" si="28"/>
        <v>0.22396428286671069</v>
      </c>
    </row>
    <row r="1837" spans="1:39" x14ac:dyDescent="0.25">
      <c r="A1837" t="s">
        <v>44</v>
      </c>
      <c r="B1837" t="s">
        <v>52</v>
      </c>
      <c r="C1837" s="121" t="s">
        <v>174</v>
      </c>
      <c r="D1837" t="s">
        <v>193</v>
      </c>
      <c r="E1837" t="s">
        <v>59</v>
      </c>
      <c r="F1837">
        <v>3</v>
      </c>
      <c r="G1837">
        <v>57</v>
      </c>
      <c r="H1837" s="86">
        <v>45972.5428193056</v>
      </c>
      <c r="I1837" s="86">
        <v>45972.6483573148</v>
      </c>
      <c r="J1837" s="87">
        <v>2.5329122222222198</v>
      </c>
      <c r="K1837" s="69" t="s">
        <v>274</v>
      </c>
      <c r="P1837" s="71" t="s">
        <v>275</v>
      </c>
      <c r="Q1837" s="88">
        <v>1.0572922744166E-2</v>
      </c>
      <c r="R1837" s="89" t="s">
        <v>276</v>
      </c>
      <c r="T1837">
        <v>9.1</v>
      </c>
      <c r="U1837" s="76">
        <v>0.2</v>
      </c>
      <c r="V1837">
        <v>9.3000000000000007</v>
      </c>
      <c r="W1837" s="90">
        <v>0.1</v>
      </c>
      <c r="AG1837" s="91">
        <v>0</v>
      </c>
      <c r="AK1837" s="71">
        <v>0.15</v>
      </c>
      <c r="AL1837" s="88">
        <v>3.3594642430006601E-2</v>
      </c>
      <c r="AM1837" s="89">
        <f t="shared" si="28"/>
        <v>0.22396428286671069</v>
      </c>
    </row>
    <row r="1838" spans="1:39" x14ac:dyDescent="0.25">
      <c r="A1838" t="s">
        <v>44</v>
      </c>
      <c r="B1838" t="s">
        <v>52</v>
      </c>
      <c r="C1838" s="121" t="s">
        <v>174</v>
      </c>
      <c r="D1838" t="s">
        <v>193</v>
      </c>
      <c r="E1838" t="s">
        <v>59</v>
      </c>
      <c r="F1838">
        <v>3</v>
      </c>
      <c r="G1838">
        <v>58</v>
      </c>
      <c r="H1838" s="86">
        <v>45972.6483573148</v>
      </c>
      <c r="I1838" s="86">
        <v>45972.753886944498</v>
      </c>
      <c r="J1838" s="87">
        <v>2.53271111111111</v>
      </c>
      <c r="K1838" s="69" t="s">
        <v>274</v>
      </c>
      <c r="P1838" s="71" t="s">
        <v>275</v>
      </c>
      <c r="Q1838" s="88">
        <v>8.6814621774626791E-3</v>
      </c>
      <c r="R1838" s="89" t="s">
        <v>276</v>
      </c>
      <c r="T1838">
        <v>8.6</v>
      </c>
      <c r="U1838" s="76">
        <v>0.2</v>
      </c>
      <c r="V1838">
        <v>9.5</v>
      </c>
      <c r="W1838" s="90">
        <v>0.1</v>
      </c>
      <c r="AG1838" s="91">
        <v>0</v>
      </c>
      <c r="AK1838" s="71">
        <v>0.15</v>
      </c>
      <c r="AL1838" s="88">
        <v>3.3594642430006601E-2</v>
      </c>
      <c r="AM1838" s="89">
        <f t="shared" si="28"/>
        <v>0.22396428286671069</v>
      </c>
    </row>
    <row r="1839" spans="1:39" x14ac:dyDescent="0.25">
      <c r="A1839" t="s">
        <v>44</v>
      </c>
      <c r="B1839" t="s">
        <v>52</v>
      </c>
      <c r="C1839" s="121" t="s">
        <v>174</v>
      </c>
      <c r="D1839" t="s">
        <v>193</v>
      </c>
      <c r="E1839" t="s">
        <v>59</v>
      </c>
      <c r="F1839">
        <v>3</v>
      </c>
      <c r="G1839">
        <v>59</v>
      </c>
      <c r="H1839" s="86">
        <v>45972.753886944498</v>
      </c>
      <c r="I1839" s="86">
        <v>45972.859411319398</v>
      </c>
      <c r="J1839" s="87">
        <v>2.5325850000000001</v>
      </c>
      <c r="K1839" s="69" t="s">
        <v>274</v>
      </c>
      <c r="P1839" s="71" t="s">
        <v>275</v>
      </c>
      <c r="Q1839" s="88">
        <v>5.2438133185269704E-3</v>
      </c>
      <c r="R1839" s="89" t="s">
        <v>276</v>
      </c>
      <c r="T1839">
        <v>8</v>
      </c>
      <c r="U1839" s="76">
        <v>0.2</v>
      </c>
      <c r="V1839">
        <v>9.5</v>
      </c>
      <c r="W1839" s="90">
        <v>0.1</v>
      </c>
      <c r="AG1839" s="91">
        <v>0</v>
      </c>
      <c r="AK1839" s="71">
        <v>0.15</v>
      </c>
      <c r="AL1839" s="88">
        <v>3.3594642430006601E-2</v>
      </c>
      <c r="AM1839" s="89">
        <f t="shared" si="28"/>
        <v>0.22396428286671069</v>
      </c>
    </row>
    <row r="1840" spans="1:39" x14ac:dyDescent="0.25">
      <c r="A1840" t="s">
        <v>44</v>
      </c>
      <c r="B1840" t="s">
        <v>52</v>
      </c>
      <c r="C1840" s="121" t="s">
        <v>174</v>
      </c>
      <c r="D1840" t="s">
        <v>193</v>
      </c>
      <c r="E1840" t="s">
        <v>59</v>
      </c>
      <c r="F1840">
        <v>3</v>
      </c>
      <c r="G1840">
        <v>60</v>
      </c>
      <c r="H1840" s="86">
        <v>45972.859411319398</v>
      </c>
      <c r="I1840" s="86">
        <v>45972.964927696798</v>
      </c>
      <c r="J1840" s="87">
        <v>2.53239305555556</v>
      </c>
      <c r="K1840" s="69" t="s">
        <v>274</v>
      </c>
      <c r="P1840" s="71" t="s">
        <v>275</v>
      </c>
      <c r="Q1840" s="88">
        <v>3.9389426414882999E-3</v>
      </c>
      <c r="R1840" s="89" t="s">
        <v>276</v>
      </c>
      <c r="T1840">
        <v>6.5</v>
      </c>
      <c r="U1840" s="76">
        <v>0.2</v>
      </c>
      <c r="V1840">
        <v>9.4</v>
      </c>
      <c r="W1840" s="90">
        <v>0.1</v>
      </c>
      <c r="AG1840" s="91">
        <v>0</v>
      </c>
      <c r="AK1840" s="71">
        <v>0.15</v>
      </c>
      <c r="AL1840" s="88">
        <v>3.3594642430006601E-2</v>
      </c>
      <c r="AM1840" s="89">
        <f t="shared" si="28"/>
        <v>0.22396428286671069</v>
      </c>
    </row>
    <row r="1841" spans="1:39" x14ac:dyDescent="0.25">
      <c r="A1841" t="s">
        <v>44</v>
      </c>
      <c r="B1841" t="s">
        <v>52</v>
      </c>
      <c r="C1841" s="121" t="s">
        <v>174</v>
      </c>
      <c r="D1841" t="s">
        <v>193</v>
      </c>
      <c r="E1841" t="s">
        <v>59</v>
      </c>
      <c r="F1841">
        <v>3</v>
      </c>
      <c r="G1841">
        <v>61</v>
      </c>
      <c r="H1841" s="86">
        <v>45972.964927696798</v>
      </c>
      <c r="I1841" s="86">
        <v>45973.070454282402</v>
      </c>
      <c r="J1841" s="87">
        <v>2.5326380555555601</v>
      </c>
      <c r="K1841" s="69" t="s">
        <v>274</v>
      </c>
      <c r="P1841" s="71" t="s">
        <v>275</v>
      </c>
      <c r="Q1841" s="88">
        <v>3.2060245674527801E-3</v>
      </c>
      <c r="R1841" s="89" t="s">
        <v>276</v>
      </c>
      <c r="T1841">
        <v>8.6</v>
      </c>
      <c r="U1841" s="76">
        <v>0.2</v>
      </c>
      <c r="V1841">
        <v>9.3000000000000007</v>
      </c>
      <c r="W1841" s="90">
        <v>0.1</v>
      </c>
      <c r="AG1841" s="91">
        <v>0</v>
      </c>
      <c r="AK1841" s="71">
        <v>0.15</v>
      </c>
      <c r="AL1841" s="88">
        <v>3.3594642430006601E-2</v>
      </c>
      <c r="AM1841" s="89">
        <f t="shared" si="28"/>
        <v>0.22396428286671069</v>
      </c>
    </row>
    <row r="1842" spans="1:39" x14ac:dyDescent="0.25">
      <c r="A1842" t="s">
        <v>44</v>
      </c>
      <c r="B1842" t="s">
        <v>52</v>
      </c>
      <c r="C1842" s="121" t="s">
        <v>174</v>
      </c>
      <c r="D1842" t="s">
        <v>193</v>
      </c>
      <c r="E1842" t="s">
        <v>59</v>
      </c>
      <c r="F1842">
        <v>3</v>
      </c>
      <c r="G1842">
        <v>62</v>
      </c>
      <c r="H1842" s="86">
        <v>45973.070454282402</v>
      </c>
      <c r="I1842" s="86">
        <v>45973.175973437501</v>
      </c>
      <c r="J1842" s="87">
        <v>2.53245972222222</v>
      </c>
      <c r="K1842" s="69" t="s">
        <v>274</v>
      </c>
      <c r="P1842" s="71" t="s">
        <v>275</v>
      </c>
      <c r="Q1842" s="88">
        <v>9.3681476633647402E-3</v>
      </c>
      <c r="R1842" s="89" t="s">
        <v>276</v>
      </c>
      <c r="T1842">
        <v>9.3000000000000007</v>
      </c>
      <c r="U1842" s="76">
        <v>0.2</v>
      </c>
      <c r="V1842">
        <v>9.3000000000000007</v>
      </c>
      <c r="W1842" s="90">
        <v>0.1</v>
      </c>
      <c r="AG1842" s="91">
        <v>0</v>
      </c>
      <c r="AK1842" s="71">
        <v>0.15</v>
      </c>
      <c r="AL1842" s="88">
        <v>3.3594642430006601E-2</v>
      </c>
      <c r="AM1842" s="89">
        <f t="shared" si="28"/>
        <v>0.22396428286671069</v>
      </c>
    </row>
    <row r="1843" spans="1:39" x14ac:dyDescent="0.25">
      <c r="A1843" t="s">
        <v>44</v>
      </c>
      <c r="B1843" t="s">
        <v>52</v>
      </c>
      <c r="C1843" s="121" t="s">
        <v>174</v>
      </c>
      <c r="D1843" t="s">
        <v>193</v>
      </c>
      <c r="E1843" t="s">
        <v>59</v>
      </c>
      <c r="F1843">
        <v>3</v>
      </c>
      <c r="G1843">
        <v>63</v>
      </c>
      <c r="H1843" s="86">
        <v>45973.175973437501</v>
      </c>
      <c r="I1843" s="86">
        <v>45973.281507557898</v>
      </c>
      <c r="J1843" s="87">
        <v>2.5328188888888898</v>
      </c>
      <c r="K1843" s="69" t="s">
        <v>274</v>
      </c>
      <c r="P1843" s="71" t="s">
        <v>275</v>
      </c>
      <c r="Q1843" s="88">
        <v>1.0493874357040101E-2</v>
      </c>
      <c r="R1843" s="89" t="s">
        <v>276</v>
      </c>
      <c r="T1843">
        <v>9.1999999999999993</v>
      </c>
      <c r="U1843" s="76">
        <v>0.2</v>
      </c>
      <c r="V1843">
        <v>9.4</v>
      </c>
      <c r="W1843" s="90">
        <v>0.1</v>
      </c>
      <c r="AG1843" s="91">
        <v>0</v>
      </c>
      <c r="AK1843" s="71">
        <v>0.15</v>
      </c>
      <c r="AL1843" s="88">
        <v>3.3594642430006601E-2</v>
      </c>
      <c r="AM1843" s="89">
        <f t="shared" si="28"/>
        <v>0.22396428286671069</v>
      </c>
    </row>
    <row r="1844" spans="1:39" x14ac:dyDescent="0.25">
      <c r="A1844" t="s">
        <v>44</v>
      </c>
      <c r="B1844" t="s">
        <v>52</v>
      </c>
      <c r="C1844" s="121" t="s">
        <v>174</v>
      </c>
      <c r="D1844" t="s">
        <v>193</v>
      </c>
      <c r="E1844" t="s">
        <v>59</v>
      </c>
      <c r="F1844">
        <v>3</v>
      </c>
      <c r="G1844">
        <v>64</v>
      </c>
      <c r="H1844" s="86">
        <v>45973.281507557898</v>
      </c>
      <c r="I1844" s="86">
        <v>45973.387033900501</v>
      </c>
      <c r="J1844" s="87">
        <v>2.5326322222222202</v>
      </c>
      <c r="K1844" s="69" t="s">
        <v>274</v>
      </c>
      <c r="P1844" s="71" t="s">
        <v>275</v>
      </c>
      <c r="Q1844" s="88">
        <v>1.0489090304130901E-2</v>
      </c>
      <c r="R1844" s="89" t="s">
        <v>276</v>
      </c>
      <c r="T1844">
        <v>9</v>
      </c>
      <c r="U1844" s="76">
        <v>0.2</v>
      </c>
      <c r="V1844">
        <v>9.4</v>
      </c>
      <c r="W1844" s="90">
        <v>0.1</v>
      </c>
      <c r="AG1844" s="91">
        <v>0</v>
      </c>
      <c r="AK1844" s="71">
        <v>0.15</v>
      </c>
      <c r="AL1844" s="88">
        <v>3.3594642430006601E-2</v>
      </c>
      <c r="AM1844" s="89">
        <f t="shared" si="28"/>
        <v>0.22396428286671069</v>
      </c>
    </row>
  </sheetData>
  <mergeCells count="13">
    <mergeCell ref="K2:L2"/>
    <mergeCell ref="M2:O2"/>
    <mergeCell ref="P2:R2"/>
    <mergeCell ref="AE2:AF2"/>
    <mergeCell ref="K3:L3"/>
    <mergeCell ref="M3:O3"/>
    <mergeCell ref="P3:R3"/>
    <mergeCell ref="AE3:AF3"/>
    <mergeCell ref="A1:F1"/>
    <mergeCell ref="G1:J1"/>
    <mergeCell ref="K1:R1"/>
    <mergeCell ref="T1:AJ1"/>
    <mergeCell ref="AK1:AM1"/>
  </mergeCells>
  <dataValidations count="6">
    <dataValidation type="decimal" operator="greaterThanOrEqual" allowBlank="1" showInputMessage="1" showErrorMessage="1" sqref="N5:N1005 Q5:Q1005 U5:AE1005 AG5:AG1005 U1006:U1844 W1006:W1844" xr:uid="{00000000-0002-0000-0600-000000000000}">
      <formula1>0</formula1>
      <formula2>0</formula2>
    </dataValidation>
    <dataValidation type="decimal" operator="greaterThan" allowBlank="1" showInputMessage="1" showErrorMessage="1" sqref="AH5:AH1005" xr:uid="{00000000-0002-0000-0600-000001000000}">
      <formula1>0</formula1>
      <formula2>0</formula2>
    </dataValidation>
    <dataValidation type="decimal" allowBlank="1" showInputMessage="1" showErrorMessage="1" sqref="T5:T1005" xr:uid="{00000000-0002-0000-0600-000002000000}">
      <formula1>-40</formula1>
      <formula2>60</formula2>
    </dataValidation>
    <dataValidation type="textLength" allowBlank="1" showInputMessage="1" showErrorMessage="1" sqref="H5:I1005" xr:uid="{00000000-0002-0000-0600-000003000000}">
      <formula1>12</formula1>
      <formula2>16</formula2>
    </dataValidation>
    <dataValidation type="decimal" allowBlank="1" showInputMessage="1" showErrorMessage="1" sqref="AJ5:AM1005 AK1006:AK1844 AM1006:AM1844" xr:uid="{00000000-0002-0000-0600-000004000000}">
      <formula1>0</formula1>
      <formula2>1000000</formula2>
    </dataValidation>
    <dataValidation operator="greaterThanOrEqual" allowBlank="1" showInputMessage="1" showErrorMessage="1" sqref="AF1:AF4" xr:uid="{00000000-0002-0000-0600-000005000000}">
      <formula1>0</formula1>
      <formula2>0</formula2>
    </dataValidation>
  </dataValidations>
  <pageMargins left="0.75" right="0.75" top="1" bottom="1" header="0.511811023622047" footer="0.511811023622047"/>
  <pageSetup paperSize="9" orientation="portrait" horizontalDpi="300" verticalDpi="300"/>
  <legacyDrawing r:id="rId1"/>
  <extLst>
    <ext xmlns:x14="http://schemas.microsoft.com/office/spreadsheetml/2009/9/main" uri="{CCE6A557-97BC-4b89-ADB6-D9C93CAAB3DF}">
      <x14:dataValidations xmlns:xm="http://schemas.microsoft.com/office/excel/2006/main" count="9">
        <x14:dataValidation type="list" allowBlank="1" showInputMessage="1" showErrorMessage="1" xr:uid="{00000000-0002-0000-0600-000006000000}">
          <x14:formula1>
            <xm:f>'Input options (lists)'!$C$3:$C$10</xm:f>
          </x14:formula1>
          <x14:formula2>
            <xm:f>0</xm:f>
          </x14:formula2>
          <xm:sqref>K5:K1844</xm:sqref>
        </x14:dataValidation>
        <x14:dataValidation type="list" operator="greaterThanOrEqual" allowBlank="1" showInputMessage="1" showErrorMessage="1" xr:uid="{00000000-0002-0000-0600-000007000000}">
          <x14:formula1>
            <xm:f>'Input options (lists)'!$C$18:$C$19</xm:f>
          </x14:formula1>
          <x14:formula2>
            <xm:f>0</xm:f>
          </x14:formula2>
          <xm:sqref>M5:M1005</xm:sqref>
        </x14:dataValidation>
        <x14:dataValidation type="list" operator="greaterThan" allowBlank="1" showInputMessage="1" showErrorMessage="1" xr:uid="{00000000-0002-0000-0600-000008000000}">
          <x14:formula1>
            <xm:f>'Input options (lists)'!$I$3:$I$6</xm:f>
          </x14:formula1>
          <x14:formula2>
            <xm:f>0</xm:f>
          </x14:formula2>
          <xm:sqref>AI5:AI1005</xm:sqref>
        </x14:dataValidation>
        <x14:dataValidation type="list" allowBlank="1" showInputMessage="1" showErrorMessage="1" xr:uid="{00000000-0002-0000-0600-000009000000}">
          <x14:formula1>
            <xm:f>'Input options (lists)'!$C$13:$C$15</xm:f>
          </x14:formula1>
          <x14:formula2>
            <xm:f>0</xm:f>
          </x14:formula2>
          <xm:sqref>O5:O1005</xm:sqref>
        </x14:dataValidation>
        <x14:dataValidation type="list" operator="greaterThanOrEqual" allowBlank="1" showInputMessage="1" showErrorMessage="1" xr:uid="{00000000-0002-0000-0600-00000A000000}">
          <x14:formula1>
            <xm:f>'Input options (lists)'!$C$22:$C$24</xm:f>
          </x14:formula1>
          <x14:formula2>
            <xm:f>0</xm:f>
          </x14:formula2>
          <xm:sqref>R5:R1844</xm:sqref>
        </x14:dataValidation>
        <x14:dataValidation operator="greaterThanOrEqual" allowBlank="1" showInputMessage="1" showErrorMessage="1" xr:uid="{00000000-0002-0000-0600-00000B000000}">
          <x14:formula1>
            <xm:f>'Input options (lists)'!$C$22:$C$24</xm:f>
          </x14:formula1>
          <x14:formula2>
            <xm:f>0</xm:f>
          </x14:formula2>
          <xm:sqref>S1:S1005</xm:sqref>
        </x14:dataValidation>
        <x14:dataValidation allowBlank="1" showInputMessage="1" showErrorMessage="1" xr:uid="{00000000-0002-0000-0600-00000C000000}">
          <x14:formula1>
            <xm:f>'Input options (lists)'!$C$3:$C$10</xm:f>
          </x14:formula1>
          <x14:formula2>
            <xm:f>0</xm:f>
          </x14:formula2>
          <xm:sqref>L1:L3 L5:L1005</xm:sqref>
        </x14:dataValidation>
        <x14:dataValidation type="list" operator="greaterThanOrEqual" allowBlank="1" showInputMessage="1" showErrorMessage="1" xr:uid="{00000000-0002-0000-0600-00000D000000}">
          <x14:formula1>
            <xm:f>'Input options (lists)'!$I$10:$I$14</xm:f>
          </x14:formula1>
          <x14:formula2>
            <xm:f>0</xm:f>
          </x14:formula2>
          <xm:sqref>AF5:AF1005</xm:sqref>
        </x14:dataValidation>
        <x14:dataValidation type="list" allowBlank="1" showInputMessage="1" showErrorMessage="1" xr:uid="{00000000-0002-0000-0600-00000E000000}">
          <x14:formula1>
            <xm:f>'Input options (lists)'!$C$27:$C$30</xm:f>
          </x14:formula1>
          <x14:formula2>
            <xm:f>0</xm:f>
          </x14:formula2>
          <xm:sqref>P5:P1844</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MJ32"/>
  <sheetViews>
    <sheetView zoomScaleNormal="100" workbookViewId="0">
      <pane ySplit="2" topLeftCell="A3" activePane="bottomLeft" state="frozen"/>
      <selection pane="bottomLeft" activeCell="A3" sqref="A3"/>
    </sheetView>
  </sheetViews>
  <sheetFormatPr defaultColWidth="9.109375" defaultRowHeight="13.2" x14ac:dyDescent="0.25"/>
  <cols>
    <col min="1" max="1" width="32.5546875" style="13" customWidth="1"/>
    <col min="2" max="2" width="115.5546875" style="13" customWidth="1"/>
    <col min="3" max="1024" width="9.109375" style="13"/>
  </cols>
  <sheetData>
    <row r="1" spans="1:2" ht="12.75" customHeight="1" x14ac:dyDescent="0.25">
      <c r="A1" s="92" t="s">
        <v>278</v>
      </c>
      <c r="B1" s="59"/>
    </row>
    <row r="2" spans="1:2" ht="12.75" customHeight="1" x14ac:dyDescent="0.25">
      <c r="A2" s="93" t="s">
        <v>279</v>
      </c>
      <c r="B2" s="56" t="s">
        <v>280</v>
      </c>
    </row>
    <row r="3" spans="1:2" s="13" customFormat="1" ht="24.75" customHeight="1" x14ac:dyDescent="0.25">
      <c r="A3" s="94"/>
      <c r="B3" s="95" t="s">
        <v>188</v>
      </c>
    </row>
    <row r="4" spans="1:2" s="13" customFormat="1" ht="24.75" customHeight="1" x14ac:dyDescent="0.25">
      <c r="A4" s="96"/>
      <c r="B4" s="97"/>
    </row>
    <row r="5" spans="1:2" s="13" customFormat="1" ht="24.75" customHeight="1" x14ac:dyDescent="0.25">
      <c r="A5" s="96"/>
      <c r="B5" s="97"/>
    </row>
    <row r="6" spans="1:2" s="13" customFormat="1" ht="24.75" customHeight="1" x14ac:dyDescent="0.25">
      <c r="A6" s="96"/>
      <c r="B6" s="97"/>
    </row>
    <row r="7" spans="1:2" s="13" customFormat="1" ht="24.75" customHeight="1" x14ac:dyDescent="0.25">
      <c r="A7" s="96"/>
      <c r="B7" s="97"/>
    </row>
    <row r="8" spans="1:2" s="13" customFormat="1" ht="24.75" customHeight="1" x14ac:dyDescent="0.25">
      <c r="A8" s="96"/>
      <c r="B8" s="97"/>
    </row>
    <row r="9" spans="1:2" s="13" customFormat="1" ht="24.75" customHeight="1" x14ac:dyDescent="0.25">
      <c r="A9" s="96"/>
      <c r="B9" s="97"/>
    </row>
    <row r="10" spans="1:2" s="13" customFormat="1" ht="24.75" customHeight="1" x14ac:dyDescent="0.25">
      <c r="A10" s="96"/>
      <c r="B10" s="97"/>
    </row>
    <row r="11" spans="1:2" s="13" customFormat="1" ht="24.75" customHeight="1" x14ac:dyDescent="0.25">
      <c r="A11" s="96"/>
      <c r="B11" s="95"/>
    </row>
    <row r="12" spans="1:2" s="13" customFormat="1" ht="24.75" customHeight="1" x14ac:dyDescent="0.25">
      <c r="A12" s="96"/>
      <c r="B12" s="97"/>
    </row>
    <row r="13" spans="1:2" s="13" customFormat="1" ht="24.75" customHeight="1" x14ac:dyDescent="0.25">
      <c r="A13" s="96"/>
      <c r="B13" s="97"/>
    </row>
    <row r="14" spans="1:2" s="13" customFormat="1" ht="24.75" customHeight="1" x14ac:dyDescent="0.25">
      <c r="A14" s="96"/>
      <c r="B14" s="97"/>
    </row>
    <row r="15" spans="1:2" s="13" customFormat="1" ht="24.75" customHeight="1" x14ac:dyDescent="0.25">
      <c r="A15" s="96"/>
      <c r="B15" s="97"/>
    </row>
    <row r="16" spans="1:2" s="13" customFormat="1" ht="24.75" customHeight="1" x14ac:dyDescent="0.25">
      <c r="A16" s="96"/>
      <c r="B16" s="97"/>
    </row>
    <row r="17" spans="1:2" s="13" customFormat="1" ht="24.75" customHeight="1" x14ac:dyDescent="0.25">
      <c r="A17" s="96"/>
      <c r="B17" s="97"/>
    </row>
    <row r="18" spans="1:2" s="13" customFormat="1" ht="24.75" customHeight="1" x14ac:dyDescent="0.25">
      <c r="A18" s="96"/>
      <c r="B18" s="97"/>
    </row>
    <row r="19" spans="1:2" s="13" customFormat="1" ht="24.75" customHeight="1" x14ac:dyDescent="0.25">
      <c r="A19" s="96"/>
      <c r="B19" s="97"/>
    </row>
    <row r="20" spans="1:2" s="13" customFormat="1" ht="24.75" customHeight="1" x14ac:dyDescent="0.25">
      <c r="A20" s="96"/>
      <c r="B20" s="97"/>
    </row>
    <row r="21" spans="1:2" s="13" customFormat="1" ht="24.75" customHeight="1" x14ac:dyDescent="0.25">
      <c r="A21" s="96"/>
      <c r="B21" s="97"/>
    </row>
    <row r="22" spans="1:2" s="13" customFormat="1" ht="24.75" customHeight="1" x14ac:dyDescent="0.25">
      <c r="A22" s="96"/>
      <c r="B22" s="97"/>
    </row>
    <row r="23" spans="1:2" s="13" customFormat="1" ht="24.75" customHeight="1" x14ac:dyDescent="0.25">
      <c r="A23" s="96"/>
      <c r="B23" s="97"/>
    </row>
    <row r="24" spans="1:2" s="13" customFormat="1" ht="24.75" customHeight="1" x14ac:dyDescent="0.25">
      <c r="A24" s="96"/>
      <c r="B24" s="97"/>
    </row>
    <row r="25" spans="1:2" s="13" customFormat="1" ht="24.75" customHeight="1" x14ac:dyDescent="0.25">
      <c r="A25" s="96"/>
      <c r="B25" s="97"/>
    </row>
    <row r="26" spans="1:2" s="13" customFormat="1" ht="24.75" customHeight="1" x14ac:dyDescent="0.25">
      <c r="A26" s="96"/>
      <c r="B26" s="97"/>
    </row>
    <row r="27" spans="1:2" s="13" customFormat="1" ht="24.75" customHeight="1" x14ac:dyDescent="0.25">
      <c r="A27" s="96"/>
      <c r="B27" s="97"/>
    </row>
    <row r="28" spans="1:2" s="13" customFormat="1" ht="24.75" customHeight="1" x14ac:dyDescent="0.25">
      <c r="A28" s="96"/>
      <c r="B28" s="97"/>
    </row>
    <row r="29" spans="1:2" s="13" customFormat="1" ht="24.75" customHeight="1" x14ac:dyDescent="0.25">
      <c r="A29" s="96"/>
      <c r="B29" s="97"/>
    </row>
    <row r="30" spans="1:2" s="13" customFormat="1" ht="24.75" customHeight="1" x14ac:dyDescent="0.25">
      <c r="A30" s="96"/>
      <c r="B30" s="97"/>
    </row>
    <row r="31" spans="1:2" s="13" customFormat="1" ht="24.75" customHeight="1" x14ac:dyDescent="0.25">
      <c r="A31" s="96"/>
      <c r="B31" s="97"/>
    </row>
    <row r="32" spans="1:2" s="13" customFormat="1" ht="24.75" customHeight="1" x14ac:dyDescent="0.25">
      <c r="A32" s="98"/>
      <c r="B32" s="99"/>
    </row>
  </sheetData>
  <pageMargins left="0.7" right="0.7" top="0.75" bottom="0.75"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MJ31"/>
  <sheetViews>
    <sheetView topLeftCell="M1" zoomScaleNormal="100" workbookViewId="0">
      <selection activeCell="P7" sqref="P7"/>
    </sheetView>
  </sheetViews>
  <sheetFormatPr defaultColWidth="9.109375" defaultRowHeight="13.2" x14ac:dyDescent="0.25"/>
  <cols>
    <col min="1" max="1" width="20.5546875" style="100" customWidth="1"/>
    <col min="2" max="2" width="3.44140625" style="100" customWidth="1"/>
    <col min="3" max="3" width="30.33203125" style="100" customWidth="1"/>
    <col min="4" max="4" width="46.44140625" style="100" customWidth="1"/>
    <col min="5" max="5" width="3.33203125" style="100" customWidth="1"/>
    <col min="6" max="6" width="15.6640625" style="100" customWidth="1"/>
    <col min="7" max="7" width="21.6640625" style="100" customWidth="1"/>
    <col min="8" max="8" width="3.44140625" style="100" customWidth="1"/>
    <col min="9" max="9" width="20" style="100" customWidth="1"/>
    <col min="10" max="10" width="21.6640625" style="100" customWidth="1"/>
    <col min="11" max="11" width="3.44140625" style="100" customWidth="1"/>
    <col min="12" max="12" width="22.109375" style="100" customWidth="1"/>
    <col min="13" max="13" width="33.33203125" style="100" customWidth="1"/>
    <col min="14" max="14" width="4" style="100" customWidth="1"/>
    <col min="15" max="15" width="24.5546875" style="100" customWidth="1"/>
    <col min="16" max="16" width="33.88671875" style="100" customWidth="1"/>
    <col min="17" max="17" width="6.33203125" style="100" customWidth="1"/>
    <col min="18" max="18" width="16.44140625" style="100" customWidth="1"/>
    <col min="19" max="20" width="9.109375" style="100"/>
    <col min="21" max="21" width="15.5546875" style="100" customWidth="1"/>
    <col min="22" max="22" width="9.109375" style="100"/>
    <col min="23" max="23" width="23.33203125" style="100" customWidth="1"/>
    <col min="24" max="24" width="21.6640625" style="100" customWidth="1"/>
    <col min="25" max="1024" width="9.109375" style="100"/>
  </cols>
  <sheetData>
    <row r="1" spans="1:18" x14ac:dyDescent="0.25">
      <c r="A1" s="101" t="s">
        <v>82</v>
      </c>
      <c r="C1" s="1" t="s">
        <v>281</v>
      </c>
      <c r="D1" s="1"/>
      <c r="F1" s="1" t="s">
        <v>68</v>
      </c>
      <c r="G1" s="1"/>
      <c r="I1" s="1" t="s">
        <v>282</v>
      </c>
      <c r="J1" s="1"/>
      <c r="L1" s="1" t="s">
        <v>283</v>
      </c>
      <c r="M1" s="1"/>
      <c r="O1" s="1" t="s">
        <v>70</v>
      </c>
      <c r="P1" s="1"/>
      <c r="R1" s="102" t="s">
        <v>71</v>
      </c>
    </row>
    <row r="2" spans="1:18" x14ac:dyDescent="0.25">
      <c r="A2" s="103" t="s">
        <v>177</v>
      </c>
      <c r="C2" s="104" t="s">
        <v>284</v>
      </c>
      <c r="D2" s="105" t="s">
        <v>285</v>
      </c>
      <c r="E2" s="106"/>
      <c r="F2" s="104" t="s">
        <v>88</v>
      </c>
      <c r="G2" s="105"/>
      <c r="I2" s="104" t="s">
        <v>286</v>
      </c>
      <c r="J2" s="105"/>
      <c r="L2" s="104" t="s">
        <v>287</v>
      </c>
      <c r="M2" s="105" t="s">
        <v>285</v>
      </c>
      <c r="N2" s="106"/>
      <c r="O2" s="104" t="s">
        <v>288</v>
      </c>
      <c r="P2" s="105" t="s">
        <v>285</v>
      </c>
      <c r="R2" s="101" t="s">
        <v>289</v>
      </c>
    </row>
    <row r="3" spans="1:18" x14ac:dyDescent="0.25">
      <c r="A3" s="103" t="s">
        <v>290</v>
      </c>
      <c r="C3" s="107" t="s">
        <v>291</v>
      </c>
      <c r="D3" s="108"/>
      <c r="F3" s="109" t="s">
        <v>86</v>
      </c>
      <c r="G3" s="110"/>
      <c r="I3" s="109" t="s">
        <v>76</v>
      </c>
      <c r="J3" s="110"/>
      <c r="L3" s="109" t="s">
        <v>181</v>
      </c>
      <c r="M3" s="110"/>
      <c r="O3" s="109" t="s">
        <v>292</v>
      </c>
      <c r="P3" s="111" t="s">
        <v>293</v>
      </c>
      <c r="R3" s="112" t="s">
        <v>294</v>
      </c>
    </row>
    <row r="4" spans="1:18" x14ac:dyDescent="0.25">
      <c r="A4" s="103"/>
      <c r="C4" s="107" t="s">
        <v>295</v>
      </c>
      <c r="D4" s="108" t="s">
        <v>296</v>
      </c>
      <c r="F4" s="107" t="s">
        <v>84</v>
      </c>
      <c r="G4" s="108"/>
      <c r="I4" s="107" t="s">
        <v>75</v>
      </c>
      <c r="J4" s="108"/>
      <c r="L4" s="107" t="s">
        <v>198</v>
      </c>
      <c r="M4" s="108"/>
      <c r="O4" s="107" t="s">
        <v>184</v>
      </c>
      <c r="P4" s="113"/>
      <c r="R4" s="103" t="s">
        <v>187</v>
      </c>
    </row>
    <row r="5" spans="1:18" x14ac:dyDescent="0.25">
      <c r="A5" s="114"/>
      <c r="C5" s="107" t="s">
        <v>297</v>
      </c>
      <c r="D5" s="108" t="s">
        <v>298</v>
      </c>
      <c r="F5" s="107" t="s">
        <v>299</v>
      </c>
      <c r="G5" s="108"/>
      <c r="I5" s="107" t="s">
        <v>300</v>
      </c>
      <c r="J5" s="108"/>
      <c r="L5" s="107" t="s">
        <v>301</v>
      </c>
      <c r="M5" s="108"/>
      <c r="O5" s="107" t="s">
        <v>302</v>
      </c>
      <c r="P5" s="113"/>
      <c r="R5" s="103" t="s">
        <v>303</v>
      </c>
    </row>
    <row r="6" spans="1:18" x14ac:dyDescent="0.25">
      <c r="C6" s="107" t="s">
        <v>274</v>
      </c>
      <c r="D6" s="108"/>
      <c r="F6" s="107" t="s">
        <v>87</v>
      </c>
      <c r="G6" s="108"/>
      <c r="I6" s="107"/>
      <c r="J6" s="108"/>
      <c r="L6" s="107" t="s">
        <v>304</v>
      </c>
      <c r="M6" s="108"/>
      <c r="O6" s="107" t="s">
        <v>199</v>
      </c>
      <c r="R6" s="103" t="s">
        <v>305</v>
      </c>
    </row>
    <row r="7" spans="1:18" x14ac:dyDescent="0.25">
      <c r="C7" s="107" t="s">
        <v>306</v>
      </c>
      <c r="D7" s="108"/>
      <c r="F7" s="107" t="s">
        <v>307</v>
      </c>
      <c r="G7" s="108" t="s">
        <v>308</v>
      </c>
      <c r="I7" s="115"/>
      <c r="J7" s="116"/>
      <c r="L7" s="107" t="s">
        <v>309</v>
      </c>
      <c r="M7" s="108"/>
      <c r="O7" s="107" t="s">
        <v>310</v>
      </c>
      <c r="P7" s="113" t="s">
        <v>311</v>
      </c>
      <c r="R7" s="103" t="s">
        <v>312</v>
      </c>
    </row>
    <row r="8" spans="1:18" x14ac:dyDescent="0.25">
      <c r="C8" s="107" t="s">
        <v>313</v>
      </c>
      <c r="D8" s="108" t="s">
        <v>314</v>
      </c>
      <c r="F8" s="107"/>
      <c r="G8" s="108"/>
      <c r="L8" s="107"/>
      <c r="M8" s="108"/>
      <c r="O8" s="107"/>
      <c r="P8" s="113"/>
      <c r="R8" s="103"/>
    </row>
    <row r="9" spans="1:18" x14ac:dyDescent="0.25">
      <c r="C9" s="107" t="s">
        <v>315</v>
      </c>
      <c r="D9" s="108" t="s">
        <v>316</v>
      </c>
      <c r="F9" s="115"/>
      <c r="G9" s="116"/>
      <c r="I9" s="104" t="s">
        <v>317</v>
      </c>
      <c r="J9" s="105"/>
      <c r="L9" s="115"/>
      <c r="M9" s="116"/>
      <c r="O9" s="107"/>
      <c r="P9" s="113"/>
      <c r="R9" s="103"/>
    </row>
    <row r="10" spans="1:18" x14ac:dyDescent="0.25">
      <c r="C10" s="115"/>
      <c r="D10" s="116"/>
      <c r="I10" s="109" t="s">
        <v>318</v>
      </c>
      <c r="J10" s="110"/>
      <c r="M10" s="106"/>
      <c r="O10" s="115"/>
      <c r="P10" s="117"/>
      <c r="R10" s="114"/>
    </row>
    <row r="11" spans="1:18" x14ac:dyDescent="0.25">
      <c r="F11" s="104" t="s">
        <v>319</v>
      </c>
      <c r="G11" s="105" t="s">
        <v>285</v>
      </c>
      <c r="I11" s="107" t="s">
        <v>320</v>
      </c>
      <c r="J11" s="108"/>
      <c r="L11" s="101" t="s">
        <v>321</v>
      </c>
    </row>
    <row r="12" spans="1:18" x14ac:dyDescent="0.25">
      <c r="C12" s="104" t="s">
        <v>322</v>
      </c>
      <c r="D12" s="105" t="s">
        <v>285</v>
      </c>
      <c r="F12" s="109" t="s">
        <v>323</v>
      </c>
      <c r="G12" s="110"/>
      <c r="I12" s="107" t="s">
        <v>324</v>
      </c>
      <c r="J12" s="108"/>
      <c r="L12" s="112" t="s">
        <v>182</v>
      </c>
      <c r="O12" s="104" t="s">
        <v>325</v>
      </c>
      <c r="P12" s="105" t="s">
        <v>285</v>
      </c>
    </row>
    <row r="13" spans="1:18" x14ac:dyDescent="0.25">
      <c r="C13" s="107" t="s">
        <v>326</v>
      </c>
      <c r="D13" s="108" t="s">
        <v>327</v>
      </c>
      <c r="F13" s="107" t="s">
        <v>101</v>
      </c>
      <c r="G13" s="108"/>
      <c r="I13" s="107"/>
      <c r="J13" s="108"/>
      <c r="L13" s="103" t="s">
        <v>328</v>
      </c>
      <c r="O13" s="109" t="s">
        <v>185</v>
      </c>
      <c r="P13" s="111" t="s">
        <v>329</v>
      </c>
    </row>
    <row r="14" spans="1:18" x14ac:dyDescent="0.25">
      <c r="C14" s="107" t="s">
        <v>330</v>
      </c>
      <c r="D14" s="108" t="s">
        <v>331</v>
      </c>
      <c r="F14" s="107"/>
      <c r="G14" s="108"/>
      <c r="I14" s="115"/>
      <c r="J14" s="116"/>
      <c r="L14" s="114" t="s">
        <v>332</v>
      </c>
      <c r="O14" s="107" t="s">
        <v>333</v>
      </c>
      <c r="P14" s="113"/>
    </row>
    <row r="15" spans="1:18" ht="12.75" customHeight="1" x14ac:dyDescent="0.25">
      <c r="C15" s="115"/>
      <c r="D15" s="116"/>
      <c r="F15" s="115"/>
      <c r="G15" s="116"/>
      <c r="O15" s="115"/>
      <c r="P15" s="117"/>
    </row>
    <row r="16" spans="1:18" x14ac:dyDescent="0.25">
      <c r="L16" s="101" t="s">
        <v>334</v>
      </c>
    </row>
    <row r="17" spans="3:16" ht="15.6" x14ac:dyDescent="0.35">
      <c r="C17" s="104" t="s">
        <v>335</v>
      </c>
      <c r="D17" s="105" t="s">
        <v>285</v>
      </c>
      <c r="F17" s="104" t="s">
        <v>336</v>
      </c>
      <c r="G17" s="105"/>
      <c r="L17" s="112" t="s">
        <v>186</v>
      </c>
      <c r="M17" s="106"/>
      <c r="O17" s="104" t="s">
        <v>337</v>
      </c>
      <c r="P17" s="105" t="s">
        <v>285</v>
      </c>
    </row>
    <row r="18" spans="3:16" x14ac:dyDescent="0.25">
      <c r="C18" s="107" t="s">
        <v>179</v>
      </c>
      <c r="D18" s="108" t="s">
        <v>338</v>
      </c>
      <c r="F18" s="109" t="s">
        <v>179</v>
      </c>
      <c r="G18" s="110"/>
      <c r="L18" s="103" t="s">
        <v>339</v>
      </c>
      <c r="O18" s="109" t="s">
        <v>186</v>
      </c>
      <c r="P18" s="111"/>
    </row>
    <row r="19" spans="3:16" x14ac:dyDescent="0.25">
      <c r="C19" s="115"/>
      <c r="D19" s="116" t="s">
        <v>340</v>
      </c>
      <c r="F19" s="115" t="s">
        <v>180</v>
      </c>
      <c r="G19" s="116"/>
      <c r="L19" s="103" t="s">
        <v>341</v>
      </c>
      <c r="O19" s="107" t="s">
        <v>342</v>
      </c>
      <c r="P19" s="113" t="s">
        <v>343</v>
      </c>
    </row>
    <row r="20" spans="3:16" x14ac:dyDescent="0.25">
      <c r="L20" s="103" t="s">
        <v>344</v>
      </c>
      <c r="O20" s="107" t="s">
        <v>345</v>
      </c>
      <c r="P20" s="113" t="s">
        <v>346</v>
      </c>
    </row>
    <row r="21" spans="3:16" x14ac:dyDescent="0.25">
      <c r="C21" s="104" t="s">
        <v>347</v>
      </c>
      <c r="D21" s="105" t="s">
        <v>285</v>
      </c>
      <c r="F21" s="104" t="s">
        <v>348</v>
      </c>
      <c r="G21" s="105" t="s">
        <v>285</v>
      </c>
      <c r="L21" s="103" t="s">
        <v>349</v>
      </c>
      <c r="O21" s="107"/>
      <c r="P21" s="113"/>
    </row>
    <row r="22" spans="3:16" x14ac:dyDescent="0.25">
      <c r="C22" s="107" t="s">
        <v>276</v>
      </c>
      <c r="D22" s="108" t="s">
        <v>350</v>
      </c>
      <c r="F22" s="109" t="s">
        <v>179</v>
      </c>
      <c r="G22" s="110" t="s">
        <v>351</v>
      </c>
      <c r="L22" s="103" t="s">
        <v>183</v>
      </c>
      <c r="O22" s="115"/>
      <c r="P22" s="117"/>
    </row>
    <row r="23" spans="3:16" x14ac:dyDescent="0.25">
      <c r="C23" s="107" t="s">
        <v>352</v>
      </c>
      <c r="D23" s="108" t="s">
        <v>353</v>
      </c>
      <c r="F23" s="115" t="s">
        <v>180</v>
      </c>
      <c r="G23" s="116"/>
      <c r="L23" s="103"/>
    </row>
    <row r="24" spans="3:16" x14ac:dyDescent="0.25">
      <c r="C24" s="115"/>
      <c r="D24" s="116"/>
      <c r="L24" s="114"/>
    </row>
    <row r="26" spans="3:16" x14ac:dyDescent="0.25">
      <c r="C26" s="104" t="s">
        <v>354</v>
      </c>
      <c r="D26" s="105" t="s">
        <v>285</v>
      </c>
      <c r="L26" s="104" t="s">
        <v>95</v>
      </c>
      <c r="M26" s="105" t="s">
        <v>285</v>
      </c>
    </row>
    <row r="27" spans="3:16" x14ac:dyDescent="0.25">
      <c r="C27" s="107" t="s">
        <v>275</v>
      </c>
      <c r="D27" s="108" t="s">
        <v>355</v>
      </c>
      <c r="L27" s="109" t="s">
        <v>186</v>
      </c>
      <c r="M27" s="110"/>
    </row>
    <row r="28" spans="3:16" x14ac:dyDescent="0.25">
      <c r="C28" s="107" t="s">
        <v>353</v>
      </c>
      <c r="D28" s="108" t="s">
        <v>356</v>
      </c>
      <c r="L28" s="107" t="s">
        <v>357</v>
      </c>
      <c r="M28" s="108"/>
    </row>
    <row r="29" spans="3:16" x14ac:dyDescent="0.25">
      <c r="C29" s="107" t="s">
        <v>358</v>
      </c>
      <c r="D29" s="108" t="s">
        <v>359</v>
      </c>
      <c r="L29" s="107" t="s">
        <v>360</v>
      </c>
      <c r="M29" s="108" t="s">
        <v>361</v>
      </c>
    </row>
    <row r="30" spans="3:16" x14ac:dyDescent="0.25">
      <c r="C30" s="115"/>
      <c r="D30" s="116"/>
      <c r="L30" s="107" t="s">
        <v>362</v>
      </c>
      <c r="M30" s="108"/>
    </row>
    <row r="31" spans="3:16" x14ac:dyDescent="0.25">
      <c r="L31" s="115"/>
      <c r="M31" s="116"/>
    </row>
  </sheetData>
  <mergeCells count="5">
    <mergeCell ref="C1:D1"/>
    <mergeCell ref="F1:G1"/>
    <mergeCell ref="I1:J1"/>
    <mergeCell ref="L1:M1"/>
    <mergeCell ref="O1:P1"/>
  </mergeCells>
  <pageMargins left="0.75" right="0.75" top="1" bottom="1" header="0.511811023622047" footer="0.511811023622047"/>
  <pageSetup paperSize="9" orientation="portrait" horizontalDpi="300" verticalDpi="300"/>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MC8"/>
  <sheetViews>
    <sheetView zoomScaleNormal="100" workbookViewId="0">
      <selection activeCell="B1" sqref="B1"/>
    </sheetView>
  </sheetViews>
  <sheetFormatPr defaultColWidth="11.5546875" defaultRowHeight="13.2" x14ac:dyDescent="0.25"/>
  <cols>
    <col min="1" max="1" width="10.33203125" style="25" customWidth="1"/>
    <col min="2" max="2" width="22.33203125" style="26" customWidth="1"/>
    <col min="3" max="1017" width="11.5546875" style="26"/>
  </cols>
  <sheetData>
    <row r="1" spans="1:2" x14ac:dyDescent="0.25">
      <c r="B1" s="26" t="s">
        <v>363</v>
      </c>
    </row>
    <row r="2" spans="1:2" x14ac:dyDescent="0.25">
      <c r="A2" s="27"/>
      <c r="B2" s="118"/>
    </row>
    <row r="3" spans="1:2" x14ac:dyDescent="0.25">
      <c r="A3" s="27"/>
      <c r="B3" s="31" t="s">
        <v>277</v>
      </c>
    </row>
    <row r="4" spans="1:2" x14ac:dyDescent="0.25">
      <c r="A4" s="27"/>
      <c r="B4" s="31" t="s">
        <v>364</v>
      </c>
    </row>
    <row r="5" spans="1:2" x14ac:dyDescent="0.25">
      <c r="A5" s="27"/>
      <c r="B5" s="31" t="s">
        <v>188</v>
      </c>
    </row>
    <row r="6" spans="1:2" x14ac:dyDescent="0.25">
      <c r="A6" s="27"/>
      <c r="B6" s="31"/>
    </row>
    <row r="7" spans="1:2" x14ac:dyDescent="0.25">
      <c r="A7" s="30"/>
      <c r="B7" s="31"/>
    </row>
    <row r="8" spans="1:2" x14ac:dyDescent="0.25">
      <c r="B8" s="32"/>
    </row>
  </sheetData>
  <pageMargins left="0.78749999999999998" right="0.78749999999999998" top="1.05277777777778" bottom="1.05277777777778" header="0.78749999999999998" footer="0.78749999999999998"/>
  <pageSetup orientation="portrait" horizontalDpi="300" verticalDpi="300"/>
  <headerFooter>
    <oddHeader>&amp;C&amp;"Times New Roman,Regular"&amp;12&amp;A</oddHeader>
    <oddFooter>&amp;C&amp;"Times New Roman,Regular"&amp;12Page &amp;P</oddFooter>
  </headerFooter>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47"/>
  <sheetViews>
    <sheetView topLeftCell="A7" zoomScaleNormal="100" workbookViewId="0">
      <selection activeCell="D48" sqref="D48"/>
    </sheetView>
  </sheetViews>
  <sheetFormatPr defaultColWidth="9.33203125" defaultRowHeight="13.2" x14ac:dyDescent="0.25"/>
  <cols>
    <col min="1" max="2" width="24.5546875" style="119" customWidth="1"/>
    <col min="3" max="3" width="13.44140625" style="119" customWidth="1"/>
    <col min="4" max="4" width="41.6640625" style="119" customWidth="1"/>
  </cols>
  <sheetData>
    <row r="1" spans="1:4" x14ac:dyDescent="0.25">
      <c r="A1" s="119" t="s">
        <v>365</v>
      </c>
      <c r="B1" s="119" t="s">
        <v>366</v>
      </c>
      <c r="C1" s="119" t="s">
        <v>367</v>
      </c>
      <c r="D1" s="119" t="s">
        <v>368</v>
      </c>
    </row>
    <row r="2" spans="1:4" x14ac:dyDescent="0.25">
      <c r="A2" s="120" t="s">
        <v>369</v>
      </c>
      <c r="B2" s="120" t="s">
        <v>370</v>
      </c>
      <c r="C2" s="120"/>
      <c r="D2" s="119" t="s">
        <v>371</v>
      </c>
    </row>
    <row r="3" spans="1:4" x14ac:dyDescent="0.25">
      <c r="A3" s="119" t="s">
        <v>372</v>
      </c>
      <c r="B3" s="119" t="s">
        <v>370</v>
      </c>
      <c r="D3" s="119" t="s">
        <v>373</v>
      </c>
    </row>
    <row r="4" spans="1:4" x14ac:dyDescent="0.25">
      <c r="A4" s="119" t="s">
        <v>374</v>
      </c>
      <c r="B4" s="119" t="s">
        <v>370</v>
      </c>
      <c r="D4" s="119" t="s">
        <v>375</v>
      </c>
    </row>
    <row r="5" spans="1:4" x14ac:dyDescent="0.25">
      <c r="A5" s="119" t="s">
        <v>376</v>
      </c>
      <c r="B5" s="119" t="s">
        <v>370</v>
      </c>
      <c r="D5" s="119" t="s">
        <v>377</v>
      </c>
    </row>
    <row r="6" spans="1:4" x14ac:dyDescent="0.25">
      <c r="A6" s="119" t="s">
        <v>378</v>
      </c>
      <c r="B6" s="119" t="s">
        <v>370</v>
      </c>
      <c r="D6" s="119" t="s">
        <v>379</v>
      </c>
    </row>
    <row r="7" spans="1:4" x14ac:dyDescent="0.25">
      <c r="A7" s="119" t="s">
        <v>378</v>
      </c>
      <c r="B7" s="119" t="s">
        <v>370</v>
      </c>
      <c r="C7" s="119" t="s">
        <v>380</v>
      </c>
      <c r="D7" s="119" t="s">
        <v>381</v>
      </c>
    </row>
    <row r="8" spans="1:4" x14ac:dyDescent="0.25">
      <c r="A8" s="119" t="s">
        <v>382</v>
      </c>
      <c r="B8" s="119" t="s">
        <v>370</v>
      </c>
      <c r="C8" s="119" t="s">
        <v>383</v>
      </c>
      <c r="D8" s="119" t="s">
        <v>384</v>
      </c>
    </row>
    <row r="9" spans="1:4" x14ac:dyDescent="0.25">
      <c r="A9" s="119" t="s">
        <v>385</v>
      </c>
      <c r="B9" s="119" t="s">
        <v>370</v>
      </c>
      <c r="C9" s="119" t="s">
        <v>386</v>
      </c>
      <c r="D9" s="119" t="s">
        <v>387</v>
      </c>
    </row>
    <row r="10" spans="1:4" x14ac:dyDescent="0.25">
      <c r="A10" s="119" t="s">
        <v>385</v>
      </c>
      <c r="B10" s="119" t="s">
        <v>370</v>
      </c>
      <c r="C10" s="119" t="s">
        <v>386</v>
      </c>
      <c r="D10" s="119" t="s">
        <v>388</v>
      </c>
    </row>
    <row r="11" spans="1:4" x14ac:dyDescent="0.25">
      <c r="A11" s="119" t="s">
        <v>389</v>
      </c>
      <c r="B11" s="119" t="s">
        <v>370</v>
      </c>
      <c r="C11" s="119" t="s">
        <v>390</v>
      </c>
    </row>
    <row r="12" spans="1:4" x14ac:dyDescent="0.25">
      <c r="A12" s="119" t="s">
        <v>391</v>
      </c>
      <c r="B12" s="119" t="s">
        <v>370</v>
      </c>
      <c r="C12" s="119" t="s">
        <v>392</v>
      </c>
      <c r="D12" s="119" t="s">
        <v>393</v>
      </c>
    </row>
    <row r="13" spans="1:4" x14ac:dyDescent="0.25">
      <c r="A13" s="119" t="s">
        <v>394</v>
      </c>
      <c r="B13" s="119" t="s">
        <v>370</v>
      </c>
      <c r="C13" s="119" t="s">
        <v>392</v>
      </c>
      <c r="D13" s="119" t="s">
        <v>395</v>
      </c>
    </row>
    <row r="14" spans="1:4" x14ac:dyDescent="0.25">
      <c r="A14" s="119" t="s">
        <v>396</v>
      </c>
      <c r="B14" s="119" t="s">
        <v>370</v>
      </c>
      <c r="C14" s="119" t="s">
        <v>392</v>
      </c>
      <c r="D14" s="119" t="s">
        <v>397</v>
      </c>
    </row>
    <row r="15" spans="1:4" x14ac:dyDescent="0.25">
      <c r="A15" s="119" t="s">
        <v>398</v>
      </c>
      <c r="B15" s="119" t="s">
        <v>370</v>
      </c>
      <c r="C15" s="119" t="s">
        <v>392</v>
      </c>
      <c r="D15" s="119" t="s">
        <v>399</v>
      </c>
    </row>
    <row r="16" spans="1:4" x14ac:dyDescent="0.25">
      <c r="A16" s="119" t="s">
        <v>398</v>
      </c>
      <c r="B16" s="119" t="s">
        <v>370</v>
      </c>
      <c r="C16" s="119" t="s">
        <v>400</v>
      </c>
      <c r="D16" s="119" t="s">
        <v>399</v>
      </c>
    </row>
    <row r="17" spans="1:4" x14ac:dyDescent="0.25">
      <c r="A17" s="119" t="s">
        <v>401</v>
      </c>
      <c r="B17" s="119" t="s">
        <v>370</v>
      </c>
      <c r="C17" s="119" t="s">
        <v>402</v>
      </c>
      <c r="D17" s="119" t="s">
        <v>403</v>
      </c>
    </row>
    <row r="18" spans="1:4" x14ac:dyDescent="0.25">
      <c r="A18" s="119" t="s">
        <v>404</v>
      </c>
      <c r="B18" s="119" t="s">
        <v>370</v>
      </c>
      <c r="C18" s="119" t="s">
        <v>405</v>
      </c>
      <c r="D18" s="119" t="s">
        <v>406</v>
      </c>
    </row>
    <row r="19" spans="1:4" x14ac:dyDescent="0.25">
      <c r="A19" s="119" t="s">
        <v>404</v>
      </c>
      <c r="B19" s="119" t="s">
        <v>370</v>
      </c>
      <c r="C19" s="119" t="s">
        <v>405</v>
      </c>
      <c r="D19" s="119" t="s">
        <v>407</v>
      </c>
    </row>
    <row r="20" spans="1:4" x14ac:dyDescent="0.25">
      <c r="A20" s="119" t="s">
        <v>404</v>
      </c>
      <c r="B20" s="119" t="s">
        <v>370</v>
      </c>
      <c r="C20" s="119" t="s">
        <v>405</v>
      </c>
      <c r="D20" s="119" t="s">
        <v>408</v>
      </c>
    </row>
    <row r="21" spans="1:4" x14ac:dyDescent="0.25">
      <c r="A21" s="119" t="s">
        <v>409</v>
      </c>
      <c r="B21" s="119" t="s">
        <v>370</v>
      </c>
      <c r="C21" s="119" t="s">
        <v>405</v>
      </c>
      <c r="D21" s="119" t="s">
        <v>410</v>
      </c>
    </row>
    <row r="22" spans="1:4" x14ac:dyDescent="0.25">
      <c r="A22" s="119" t="s">
        <v>409</v>
      </c>
      <c r="B22" s="119" t="s">
        <v>370</v>
      </c>
      <c r="C22" s="119" t="s">
        <v>405</v>
      </c>
      <c r="D22" s="119" t="s">
        <v>411</v>
      </c>
    </row>
    <row r="23" spans="1:4" x14ac:dyDescent="0.25">
      <c r="A23" s="119" t="s">
        <v>412</v>
      </c>
      <c r="B23" s="119" t="s">
        <v>370</v>
      </c>
      <c r="C23" s="119" t="s">
        <v>413</v>
      </c>
      <c r="D23" s="119" t="s">
        <v>414</v>
      </c>
    </row>
    <row r="24" spans="1:4" x14ac:dyDescent="0.25">
      <c r="A24" s="119" t="s">
        <v>412</v>
      </c>
      <c r="B24" s="119" t="s">
        <v>370</v>
      </c>
      <c r="C24" s="119" t="s">
        <v>413</v>
      </c>
      <c r="D24" s="119" t="s">
        <v>415</v>
      </c>
    </row>
    <row r="25" spans="1:4" x14ac:dyDescent="0.25">
      <c r="A25" s="119" t="s">
        <v>412</v>
      </c>
      <c r="B25" s="119" t="s">
        <v>370</v>
      </c>
      <c r="C25" s="119" t="s">
        <v>413</v>
      </c>
      <c r="D25" s="119" t="s">
        <v>416</v>
      </c>
    </row>
    <row r="26" spans="1:4" x14ac:dyDescent="0.25">
      <c r="A26" s="119" t="s">
        <v>417</v>
      </c>
      <c r="B26" s="119" t="s">
        <v>370</v>
      </c>
      <c r="C26" s="119" t="s">
        <v>418</v>
      </c>
      <c r="D26" s="119" t="s">
        <v>419</v>
      </c>
    </row>
    <row r="27" spans="1:4" x14ac:dyDescent="0.25">
      <c r="A27" s="119" t="s">
        <v>417</v>
      </c>
      <c r="B27" s="119" t="s">
        <v>370</v>
      </c>
      <c r="C27" s="119" t="s">
        <v>418</v>
      </c>
      <c r="D27" s="119" t="s">
        <v>420</v>
      </c>
    </row>
    <row r="28" spans="1:4" x14ac:dyDescent="0.25">
      <c r="A28" s="119" t="s">
        <v>417</v>
      </c>
      <c r="B28" s="119" t="s">
        <v>370</v>
      </c>
      <c r="C28" s="119" t="s">
        <v>421</v>
      </c>
      <c r="D28" s="119" t="s">
        <v>422</v>
      </c>
    </row>
    <row r="29" spans="1:4" x14ac:dyDescent="0.25">
      <c r="A29" s="119" t="s">
        <v>417</v>
      </c>
      <c r="B29" s="119" t="s">
        <v>370</v>
      </c>
      <c r="C29" s="119" t="s">
        <v>423</v>
      </c>
      <c r="D29" s="119" t="s">
        <v>424</v>
      </c>
    </row>
    <row r="30" spans="1:4" x14ac:dyDescent="0.25">
      <c r="A30" s="119" t="s">
        <v>417</v>
      </c>
      <c r="B30" s="119" t="s">
        <v>370</v>
      </c>
      <c r="C30" s="119" t="s">
        <v>425</v>
      </c>
      <c r="D30" s="119" t="s">
        <v>426</v>
      </c>
    </row>
    <row r="31" spans="1:4" x14ac:dyDescent="0.25">
      <c r="A31" s="119" t="s">
        <v>427</v>
      </c>
      <c r="B31" s="119" t="s">
        <v>370</v>
      </c>
      <c r="C31" s="119" t="s">
        <v>428</v>
      </c>
      <c r="D31" s="119" t="s">
        <v>429</v>
      </c>
    </row>
    <row r="32" spans="1:4" x14ac:dyDescent="0.25">
      <c r="A32" s="119" t="s">
        <v>427</v>
      </c>
      <c r="B32" s="119" t="s">
        <v>370</v>
      </c>
      <c r="C32" s="119" t="s">
        <v>428</v>
      </c>
      <c r="D32" s="119" t="s">
        <v>430</v>
      </c>
    </row>
    <row r="33" spans="1:8" x14ac:dyDescent="0.25">
      <c r="A33" s="119" t="s">
        <v>427</v>
      </c>
      <c r="B33" s="119" t="s">
        <v>370</v>
      </c>
      <c r="C33" s="119" t="s">
        <v>428</v>
      </c>
      <c r="D33" s="119" t="s">
        <v>431</v>
      </c>
    </row>
    <row r="34" spans="1:8" x14ac:dyDescent="0.25">
      <c r="A34" s="119" t="s">
        <v>432</v>
      </c>
      <c r="B34" s="119" t="s">
        <v>370</v>
      </c>
      <c r="C34" s="119" t="s">
        <v>433</v>
      </c>
      <c r="D34" s="119" t="s">
        <v>434</v>
      </c>
    </row>
    <row r="35" spans="1:8" x14ac:dyDescent="0.25">
      <c r="A35" s="119" t="s">
        <v>435</v>
      </c>
      <c r="B35" s="119" t="s">
        <v>370</v>
      </c>
      <c r="C35" s="119" t="s">
        <v>436</v>
      </c>
      <c r="D35" s="119" t="s">
        <v>437</v>
      </c>
    </row>
    <row r="36" spans="1:8" x14ac:dyDescent="0.25">
      <c r="A36" s="119" t="s">
        <v>438</v>
      </c>
      <c r="B36" s="119" t="s">
        <v>370</v>
      </c>
      <c r="C36" s="119" t="s">
        <v>439</v>
      </c>
      <c r="D36" s="119" t="s">
        <v>440</v>
      </c>
    </row>
    <row r="37" spans="1:8" x14ac:dyDescent="0.25">
      <c r="A37" s="119" t="s">
        <v>441</v>
      </c>
      <c r="B37" s="119" t="s">
        <v>370</v>
      </c>
      <c r="C37" s="119" t="s">
        <v>442</v>
      </c>
      <c r="D37" s="119" t="s">
        <v>443</v>
      </c>
    </row>
    <row r="38" spans="1:8" ht="15.6" x14ac:dyDescent="0.25">
      <c r="A38" s="119" t="s">
        <v>444</v>
      </c>
      <c r="B38" s="119" t="s">
        <v>370</v>
      </c>
      <c r="C38" s="119" t="s">
        <v>445</v>
      </c>
      <c r="D38" s="120" t="s">
        <v>446</v>
      </c>
      <c r="H38" s="119"/>
    </row>
    <row r="39" spans="1:8" x14ac:dyDescent="0.25">
      <c r="A39" s="119" t="s">
        <v>447</v>
      </c>
      <c r="B39" s="119" t="s">
        <v>370</v>
      </c>
      <c r="C39" s="119" t="s">
        <v>448</v>
      </c>
      <c r="D39" s="119" t="s">
        <v>449</v>
      </c>
    </row>
    <row r="40" spans="1:8" x14ac:dyDescent="0.25">
      <c r="A40" s="119" t="s">
        <v>450</v>
      </c>
      <c r="B40" s="119" t="s">
        <v>370</v>
      </c>
      <c r="C40" s="119" t="s">
        <v>451</v>
      </c>
      <c r="D40" s="119" t="s">
        <v>452</v>
      </c>
    </row>
    <row r="41" spans="1:8" x14ac:dyDescent="0.25">
      <c r="A41" s="119" t="s">
        <v>450</v>
      </c>
      <c r="B41" s="119" t="s">
        <v>370</v>
      </c>
      <c r="C41" s="119" t="s">
        <v>451</v>
      </c>
      <c r="D41" s="119" t="s">
        <v>453</v>
      </c>
    </row>
    <row r="42" spans="1:8" x14ac:dyDescent="0.25">
      <c r="A42" s="119" t="s">
        <v>450</v>
      </c>
      <c r="B42" s="119" t="s">
        <v>370</v>
      </c>
      <c r="C42" s="119" t="s">
        <v>451</v>
      </c>
      <c r="D42" s="119" t="s">
        <v>454</v>
      </c>
    </row>
    <row r="43" spans="1:8" x14ac:dyDescent="0.25">
      <c r="A43" s="119" t="s">
        <v>450</v>
      </c>
      <c r="B43" s="119" t="s">
        <v>370</v>
      </c>
      <c r="C43" s="119" t="s">
        <v>451</v>
      </c>
      <c r="D43" s="119" t="s">
        <v>455</v>
      </c>
    </row>
    <row r="44" spans="1:8" x14ac:dyDescent="0.25">
      <c r="A44" s="119" t="s">
        <v>456</v>
      </c>
      <c r="B44" s="119" t="s">
        <v>370</v>
      </c>
      <c r="C44" s="119" t="s">
        <v>457</v>
      </c>
      <c r="D44" s="119" t="s">
        <v>458</v>
      </c>
    </row>
    <row r="45" spans="1:8" x14ac:dyDescent="0.25">
      <c r="A45" s="119" t="s">
        <v>459</v>
      </c>
      <c r="B45" s="119" t="s">
        <v>370</v>
      </c>
      <c r="C45" s="119" t="s">
        <v>460</v>
      </c>
      <c r="D45" s="119" t="s">
        <v>461</v>
      </c>
    </row>
    <row r="46" spans="1:8" x14ac:dyDescent="0.25">
      <c r="A46" s="119" t="s">
        <v>462</v>
      </c>
      <c r="B46" s="119" t="s">
        <v>370</v>
      </c>
      <c r="C46" s="119" t="s">
        <v>463</v>
      </c>
      <c r="D46" s="119" t="s">
        <v>464</v>
      </c>
    </row>
    <row r="47" spans="1:8" x14ac:dyDescent="0.25">
      <c r="A47" s="119" t="s">
        <v>465</v>
      </c>
      <c r="B47" s="119" t="s">
        <v>370</v>
      </c>
      <c r="C47" s="119" t="s">
        <v>466</v>
      </c>
      <c r="D47" s="119" t="s">
        <v>467</v>
      </c>
    </row>
  </sheetData>
  <pageMargins left="0.7" right="0.7" top="0.75" bottom="0.75"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5"/>
  <sheetViews>
    <sheetView zoomScale="140" zoomScaleNormal="140" workbookViewId="0">
      <selection activeCell="E6" sqref="E6"/>
    </sheetView>
  </sheetViews>
  <sheetFormatPr defaultColWidth="11.5546875" defaultRowHeight="13.2" x14ac:dyDescent="0.25"/>
  <cols>
    <col min="3" max="3" width="30.88671875" bestFit="1" customWidth="1"/>
    <col min="4" max="4" width="17.77734375" customWidth="1"/>
    <col min="5" max="5" width="44.109375" bestFit="1" customWidth="1"/>
  </cols>
  <sheetData>
    <row r="1" spans="1:5" x14ac:dyDescent="0.25">
      <c r="A1" t="s">
        <v>365</v>
      </c>
      <c r="B1" t="s">
        <v>366</v>
      </c>
      <c r="C1" t="s">
        <v>468</v>
      </c>
      <c r="D1" t="s">
        <v>469</v>
      </c>
      <c r="E1" t="s">
        <v>470</v>
      </c>
    </row>
    <row r="2" spans="1:5" x14ac:dyDescent="0.25">
      <c r="A2" t="s">
        <v>471</v>
      </c>
      <c r="B2" t="s">
        <v>370</v>
      </c>
      <c r="C2" t="s">
        <v>472</v>
      </c>
      <c r="D2" t="s">
        <v>473</v>
      </c>
      <c r="E2" t="s">
        <v>474</v>
      </c>
    </row>
    <row r="3" spans="1:5" x14ac:dyDescent="0.25">
      <c r="A3" t="s">
        <v>471</v>
      </c>
      <c r="B3" t="s">
        <v>370</v>
      </c>
      <c r="C3" t="s">
        <v>472</v>
      </c>
      <c r="D3" t="s">
        <v>473</v>
      </c>
      <c r="E3" t="s">
        <v>475</v>
      </c>
    </row>
    <row r="4" spans="1:5" x14ac:dyDescent="0.25">
      <c r="A4" t="s">
        <v>471</v>
      </c>
      <c r="B4" t="s">
        <v>370</v>
      </c>
      <c r="C4" t="s">
        <v>472</v>
      </c>
      <c r="D4" t="s">
        <v>476</v>
      </c>
      <c r="E4" t="s">
        <v>477</v>
      </c>
    </row>
    <row r="5" spans="1:5" x14ac:dyDescent="0.25">
      <c r="A5" s="122" t="s">
        <v>471</v>
      </c>
      <c r="B5" s="121" t="s">
        <v>479</v>
      </c>
      <c r="C5" s="121" t="s">
        <v>480</v>
      </c>
      <c r="D5" s="121" t="s">
        <v>473</v>
      </c>
      <c r="E5" s="121" t="s">
        <v>481</v>
      </c>
    </row>
  </sheetData>
  <pageMargins left="0.78749999999999998" right="0.78749999999999998" top="1.05277777777778" bottom="1.05277777777778" header="0.78749999999999998" footer="0.78749999999999998"/>
  <pageSetup paperSize="9" orientation="portrait" horizontalDpi="300" verticalDpi="300"/>
  <headerFooter>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578</TotalTime>
  <Application>Microsoft Excel</Application>
  <DocSecurity>0</DocSecurity>
  <ScaleCrop>false</ScaleCrop>
  <HeadingPairs>
    <vt:vector size="4" baseType="variant">
      <vt:variant>
        <vt:lpstr>Worksheets</vt:lpstr>
      </vt:variant>
      <vt:variant>
        <vt:i4>12</vt:i4>
      </vt:variant>
      <vt:variant>
        <vt:lpstr>Named Ranges</vt:lpstr>
      </vt:variant>
      <vt:variant>
        <vt:i4>4</vt:i4>
      </vt:variant>
    </vt:vector>
  </HeadingPairs>
  <TitlesOfParts>
    <vt:vector size="16" baseType="lpstr">
      <vt:lpstr>Instructions</vt:lpstr>
      <vt:lpstr>Submitter</vt:lpstr>
      <vt:lpstr>Contributors</vt:lpstr>
      <vt:lpstr>Experiments</vt:lpstr>
      <vt:lpstr>Treatments</vt:lpstr>
      <vt:lpstr>Plots</vt:lpstr>
      <vt:lpstr>Emission</vt:lpstr>
      <vt:lpstr>Publications</vt:lpstr>
      <vt:lpstr>Input options (lists)</vt:lpstr>
      <vt:lpstr>Missing values</vt:lpstr>
      <vt:lpstr>Revision history</vt:lpstr>
      <vt:lpstr>Data ChangeLog</vt:lpstr>
      <vt:lpstr>Emission!_FilterDatabase</vt:lpstr>
      <vt:lpstr>Plots!_FilterDatabase</vt:lpstr>
      <vt:lpstr>Plots!DataRange</vt:lpstr>
      <vt:lpstr>DataRange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Sasha Hafner</dc:creator>
  <dc:description/>
  <cp:lastModifiedBy>Mikael Løvig Larsen</cp:lastModifiedBy>
  <cp:revision>118</cp:revision>
  <dcterms:created xsi:type="dcterms:W3CDTF">2014-04-22T06:30:42Z</dcterms:created>
  <dcterms:modified xsi:type="dcterms:W3CDTF">2026-04-08T11:32:06Z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false</vt:bool>
  </property>
  <property fmtid="{D5CDD505-2E9C-101B-9397-08002B2CF9AE}" pid="3" name="LinksUpToDate">
    <vt:bool>false</vt:bool>
  </property>
  <property fmtid="{D5CDD505-2E9C-101B-9397-08002B2CF9AE}" pid="4" name="ScaleCrop">
    <vt:bool>false</vt:bool>
  </property>
  <property fmtid="{D5CDD505-2E9C-101B-9397-08002B2CF9AE}" pid="5" name="ShareDoc">
    <vt:bool>false</vt:bool>
  </property>
</Properties>
</file>